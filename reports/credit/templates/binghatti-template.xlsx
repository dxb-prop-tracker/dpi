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ELBARBIR/Downloads/"/>
    </mc:Choice>
  </mc:AlternateContent>
  <xr:revisionPtr revIDLastSave="0" documentId="13_ncr:1_{7E117E87-9C26-CD44-95EA-61DD74125806}" xr6:coauthVersionLast="47" xr6:coauthVersionMax="47" xr10:uidLastSave="{00000000-0000-0000-0000-000000000000}"/>
  <bookViews>
    <workbookView xWindow="460" yWindow="4680" windowWidth="25000" windowHeight="13780" tabRatio="500" xr2:uid="{00000000-000D-0000-FFFF-FFFF00000000}"/>
  </bookViews>
  <sheets>
    <sheet name="Cover" sheetId="9" r:id="rId1"/>
    <sheet name="How to use" sheetId="10" r:id="rId2"/>
    <sheet name="Model map" sheetId="11" r:id="rId3"/>
    <sheet name="Dashboard" sheetId="1" r:id="rId4"/>
    <sheet name="Break-even" sheetId="12" r:id="rId5"/>
    <sheet name="Cash flow" sheetId="13" r:id="rId6"/>
    <sheet name="Handover check" sheetId="14" r:id="rId7"/>
    <sheet name="Scenarios" sheetId="2" r:id="rId8"/>
    <sheet name="Simulator" sheetId="3" r:id="rId9"/>
    <sheet name="Debt" sheetId="4" r:id="rId10"/>
    <sheet name="Financials" sheetId="5" r:id="rId11"/>
    <sheet name="Bonds" sheetId="6" r:id="rId12"/>
    <sheet name="Projects" sheetId="7" r:id="rId13"/>
    <sheet name="Ratings &amp; sources" sheetId="8" r:id="rId14"/>
    <sheet name="Change log" sheetId="15" r:id="rId15"/>
  </sheets>
  <definedNames>
    <definedName name="_xlnm._FilterDatabase" localSheetId="12" hidden="1">Projects!$A$4:$Z$72</definedName>
    <definedName name="_xlnm.Print_Area" localSheetId="11">Bonds!$A$1:$L$13</definedName>
    <definedName name="_xlnm.Print_Area" localSheetId="4">'Break-even'!$A$1:$K$89</definedName>
    <definedName name="_xlnm.Print_Area" localSheetId="5">'Cash flow'!$A$1:$I$141</definedName>
    <definedName name="_xlnm.Print_Area" localSheetId="14">'Change log'!$A$1:$E$32</definedName>
    <definedName name="_xlnm.Print_Area" localSheetId="0">Cover!$A$1:$G$93</definedName>
    <definedName name="_xlnm.Print_Area" localSheetId="3">Dashboard!$A$1:$G$109</definedName>
    <definedName name="_xlnm.Print_Area" localSheetId="9">Debt!$A$1:$K$32</definedName>
    <definedName name="_xlnm.Print_Area" localSheetId="10">Financials!$A$1:$E$83</definedName>
    <definedName name="_xlnm.Print_Area" localSheetId="6">'Handover check'!$A$1:$M$43</definedName>
    <definedName name="_xlnm.Print_Area" localSheetId="1">'How to use'!$A$1:$E$56</definedName>
    <definedName name="_xlnm.Print_Area" localSheetId="2">'Model map'!$A$1:$E$56</definedName>
    <definedName name="_xlnm.Print_Area" localSheetId="12">Projects!$A$1:$Z$76</definedName>
    <definedName name="_xlnm.Print_Area" localSheetId="13">'Ratings &amp; sources'!$A$1:$D$38</definedName>
    <definedName name="_xlnm.Print_Area" localSheetId="7">Scenarios!$A$1:$G$22</definedName>
    <definedName name="_xlnm.Print_Area" localSheetId="8">Simulator!$A$1:$CA$44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9" i="13" l="1" a="1"/>
  <c r="A9" i="13" s="1"/>
  <c r="A9" i="1" a="1"/>
  <c r="A9" i="1" s="1"/>
  <c r="A39" i="9" a="1"/>
  <c r="A39" i="9" s="1"/>
  <c r="B36" i="9"/>
  <c r="C35" i="9"/>
  <c r="B35" i="9"/>
  <c r="B34" i="9"/>
  <c r="A38" i="8"/>
  <c r="B72" i="9"/>
  <c r="D132" i="13"/>
  <c r="C132" i="13"/>
  <c r="B132" i="13"/>
  <c r="B128" i="13"/>
  <c r="B127" i="13"/>
  <c r="A38" i="14"/>
  <c r="A37" i="14"/>
  <c r="A90" i="9"/>
  <c r="A37" i="8"/>
  <c r="E5" i="1"/>
  <c r="A122" i="13"/>
  <c r="D5" i="1"/>
  <c r="B31" i="14"/>
  <c r="B30" i="14"/>
  <c r="B28" i="14"/>
  <c r="B27" i="14"/>
  <c r="B26" i="14"/>
  <c r="L13" i="14"/>
  <c r="K13" i="14"/>
  <c r="J13" i="14"/>
  <c r="L12" i="14"/>
  <c r="K12" i="14"/>
  <c r="J12" i="14"/>
  <c r="L11" i="14"/>
  <c r="K11" i="14"/>
  <c r="J11" i="14"/>
  <c r="L10" i="14"/>
  <c r="K10" i="14"/>
  <c r="J10" i="14"/>
  <c r="L9" i="14"/>
  <c r="K9" i="14"/>
  <c r="J9" i="14"/>
  <c r="L8" i="14"/>
  <c r="K8" i="14"/>
  <c r="J8" i="14"/>
  <c r="L7" i="14"/>
  <c r="K7" i="14"/>
  <c r="J7" i="14"/>
  <c r="L6" i="14"/>
  <c r="K6" i="14"/>
  <c r="J6" i="14"/>
  <c r="A12" i="1"/>
  <c r="B41" i="10"/>
  <c r="B40" i="10"/>
  <c r="B39" i="10"/>
  <c r="B38" i="10"/>
  <c r="D23" i="10"/>
  <c r="D19" i="10"/>
  <c r="D18" i="10"/>
  <c r="D17" i="10"/>
  <c r="D15" i="10"/>
  <c r="B23" i="9"/>
  <c r="A23" i="9" s="1"/>
  <c r="B22" i="9"/>
  <c r="B21" i="9"/>
  <c r="H21" i="9" s="1"/>
  <c r="B20" i="9"/>
  <c r="H20" i="9" s="1"/>
  <c r="B19" i="9"/>
  <c r="H19" i="9" s="1"/>
  <c r="B18" i="9"/>
  <c r="B17" i="9"/>
  <c r="A17" i="9" s="1"/>
  <c r="B16" i="9"/>
  <c r="H16" i="9" s="1"/>
  <c r="H39" i="13"/>
  <c r="H38" i="13"/>
  <c r="H37" i="13"/>
  <c r="H36" i="13"/>
  <c r="H35" i="13"/>
  <c r="H34" i="13"/>
  <c r="H33" i="13"/>
  <c r="H32" i="13"/>
  <c r="B48" i="13" a="1"/>
  <c r="B48" i="13" s="1"/>
  <c r="D35" i="13"/>
  <c r="B45" i="13"/>
  <c r="D76" i="5"/>
  <c r="C76" i="5"/>
  <c r="B76" i="5"/>
  <c r="D75" i="5"/>
  <c r="C75" i="5"/>
  <c r="B75" i="5"/>
  <c r="D72" i="5"/>
  <c r="C72" i="5"/>
  <c r="B72" i="5"/>
  <c r="D71" i="5"/>
  <c r="C71" i="5"/>
  <c r="B71" i="5"/>
  <c r="D70" i="5"/>
  <c r="C70" i="5"/>
  <c r="D69" i="5"/>
  <c r="C69" i="5"/>
  <c r="D68" i="5"/>
  <c r="C68" i="5"/>
  <c r="D67" i="5"/>
  <c r="C67" i="5"/>
  <c r="B67" i="5"/>
  <c r="D66" i="5"/>
  <c r="C66" i="5"/>
  <c r="D65" i="5"/>
  <c r="C65" i="5"/>
  <c r="B65" i="5"/>
  <c r="D61" i="5"/>
  <c r="C61" i="5"/>
  <c r="B61" i="5"/>
  <c r="D60" i="5"/>
  <c r="C60" i="5"/>
  <c r="B60" i="5"/>
  <c r="D59" i="5"/>
  <c r="C59" i="5"/>
  <c r="B59" i="5"/>
  <c r="D58" i="5"/>
  <c r="C58" i="5"/>
  <c r="B58" i="5"/>
  <c r="D56" i="5"/>
  <c r="D57" i="5" s="1"/>
  <c r="C56" i="5"/>
  <c r="C57" i="5" s="1"/>
  <c r="B56" i="5"/>
  <c r="B57" i="5" s="1"/>
  <c r="D55" i="5"/>
  <c r="C55" i="5"/>
  <c r="B55" i="5"/>
  <c r="D54" i="5"/>
  <c r="C54" i="5"/>
  <c r="B54" i="5"/>
  <c r="D53" i="5"/>
  <c r="C53" i="5"/>
  <c r="B53" i="5"/>
  <c r="D52" i="5"/>
  <c r="C52" i="5"/>
  <c r="B52" i="5"/>
  <c r="E51" i="5"/>
  <c r="D51" i="5"/>
  <c r="C51" i="5"/>
  <c r="B51" i="5"/>
  <c r="D50" i="5"/>
  <c r="C50" i="5"/>
  <c r="B50" i="5"/>
  <c r="D49" i="5"/>
  <c r="C49" i="5"/>
  <c r="B49" i="5"/>
  <c r="D48" i="5"/>
  <c r="C48" i="5"/>
  <c r="B48" i="5"/>
  <c r="D45" i="5"/>
  <c r="C45" i="5"/>
  <c r="B45" i="5"/>
  <c r="D44" i="5"/>
  <c r="C44" i="5"/>
  <c r="B44" i="5"/>
  <c r="D43" i="5"/>
  <c r="C43" i="5"/>
  <c r="B43" i="5"/>
  <c r="D42" i="5"/>
  <c r="C42" i="5"/>
  <c r="B42" i="5"/>
  <c r="E41" i="5"/>
  <c r="D41" i="5"/>
  <c r="C41" i="5"/>
  <c r="B41" i="5"/>
  <c r="D40" i="5"/>
  <c r="C40" i="5"/>
  <c r="B40" i="5"/>
  <c r="D39" i="5"/>
  <c r="C39" i="5"/>
  <c r="B39" i="5"/>
  <c r="D38" i="5"/>
  <c r="C38" i="5"/>
  <c r="B38" i="5"/>
  <c r="D37" i="5"/>
  <c r="C37" i="5"/>
  <c r="B37" i="5"/>
  <c r="B95" i="13"/>
  <c r="C94" i="13"/>
  <c r="D57" i="13"/>
  <c r="E57" i="13" s="1"/>
  <c r="E39" i="13"/>
  <c r="C39" i="13"/>
  <c r="B39" i="13"/>
  <c r="A39" i="13"/>
  <c r="A101" i="13" s="1"/>
  <c r="E38" i="13"/>
  <c r="B100" i="13" s="1"/>
  <c r="C38" i="13"/>
  <c r="C100" i="13" s="1"/>
  <c r="B38" i="13"/>
  <c r="A38" i="13"/>
  <c r="A100" i="13" s="1"/>
  <c r="E37" i="13"/>
  <c r="B99" i="13" s="1"/>
  <c r="C37" i="13"/>
  <c r="C99" i="13" s="1"/>
  <c r="B37" i="13"/>
  <c r="A37" i="13"/>
  <c r="A99" i="13" s="1"/>
  <c r="E36" i="13"/>
  <c r="C36" i="13"/>
  <c r="B36" i="13"/>
  <c r="A36" i="13"/>
  <c r="A98" i="13" s="1"/>
  <c r="E35" i="13"/>
  <c r="C35" i="13"/>
  <c r="C97" i="13" s="1"/>
  <c r="B35" i="13"/>
  <c r="A35" i="13"/>
  <c r="A97" i="13" s="1"/>
  <c r="E34" i="13"/>
  <c r="B96" i="13" s="1"/>
  <c r="D34" i="13"/>
  <c r="C34" i="13"/>
  <c r="B34" i="13"/>
  <c r="A34" i="13"/>
  <c r="A96" i="13" s="1"/>
  <c r="E33" i="13"/>
  <c r="D33" i="13"/>
  <c r="C33" i="13"/>
  <c r="B33" i="13"/>
  <c r="A33" i="13"/>
  <c r="A95" i="13" s="1"/>
  <c r="E32" i="13"/>
  <c r="D32" i="13"/>
  <c r="C32" i="13"/>
  <c r="B32" i="13"/>
  <c r="A32" i="13"/>
  <c r="A94" i="13" s="1"/>
  <c r="B18" i="13"/>
  <c r="F19" i="2" a="1"/>
  <c r="F19" i="2" s="1"/>
  <c r="B24" i="13" s="1"/>
  <c r="F18" i="2" a="1"/>
  <c r="F18" i="2" s="1"/>
  <c r="B23" i="13" s="1"/>
  <c r="AW69" i="13" s="1" a="1"/>
  <c r="AW69" i="13" s="1"/>
  <c r="F17" i="2" a="1"/>
  <c r="F17" i="2" s="1"/>
  <c r="F16" i="2" a="1"/>
  <c r="F16" i="2" s="1"/>
  <c r="F15" i="2" a="1"/>
  <c r="F15" i="2" s="1"/>
  <c r="B73" i="9" s="1"/>
  <c r="K61" i="1"/>
  <c r="I61" i="1"/>
  <c r="K60" i="1"/>
  <c r="I60" i="1"/>
  <c r="K59" i="1"/>
  <c r="I59" i="1"/>
  <c r="K58" i="1"/>
  <c r="I58" i="1"/>
  <c r="K57" i="1"/>
  <c r="I57" i="1"/>
  <c r="K56" i="1"/>
  <c r="I56" i="1"/>
  <c r="K55" i="1"/>
  <c r="I55" i="1"/>
  <c r="K54" i="1"/>
  <c r="I54" i="1"/>
  <c r="K53" i="1"/>
  <c r="I53" i="1"/>
  <c r="K52" i="1"/>
  <c r="I52" i="1"/>
  <c r="K51" i="1"/>
  <c r="I51" i="1"/>
  <c r="K50" i="1"/>
  <c r="I50" i="1"/>
  <c r="K49" i="1"/>
  <c r="I49" i="1"/>
  <c r="K48" i="1"/>
  <c r="I48" i="1"/>
  <c r="K47" i="1"/>
  <c r="I47" i="1"/>
  <c r="K46" i="1"/>
  <c r="I46" i="1"/>
  <c r="K45" i="1"/>
  <c r="I45" i="1"/>
  <c r="K44" i="1"/>
  <c r="I44" i="1"/>
  <c r="K43" i="1"/>
  <c r="I43" i="1"/>
  <c r="K42" i="1"/>
  <c r="I42" i="1"/>
  <c r="K41" i="1"/>
  <c r="I41" i="1"/>
  <c r="K40" i="1"/>
  <c r="I40" i="1"/>
  <c r="K39" i="1"/>
  <c r="I39" i="1"/>
  <c r="K38" i="1"/>
  <c r="I38" i="1"/>
  <c r="K37" i="1"/>
  <c r="I37" i="1"/>
  <c r="K36" i="1"/>
  <c r="I36" i="1"/>
  <c r="K35" i="1"/>
  <c r="I35" i="1"/>
  <c r="K34" i="1"/>
  <c r="I34" i="1"/>
  <c r="I29" i="1"/>
  <c r="I28" i="1"/>
  <c r="I27" i="1"/>
  <c r="I26" i="1"/>
  <c r="I25" i="1"/>
  <c r="I24" i="1"/>
  <c r="I23" i="1"/>
  <c r="I16" i="1"/>
  <c r="I17" i="1"/>
  <c r="I18" i="1"/>
  <c r="I19" i="1"/>
  <c r="C88" i="12"/>
  <c r="B88" i="12"/>
  <c r="A88" i="12"/>
  <c r="C87" i="12"/>
  <c r="B87" i="12"/>
  <c r="A87" i="12"/>
  <c r="C86" i="12"/>
  <c r="B86" i="12"/>
  <c r="A86" i="12"/>
  <c r="C85" i="12"/>
  <c r="B85" i="12"/>
  <c r="A85" i="12"/>
  <c r="C84" i="12"/>
  <c r="B84" i="12"/>
  <c r="A84" i="12"/>
  <c r="I83" i="12"/>
  <c r="C83" i="12"/>
  <c r="B83" i="12"/>
  <c r="A83" i="12"/>
  <c r="C82" i="12"/>
  <c r="B82" i="12"/>
  <c r="A82" i="12"/>
  <c r="C81" i="12"/>
  <c r="B81" i="12"/>
  <c r="A81" i="12"/>
  <c r="H80" i="12"/>
  <c r="D80" i="12"/>
  <c r="C80" i="12"/>
  <c r="B80" i="12"/>
  <c r="A80" i="12"/>
  <c r="C79" i="12"/>
  <c r="B79" i="12"/>
  <c r="A79" i="12"/>
  <c r="C78" i="12"/>
  <c r="B78" i="12"/>
  <c r="A78" i="12"/>
  <c r="C77" i="12"/>
  <c r="B77" i="12"/>
  <c r="A77" i="12"/>
  <c r="C76" i="12"/>
  <c r="B76" i="12"/>
  <c r="A76" i="12"/>
  <c r="D75" i="12"/>
  <c r="C75" i="12"/>
  <c r="B75" i="12"/>
  <c r="A75" i="12"/>
  <c r="C74" i="12"/>
  <c r="B74" i="12"/>
  <c r="A74" i="12"/>
  <c r="C73" i="12"/>
  <c r="B73" i="12"/>
  <c r="A73" i="12"/>
  <c r="C72" i="12"/>
  <c r="B72" i="12"/>
  <c r="A72" i="12"/>
  <c r="F71" i="12"/>
  <c r="C71" i="12"/>
  <c r="B71" i="12"/>
  <c r="A71" i="12"/>
  <c r="C70" i="12"/>
  <c r="B70" i="12"/>
  <c r="A70" i="12"/>
  <c r="C69" i="12"/>
  <c r="B69" i="12"/>
  <c r="A69" i="12"/>
  <c r="C68" i="12"/>
  <c r="B68" i="12"/>
  <c r="A68" i="12"/>
  <c r="C67" i="12"/>
  <c r="B67" i="12"/>
  <c r="A67" i="12"/>
  <c r="C66" i="12"/>
  <c r="B66" i="12"/>
  <c r="A66" i="12"/>
  <c r="C65" i="12"/>
  <c r="B65" i="12"/>
  <c r="A65" i="12"/>
  <c r="C64" i="12"/>
  <c r="B64" i="12"/>
  <c r="A64" i="12"/>
  <c r="C63" i="12"/>
  <c r="B63" i="12"/>
  <c r="A63" i="12"/>
  <c r="C62" i="12"/>
  <c r="B62" i="12"/>
  <c r="A62" i="12"/>
  <c r="C61" i="12"/>
  <c r="B61" i="12"/>
  <c r="A61" i="12"/>
  <c r="C60" i="12"/>
  <c r="B60" i="12"/>
  <c r="A60" i="12"/>
  <c r="C59" i="12"/>
  <c r="C89" i="12" s="1"/>
  <c r="B50" i="12" s="1"/>
  <c r="B59" i="12"/>
  <c r="A59" i="12"/>
  <c r="C58" i="12"/>
  <c r="B58" i="12"/>
  <c r="A58" i="12"/>
  <c r="C57" i="12"/>
  <c r="B57" i="12"/>
  <c r="A57" i="12"/>
  <c r="F56" i="12"/>
  <c r="F84" i="12" s="1"/>
  <c r="G56" i="12"/>
  <c r="G76" i="12" s="1"/>
  <c r="H56" i="12"/>
  <c r="I56" i="12"/>
  <c r="I81" i="12" s="1"/>
  <c r="J56" i="12"/>
  <c r="J76" i="12" s="1"/>
  <c r="K56" i="12"/>
  <c r="L56" i="12"/>
  <c r="L75" i="12" s="1"/>
  <c r="B26" i="12"/>
  <c r="B25" i="12"/>
  <c r="B24" i="12"/>
  <c r="B23" i="12"/>
  <c r="B22" i="12"/>
  <c r="B21" i="12"/>
  <c r="B20" i="12"/>
  <c r="B19" i="12"/>
  <c r="B18" i="12"/>
  <c r="D86" i="12" s="1"/>
  <c r="D22" i="11"/>
  <c r="B37" i="10"/>
  <c r="A37" i="10"/>
  <c r="B36" i="10"/>
  <c r="A36" i="10"/>
  <c r="B35" i="10"/>
  <c r="A35" i="10"/>
  <c r="B34" i="10"/>
  <c r="A34" i="10"/>
  <c r="B33" i="10"/>
  <c r="A33" i="10"/>
  <c r="B32" i="10"/>
  <c r="A32" i="10"/>
  <c r="B31" i="10"/>
  <c r="A31" i="10"/>
  <c r="B30" i="10"/>
  <c r="A30" i="10"/>
  <c r="B29" i="10"/>
  <c r="A29" i="10"/>
  <c r="B28" i="10"/>
  <c r="A28" i="10"/>
  <c r="B5" i="9"/>
  <c r="F14" i="2" a="1"/>
  <c r="F14" i="2" s="1"/>
  <c r="F13" i="2" a="1"/>
  <c r="F13" i="2" s="1"/>
  <c r="B25" i="13" s="1"/>
  <c r="F12" i="2" a="1"/>
  <c r="F12" i="2" s="1"/>
  <c r="F11" i="2" a="1"/>
  <c r="F11" i="2"/>
  <c r="F10" i="2" a="1"/>
  <c r="F10" i="2" s="1"/>
  <c r="F9" i="2" a="1"/>
  <c r="F9" i="2" s="1"/>
  <c r="F8" i="2" a="1"/>
  <c r="F8" i="2" s="1"/>
  <c r="F7" i="2" a="1"/>
  <c r="F7" i="2" s="1"/>
  <c r="F6" i="2" a="1"/>
  <c r="F6" i="2" s="1"/>
  <c r="F5" i="2" a="1"/>
  <c r="F5" i="2" s="1"/>
  <c r="C3" i="2" a="1"/>
  <c r="C3" i="2" s="1"/>
  <c r="B8" i="9" s="1"/>
  <c r="B94" i="1"/>
  <c r="A21" i="9" l="1"/>
  <c r="A19" i="9"/>
  <c r="C16" i="9"/>
  <c r="A16" i="9"/>
  <c r="F32" i="13"/>
  <c r="B21" i="13"/>
  <c r="C13" i="12"/>
  <c r="B20" i="13"/>
  <c r="B50" i="13"/>
  <c r="B46" i="13" a="1"/>
  <c r="B46" i="13" s="1"/>
  <c r="F34" i="13"/>
  <c r="D64" i="12"/>
  <c r="B52" i="12"/>
  <c r="D69" i="12"/>
  <c r="H81" i="12"/>
  <c r="L88" i="12"/>
  <c r="D62" i="12"/>
  <c r="D73" i="12"/>
  <c r="H72" i="12"/>
  <c r="D82" i="12"/>
  <c r="D58" i="12"/>
  <c r="H22" i="9"/>
  <c r="H23" i="9"/>
  <c r="H18" i="9"/>
  <c r="H17" i="9"/>
  <c r="A18" i="9"/>
  <c r="A20" i="9"/>
  <c r="A22" i="9"/>
  <c r="C18" i="9"/>
  <c r="C23" i="9"/>
  <c r="D17" i="9"/>
  <c r="D21" i="9"/>
  <c r="D23" i="9"/>
  <c r="C22" i="9"/>
  <c r="D22" i="9"/>
  <c r="C21" i="9"/>
  <c r="C20" i="9"/>
  <c r="C19" i="9"/>
  <c r="C17" i="9"/>
  <c r="F33" i="13"/>
  <c r="G32" i="13"/>
  <c r="C95" i="13"/>
  <c r="I88" i="13" a="1"/>
  <c r="I88" i="13" s="1"/>
  <c r="B94" i="13"/>
  <c r="AA69" i="13" a="1"/>
  <c r="AA69" i="13" s="1"/>
  <c r="M69" i="13" a="1"/>
  <c r="M69" i="13" s="1"/>
  <c r="BJ69" i="13" a="1"/>
  <c r="BJ69" i="13" s="1"/>
  <c r="Y69" i="13" a="1"/>
  <c r="Y69" i="13" s="1"/>
  <c r="Z69" i="13" a="1"/>
  <c r="Z69" i="13" s="1"/>
  <c r="AL69" i="13" a="1"/>
  <c r="AL69" i="13" s="1"/>
  <c r="AM69" i="13" a="1"/>
  <c r="AM69" i="13" s="1"/>
  <c r="AX69" i="13" a="1"/>
  <c r="AX69" i="13" s="1"/>
  <c r="AY69" i="13" a="1"/>
  <c r="AY69" i="13" s="1"/>
  <c r="AZ69" i="13" a="1"/>
  <c r="AZ69" i="13" s="1"/>
  <c r="N69" i="13" a="1"/>
  <c r="N69" i="13" s="1"/>
  <c r="BK69" i="13" a="1"/>
  <c r="BK69" i="13" s="1"/>
  <c r="AN69" i="13" a="1"/>
  <c r="AN69" i="13" s="1"/>
  <c r="BA69" i="13" a="1"/>
  <c r="BA69" i="13" s="1"/>
  <c r="O69" i="13" a="1"/>
  <c r="O69" i="13" s="1"/>
  <c r="BL69" i="13" a="1"/>
  <c r="BL69" i="13" s="1"/>
  <c r="X69" i="13" a="1"/>
  <c r="X69" i="13" s="1"/>
  <c r="D94" i="13"/>
  <c r="E58" i="13"/>
  <c r="F57" i="13"/>
  <c r="G57" i="13" s="1"/>
  <c r="G33" i="13"/>
  <c r="D95" i="13" s="1"/>
  <c r="Q69" i="13" a="1"/>
  <c r="Q69" i="13" s="1"/>
  <c r="AC69" i="13" a="1"/>
  <c r="AC69" i="13" s="1"/>
  <c r="AP69" i="13" a="1"/>
  <c r="AP69" i="13" s="1"/>
  <c r="BB69" i="13" a="1"/>
  <c r="BB69" i="13" s="1"/>
  <c r="BN69" i="13" a="1"/>
  <c r="BN69" i="13" s="1"/>
  <c r="C96" i="13"/>
  <c r="G39" i="13"/>
  <c r="D101" i="13" s="1"/>
  <c r="E69" i="13" a="1"/>
  <c r="E69" i="13" s="1"/>
  <c r="R69" i="13" a="1"/>
  <c r="R69" i="13" s="1"/>
  <c r="AD69" i="13" a="1"/>
  <c r="AD69" i="13" s="1"/>
  <c r="AQ69" i="13" a="1"/>
  <c r="AQ69" i="13" s="1"/>
  <c r="BC69" i="13" a="1"/>
  <c r="BC69" i="13" s="1"/>
  <c r="D88" i="13" a="1"/>
  <c r="D88" i="13" s="1"/>
  <c r="G35" i="13"/>
  <c r="D97" i="13" s="1"/>
  <c r="P69" i="13" a="1"/>
  <c r="P69" i="13" s="1"/>
  <c r="AB69" i="13" a="1"/>
  <c r="AB69" i="13" s="1"/>
  <c r="BM69" i="13" a="1"/>
  <c r="BM69" i="13" s="1"/>
  <c r="G36" i="13"/>
  <c r="D98" i="13" s="1"/>
  <c r="C40" i="13"/>
  <c r="E88" i="13" a="1"/>
  <c r="E88" i="13" s="1"/>
  <c r="C69" i="13" a="1"/>
  <c r="C69" i="13" s="1"/>
  <c r="G69" i="13" a="1"/>
  <c r="G69" i="13" s="1"/>
  <c r="T69" i="13" a="1"/>
  <c r="T69" i="13" s="1"/>
  <c r="AF69" i="13" a="1"/>
  <c r="AF69" i="13" s="1"/>
  <c r="AS69" i="13" a="1"/>
  <c r="AS69" i="13" s="1"/>
  <c r="BE69" i="13" a="1"/>
  <c r="BE69" i="13" s="1"/>
  <c r="B97" i="13"/>
  <c r="F88" i="13" a="1"/>
  <c r="F88" i="13" s="1"/>
  <c r="G37" i="13"/>
  <c r="D99" i="13" s="1"/>
  <c r="C58" i="13"/>
  <c r="I69" i="13" a="1"/>
  <c r="I69" i="13" s="1"/>
  <c r="U69" i="13" a="1"/>
  <c r="U69" i="13" s="1"/>
  <c r="AH69" i="13" a="1"/>
  <c r="AH69" i="13" s="1"/>
  <c r="AT69" i="13" a="1"/>
  <c r="AT69" i="13" s="1"/>
  <c r="BG69" i="13" a="1"/>
  <c r="BG69" i="13" s="1"/>
  <c r="G88" i="13" a="1"/>
  <c r="G88" i="13" s="1"/>
  <c r="G38" i="13"/>
  <c r="D100" i="13" s="1"/>
  <c r="AO69" i="13" a="1"/>
  <c r="AO69" i="13" s="1"/>
  <c r="J69" i="13" a="1"/>
  <c r="J69" i="13" s="1"/>
  <c r="V69" i="13" a="1"/>
  <c r="V69" i="13" s="1"/>
  <c r="AI69" i="13" a="1"/>
  <c r="AI69" i="13" s="1"/>
  <c r="AU69" i="13" a="1"/>
  <c r="AU69" i="13" s="1"/>
  <c r="BH69" i="13" a="1"/>
  <c r="BH69" i="13" s="1"/>
  <c r="H88" i="13" a="1"/>
  <c r="H88" i="13" s="1"/>
  <c r="B101" i="13"/>
  <c r="C88" i="13" a="1"/>
  <c r="C88" i="13" s="1"/>
  <c r="F69" i="13" a="1"/>
  <c r="F69" i="13" s="1"/>
  <c r="S69" i="13" a="1"/>
  <c r="S69" i="13" s="1"/>
  <c r="AE69" i="13" a="1"/>
  <c r="AE69" i="13" s="1"/>
  <c r="AR69" i="13" a="1"/>
  <c r="AR69" i="13" s="1"/>
  <c r="BD69" i="13" a="1"/>
  <c r="BD69" i="13" s="1"/>
  <c r="G34" i="13"/>
  <c r="D96" i="13" s="1"/>
  <c r="D69" i="13" a="1"/>
  <c r="D69" i="13" s="1"/>
  <c r="H69" i="13" a="1"/>
  <c r="H69" i="13" s="1"/>
  <c r="AG69" i="13" a="1"/>
  <c r="AG69" i="13" s="1"/>
  <c r="BF69" i="13" a="1"/>
  <c r="BF69" i="13" s="1"/>
  <c r="D58" i="13"/>
  <c r="K69" i="13" a="1"/>
  <c r="K69" i="13" s="1"/>
  <c r="W69" i="13" a="1"/>
  <c r="W69" i="13" s="1"/>
  <c r="AJ69" i="13" a="1"/>
  <c r="AJ69" i="13" s="1"/>
  <c r="AV69" i="13" a="1"/>
  <c r="AV69" i="13" s="1"/>
  <c r="BI69" i="13" a="1"/>
  <c r="BI69" i="13" s="1"/>
  <c r="B98" i="13"/>
  <c r="C101" i="13"/>
  <c r="L69" i="13" a="1"/>
  <c r="L69" i="13" s="1"/>
  <c r="AK69" i="13" a="1"/>
  <c r="AK69" i="13" s="1"/>
  <c r="C98" i="13"/>
  <c r="L64" i="12"/>
  <c r="H64" i="12"/>
  <c r="H62" i="12"/>
  <c r="I62" i="12"/>
  <c r="D70" i="12"/>
  <c r="E76" i="12"/>
  <c r="D60" i="12"/>
  <c r="H61" i="12"/>
  <c r="L63" i="12"/>
  <c r="H73" i="12"/>
  <c r="F60" i="12"/>
  <c r="F81" i="12"/>
  <c r="D67" i="12"/>
  <c r="D78" i="12"/>
  <c r="J57" i="12"/>
  <c r="D71" i="12"/>
  <c r="F78" i="12"/>
  <c r="F79" i="12"/>
  <c r="F86" i="12"/>
  <c r="E63" i="12"/>
  <c r="E77" i="12"/>
  <c r="H79" i="12"/>
  <c r="E64" i="12"/>
  <c r="E78" i="12"/>
  <c r="F72" i="12"/>
  <c r="F57" i="12"/>
  <c r="F59" i="12"/>
  <c r="F68" i="12"/>
  <c r="G70" i="12"/>
  <c r="H57" i="12"/>
  <c r="L59" i="12"/>
  <c r="D66" i="12"/>
  <c r="H68" i="12"/>
  <c r="H70" i="12"/>
  <c r="D77" i="12"/>
  <c r="I57" i="12"/>
  <c r="F66" i="12"/>
  <c r="L68" i="12"/>
  <c r="F77" i="12"/>
  <c r="D84" i="12"/>
  <c r="E65" i="12"/>
  <c r="E79" i="12"/>
  <c r="E66" i="12"/>
  <c r="E80" i="12"/>
  <c r="H66" i="12"/>
  <c r="H77" i="12"/>
  <c r="K78" i="12"/>
  <c r="F62" i="12"/>
  <c r="F64" i="12"/>
  <c r="F73" i="12"/>
  <c r="F75" i="12"/>
  <c r="F82" i="12"/>
  <c r="H84" i="12"/>
  <c r="D87" i="12"/>
  <c r="E67" i="12"/>
  <c r="E81" i="12"/>
  <c r="H82" i="12"/>
  <c r="F87" i="12"/>
  <c r="E68" i="12"/>
  <c r="E82" i="12"/>
  <c r="L82" i="12"/>
  <c r="H87" i="12"/>
  <c r="E69" i="12"/>
  <c r="E83" i="12"/>
  <c r="E70" i="12"/>
  <c r="E84" i="12"/>
  <c r="D85" i="12"/>
  <c r="E57" i="12"/>
  <c r="E71" i="12"/>
  <c r="E85" i="12"/>
  <c r="H58" i="12"/>
  <c r="I67" i="12"/>
  <c r="D76" i="12"/>
  <c r="I78" i="12"/>
  <c r="F85" i="12"/>
  <c r="E58" i="12"/>
  <c r="E72" i="12"/>
  <c r="E86" i="12"/>
  <c r="L73" i="12"/>
  <c r="H83" i="12"/>
  <c r="F76" i="12"/>
  <c r="D83" i="12"/>
  <c r="D88" i="12"/>
  <c r="E59" i="12"/>
  <c r="E73" i="12"/>
  <c r="E87" i="12"/>
  <c r="F80" i="12"/>
  <c r="L62" i="12"/>
  <c r="F69" i="12"/>
  <c r="H71" i="12"/>
  <c r="F58" i="12"/>
  <c r="F67" i="12"/>
  <c r="H69" i="12"/>
  <c r="D61" i="12"/>
  <c r="D65" i="12"/>
  <c r="D74" i="12"/>
  <c r="F61" i="12"/>
  <c r="D63" i="12"/>
  <c r="F65" i="12"/>
  <c r="D72" i="12"/>
  <c r="F74" i="12"/>
  <c r="H76" i="12"/>
  <c r="D81" i="12"/>
  <c r="F83" i="12"/>
  <c r="F88" i="12"/>
  <c r="E60" i="12"/>
  <c r="E74" i="12"/>
  <c r="E88" i="12"/>
  <c r="E61" i="12"/>
  <c r="E75" i="12"/>
  <c r="F63" i="12"/>
  <c r="H74" i="12"/>
  <c r="D57" i="12"/>
  <c r="D59" i="12"/>
  <c r="L61" i="12"/>
  <c r="H63" i="12"/>
  <c r="D68" i="12"/>
  <c r="F70" i="12"/>
  <c r="J74" i="12"/>
  <c r="D79" i="12"/>
  <c r="E62" i="12"/>
  <c r="L79" i="12"/>
  <c r="L77" i="12"/>
  <c r="L74" i="12"/>
  <c r="L76" i="12"/>
  <c r="L70" i="12"/>
  <c r="L58" i="12"/>
  <c r="L65" i="12"/>
  <c r="L83" i="12"/>
  <c r="L85" i="12"/>
  <c r="L67" i="12"/>
  <c r="L71" i="12"/>
  <c r="L80" i="12"/>
  <c r="K76" i="12"/>
  <c r="J61" i="12"/>
  <c r="J58" i="12"/>
  <c r="J75" i="12"/>
  <c r="J65" i="12"/>
  <c r="J67" i="12"/>
  <c r="J59" i="12"/>
  <c r="J66" i="12"/>
  <c r="J71" i="12"/>
  <c r="J83" i="12"/>
  <c r="J87" i="12"/>
  <c r="J63" i="12"/>
  <c r="J80" i="12"/>
  <c r="J70" i="12"/>
  <c r="J62" i="12"/>
  <c r="J79" i="12"/>
  <c r="J84" i="12"/>
  <c r="J88" i="12"/>
  <c r="I87" i="12"/>
  <c r="I61" i="12"/>
  <c r="I72" i="12"/>
  <c r="I63" i="12"/>
  <c r="I86" i="12"/>
  <c r="I77" i="12"/>
  <c r="I82" i="12"/>
  <c r="I66" i="12"/>
  <c r="I58" i="12"/>
  <c r="I71" i="12"/>
  <c r="I76" i="12"/>
  <c r="I73" i="12"/>
  <c r="H67" i="12"/>
  <c r="H78" i="12"/>
  <c r="H88" i="12"/>
  <c r="H59" i="12"/>
  <c r="G84" i="12"/>
  <c r="G69" i="12"/>
  <c r="G63" i="12"/>
  <c r="G83" i="12"/>
  <c r="G77" i="12"/>
  <c r="G62" i="12"/>
  <c r="L60" i="12"/>
  <c r="L69" i="12"/>
  <c r="L66" i="12"/>
  <c r="L72" i="12"/>
  <c r="L78" i="12"/>
  <c r="L87" i="12"/>
  <c r="L57" i="12"/>
  <c r="L84" i="12"/>
  <c r="L81" i="12"/>
  <c r="L86" i="12"/>
  <c r="K57" i="12"/>
  <c r="K59" i="12"/>
  <c r="K85" i="12"/>
  <c r="K70" i="12"/>
  <c r="K66" i="12"/>
  <c r="K62" i="12"/>
  <c r="K73" i="12"/>
  <c r="K84" i="12"/>
  <c r="K60" i="12"/>
  <c r="K74" i="12"/>
  <c r="K63" i="12"/>
  <c r="K81" i="12"/>
  <c r="K88" i="12"/>
  <c r="K77" i="12"/>
  <c r="K58" i="12"/>
  <c r="K69" i="12"/>
  <c r="K61" i="12"/>
  <c r="K65" i="12"/>
  <c r="K80" i="12"/>
  <c r="K87" i="12"/>
  <c r="K64" i="12"/>
  <c r="K79" i="12"/>
  <c r="K82" i="12"/>
  <c r="K71" i="12"/>
  <c r="K68" i="12"/>
  <c r="K72" i="12"/>
  <c r="K75" i="12"/>
  <c r="K83" i="12"/>
  <c r="K86" i="12"/>
  <c r="K67" i="12"/>
  <c r="J60" i="12"/>
  <c r="J73" i="12"/>
  <c r="J69" i="12"/>
  <c r="J82" i="12"/>
  <c r="J68" i="12"/>
  <c r="J77" i="12"/>
  <c r="J81" i="12"/>
  <c r="J86" i="12"/>
  <c r="J64" i="12"/>
  <c r="J85" i="12"/>
  <c r="J78" i="12"/>
  <c r="J72" i="12"/>
  <c r="I75" i="12"/>
  <c r="I65" i="12"/>
  <c r="I60" i="12"/>
  <c r="I80" i="12"/>
  <c r="I85" i="12"/>
  <c r="I74" i="12"/>
  <c r="I84" i="12"/>
  <c r="I88" i="12"/>
  <c r="I70" i="12"/>
  <c r="I69" i="12"/>
  <c r="I79" i="12"/>
  <c r="I59" i="12"/>
  <c r="I64" i="12"/>
  <c r="I68" i="12"/>
  <c r="H60" i="12"/>
  <c r="H86" i="12"/>
  <c r="H65" i="12"/>
  <c r="H75" i="12"/>
  <c r="H85" i="12"/>
  <c r="G61" i="12"/>
  <c r="G68" i="12"/>
  <c r="G75" i="12"/>
  <c r="G82" i="12"/>
  <c r="G74" i="12"/>
  <c r="G66" i="12"/>
  <c r="G72" i="12"/>
  <c r="G86" i="12"/>
  <c r="G60" i="12"/>
  <c r="G81" i="12"/>
  <c r="G80" i="12"/>
  <c r="G79" i="12"/>
  <c r="G67" i="12"/>
  <c r="G88" i="12"/>
  <c r="G73" i="12"/>
  <c r="G65" i="12"/>
  <c r="G64" i="12"/>
  <c r="G71" i="12"/>
  <c r="G85" i="12"/>
  <c r="G59" i="12"/>
  <c r="G87" i="12"/>
  <c r="G58" i="12"/>
  <c r="G57" i="12"/>
  <c r="G78" i="12"/>
  <c r="B30" i="8"/>
  <c r="B29" i="8"/>
  <c r="B28" i="8"/>
  <c r="B27" i="8"/>
  <c r="B26" i="8"/>
  <c r="B25" i="8"/>
  <c r="B24" i="8"/>
  <c r="B21" i="8"/>
  <c r="B20" i="8"/>
  <c r="B19" i="8"/>
  <c r="B18" i="8"/>
  <c r="B17" i="8"/>
  <c r="B16" i="8"/>
  <c r="B15" i="8"/>
  <c r="B14" i="8"/>
  <c r="B13" i="8"/>
  <c r="T73" i="7"/>
  <c r="S73" i="7"/>
  <c r="R73" i="7"/>
  <c r="P73" i="7"/>
  <c r="O73" i="7"/>
  <c r="N73" i="7"/>
  <c r="M73" i="7"/>
  <c r="L73" i="7"/>
  <c r="K73" i="7"/>
  <c r="J73" i="7"/>
  <c r="I73" i="7"/>
  <c r="K10" i="6"/>
  <c r="H10" i="6"/>
  <c r="G10" i="6"/>
  <c r="J10" i="6" s="1"/>
  <c r="K9" i="6"/>
  <c r="H9" i="6"/>
  <c r="G9" i="6"/>
  <c r="J9" i="6" s="1"/>
  <c r="K8" i="6"/>
  <c r="H8" i="6"/>
  <c r="G8" i="6"/>
  <c r="J8" i="6" s="1"/>
  <c r="K7" i="6"/>
  <c r="I7" i="6"/>
  <c r="H7" i="6"/>
  <c r="G7" i="6"/>
  <c r="J7" i="6" s="1"/>
  <c r="A83" i="5"/>
  <c r="A82" i="5"/>
  <c r="A81" i="5"/>
  <c r="A80" i="5"/>
  <c r="A79" i="5"/>
  <c r="A78" i="5"/>
  <c r="D32" i="5"/>
  <c r="C32" i="5"/>
  <c r="B32" i="5"/>
  <c r="D31" i="5"/>
  <c r="C31" i="5"/>
  <c r="B31" i="5"/>
  <c r="D30" i="5"/>
  <c r="C30" i="5"/>
  <c r="B30" i="5"/>
  <c r="C29" i="5"/>
  <c r="B29" i="5"/>
  <c r="D22" i="5"/>
  <c r="C22" i="5"/>
  <c r="C28" i="5" s="1"/>
  <c r="B22" i="5"/>
  <c r="B28" i="5" s="1"/>
  <c r="D21" i="5"/>
  <c r="C21" i="5"/>
  <c r="C26" i="5" s="1"/>
  <c r="B21" i="5"/>
  <c r="B26" i="5" s="1"/>
  <c r="D19" i="5"/>
  <c r="C19" i="5"/>
  <c r="C25" i="5" s="1"/>
  <c r="B19" i="5"/>
  <c r="B27" i="5" s="1"/>
  <c r="C29" i="4"/>
  <c r="D29" i="4" s="1"/>
  <c r="B25" i="4"/>
  <c r="B24" i="4"/>
  <c r="C22" i="4"/>
  <c r="B22" i="4"/>
  <c r="D22" i="4" s="1"/>
  <c r="C20" i="4"/>
  <c r="E14" i="4"/>
  <c r="D14" i="4"/>
  <c r="E13" i="4"/>
  <c r="E12" i="4"/>
  <c r="E11" i="4"/>
  <c r="E10" i="4"/>
  <c r="E16" i="4" s="1"/>
  <c r="E9" i="4"/>
  <c r="E8" i="4"/>
  <c r="E7" i="4"/>
  <c r="E6" i="4"/>
  <c r="B20" i="4" s="1"/>
  <c r="F40" i="3"/>
  <c r="E40" i="3"/>
  <c r="BT39" i="3"/>
  <c r="BU39" i="3" s="1"/>
  <c r="BM39" i="3"/>
  <c r="BN39" i="3" s="1"/>
  <c r="BF39" i="3"/>
  <c r="BG39" i="3" s="1"/>
  <c r="BA39" i="3"/>
  <c r="AY39" i="3"/>
  <c r="AZ39" i="3" s="1"/>
  <c r="L39" i="3"/>
  <c r="K39" i="3"/>
  <c r="J39" i="3"/>
  <c r="BW38" i="3"/>
  <c r="BV38" i="3"/>
  <c r="BT38" i="3"/>
  <c r="BU38" i="3" s="1"/>
  <c r="BM38" i="3"/>
  <c r="BN38" i="3" s="1"/>
  <c r="BI38" i="3"/>
  <c r="BH38" i="3"/>
  <c r="BF38" i="3"/>
  <c r="BG38" i="3" s="1"/>
  <c r="AY38" i="3"/>
  <c r="AZ38" i="3" s="1"/>
  <c r="L38" i="3"/>
  <c r="K38" i="3"/>
  <c r="J38" i="3"/>
  <c r="BV37" i="3"/>
  <c r="BT37" i="3"/>
  <c r="BU37" i="3" s="1"/>
  <c r="BP37" i="3"/>
  <c r="BM37" i="3"/>
  <c r="BN37" i="3" s="1"/>
  <c r="BI37" i="3"/>
  <c r="BH37" i="3"/>
  <c r="BF37" i="3"/>
  <c r="BG37" i="3" s="1"/>
  <c r="AY37" i="3"/>
  <c r="AZ37" i="3" s="1"/>
  <c r="L37" i="3"/>
  <c r="K37" i="3"/>
  <c r="J37" i="3"/>
  <c r="BO37" i="3" s="1"/>
  <c r="BW36" i="3"/>
  <c r="BV36" i="3"/>
  <c r="BT36" i="3"/>
  <c r="BU36" i="3" s="1"/>
  <c r="BP36" i="3"/>
  <c r="BM36" i="3"/>
  <c r="BN36" i="3" s="1"/>
  <c r="BI36" i="3"/>
  <c r="BH36" i="3"/>
  <c r="BF36" i="3"/>
  <c r="BG36" i="3" s="1"/>
  <c r="BB36" i="3"/>
  <c r="AY36" i="3"/>
  <c r="AZ36" i="3" s="1"/>
  <c r="L36" i="3"/>
  <c r="K36" i="3"/>
  <c r="J36" i="3"/>
  <c r="BO36" i="3" s="1"/>
  <c r="BT35" i="3"/>
  <c r="BU35" i="3" s="1"/>
  <c r="BM35" i="3"/>
  <c r="BN35" i="3" s="1"/>
  <c r="BF35" i="3"/>
  <c r="BG35" i="3" s="1"/>
  <c r="AY35" i="3"/>
  <c r="AZ35" i="3" s="1"/>
  <c r="L35" i="3"/>
  <c r="K35" i="3"/>
  <c r="J35" i="3"/>
  <c r="BT34" i="3"/>
  <c r="BU34" i="3" s="1"/>
  <c r="BM34" i="3"/>
  <c r="BN34" i="3" s="1"/>
  <c r="BF34" i="3"/>
  <c r="BG34" i="3" s="1"/>
  <c r="AY34" i="3"/>
  <c r="AZ34" i="3" s="1"/>
  <c r="L34" i="3"/>
  <c r="K34" i="3"/>
  <c r="J34" i="3"/>
  <c r="BI34" i="3" s="1"/>
  <c r="BT33" i="3"/>
  <c r="BU33" i="3" s="1"/>
  <c r="BM33" i="3"/>
  <c r="BN33" i="3" s="1"/>
  <c r="BF33" i="3"/>
  <c r="BG33" i="3" s="1"/>
  <c r="AY33" i="3"/>
  <c r="AZ33" i="3" s="1"/>
  <c r="L33" i="3"/>
  <c r="K33" i="3"/>
  <c r="J33" i="3"/>
  <c r="BT32" i="3"/>
  <c r="BU32" i="3" s="1"/>
  <c r="BM32" i="3"/>
  <c r="BN32" i="3" s="1"/>
  <c r="BF32" i="3"/>
  <c r="BG32" i="3" s="1"/>
  <c r="AY32" i="3"/>
  <c r="AZ32" i="3" s="1"/>
  <c r="L32" i="3"/>
  <c r="K32" i="3"/>
  <c r="J32" i="3"/>
  <c r="BP32" i="3" s="1"/>
  <c r="BT31" i="3"/>
  <c r="BU31" i="3" s="1"/>
  <c r="BM31" i="3"/>
  <c r="BN31" i="3" s="1"/>
  <c r="BF31" i="3"/>
  <c r="BG31" i="3" s="1"/>
  <c r="AY31" i="3"/>
  <c r="AZ31" i="3" s="1"/>
  <c r="L31" i="3"/>
  <c r="K31" i="3"/>
  <c r="J31" i="3"/>
  <c r="BT30" i="3"/>
  <c r="BU30" i="3" s="1"/>
  <c r="BP30" i="3"/>
  <c r="BM30" i="3"/>
  <c r="BN30" i="3" s="1"/>
  <c r="BF30" i="3"/>
  <c r="BG30" i="3" s="1"/>
  <c r="AY30" i="3"/>
  <c r="AZ30" i="3" s="1"/>
  <c r="L30" i="3"/>
  <c r="K30" i="3"/>
  <c r="BO30" i="3" s="1"/>
  <c r="J30" i="3"/>
  <c r="BT29" i="3"/>
  <c r="BU29" i="3" s="1"/>
  <c r="BM29" i="3"/>
  <c r="BN29" i="3" s="1"/>
  <c r="BF29" i="3"/>
  <c r="BG29" i="3" s="1"/>
  <c r="AY29" i="3"/>
  <c r="AZ29" i="3" s="1"/>
  <c r="L29" i="3"/>
  <c r="K29" i="3"/>
  <c r="J29" i="3"/>
  <c r="BB29" i="3" s="1"/>
  <c r="BT28" i="3"/>
  <c r="BU28" i="3" s="1"/>
  <c r="BM28" i="3"/>
  <c r="BN28" i="3" s="1"/>
  <c r="BF28" i="3"/>
  <c r="BG28" i="3" s="1"/>
  <c r="AY28" i="3"/>
  <c r="AZ28" i="3" s="1"/>
  <c r="L28" i="3"/>
  <c r="K28" i="3"/>
  <c r="J28" i="3"/>
  <c r="BT27" i="3"/>
  <c r="BU27" i="3" s="1"/>
  <c r="BM27" i="3"/>
  <c r="BN27" i="3" s="1"/>
  <c r="BF27" i="3"/>
  <c r="BG27" i="3" s="1"/>
  <c r="AY27" i="3"/>
  <c r="AZ27" i="3" s="1"/>
  <c r="L27" i="3"/>
  <c r="K27" i="3"/>
  <c r="BO27" i="3" s="1"/>
  <c r="J27" i="3"/>
  <c r="BT26" i="3"/>
  <c r="BU26" i="3" s="1"/>
  <c r="BM26" i="3"/>
  <c r="BN26" i="3" s="1"/>
  <c r="BF26" i="3"/>
  <c r="BG26" i="3" s="1"/>
  <c r="AY26" i="3"/>
  <c r="AZ26" i="3" s="1"/>
  <c r="L26" i="3"/>
  <c r="K26" i="3"/>
  <c r="J26" i="3"/>
  <c r="BW26" i="3" s="1"/>
  <c r="BV25" i="3"/>
  <c r="BT25" i="3"/>
  <c r="BU25" i="3" s="1"/>
  <c r="BM25" i="3"/>
  <c r="BN25" i="3" s="1"/>
  <c r="BF25" i="3"/>
  <c r="BG25" i="3" s="1"/>
  <c r="AY25" i="3"/>
  <c r="AZ25" i="3" s="1"/>
  <c r="L25" i="3"/>
  <c r="K25" i="3"/>
  <c r="J25" i="3"/>
  <c r="BH25" i="3" s="1"/>
  <c r="BT24" i="3"/>
  <c r="BU24" i="3" s="1"/>
  <c r="BM24" i="3"/>
  <c r="BN24" i="3" s="1"/>
  <c r="BF24" i="3"/>
  <c r="BG24" i="3" s="1"/>
  <c r="AY24" i="3"/>
  <c r="AZ24" i="3" s="1"/>
  <c r="L24" i="3"/>
  <c r="K24" i="3"/>
  <c r="J24" i="3"/>
  <c r="BW24" i="3" s="1"/>
  <c r="BT23" i="3"/>
  <c r="BU23" i="3" s="1"/>
  <c r="BP23" i="3"/>
  <c r="BM23" i="3"/>
  <c r="BN23" i="3" s="1"/>
  <c r="BF23" i="3"/>
  <c r="BG23" i="3" s="1"/>
  <c r="BB23" i="3"/>
  <c r="AY23" i="3"/>
  <c r="AZ23" i="3" s="1"/>
  <c r="L23" i="3"/>
  <c r="K23" i="3"/>
  <c r="BH23" i="3" s="1"/>
  <c r="J23" i="3"/>
  <c r="BI23" i="3" s="1"/>
  <c r="BT22" i="3"/>
  <c r="BU22" i="3" s="1"/>
  <c r="BM22" i="3"/>
  <c r="BN22" i="3" s="1"/>
  <c r="BF22" i="3"/>
  <c r="BG22" i="3" s="1"/>
  <c r="AY22" i="3"/>
  <c r="AZ22" i="3" s="1"/>
  <c r="L22" i="3"/>
  <c r="K22" i="3"/>
  <c r="J22" i="3"/>
  <c r="BT21" i="3"/>
  <c r="BU21" i="3" s="1"/>
  <c r="BP21" i="3"/>
  <c r="BO21" i="3"/>
  <c r="BM21" i="3"/>
  <c r="BN21" i="3" s="1"/>
  <c r="BF21" i="3"/>
  <c r="BG21" i="3" s="1"/>
  <c r="AY21" i="3"/>
  <c r="AZ21" i="3" s="1"/>
  <c r="L21" i="3"/>
  <c r="K21" i="3"/>
  <c r="J21" i="3"/>
  <c r="BV21" i="3" s="1"/>
  <c r="BW20" i="3"/>
  <c r="BV20" i="3"/>
  <c r="BT20" i="3"/>
  <c r="BU20" i="3" s="1"/>
  <c r="BM20" i="3"/>
  <c r="BN20" i="3" s="1"/>
  <c r="BF20" i="3"/>
  <c r="BG20" i="3" s="1"/>
  <c r="AY20" i="3"/>
  <c r="AZ20" i="3" s="1"/>
  <c r="L20" i="3"/>
  <c r="K20" i="3"/>
  <c r="J20" i="3"/>
  <c r="BI20" i="3" s="1"/>
  <c r="BT19" i="3"/>
  <c r="BU19" i="3" s="1"/>
  <c r="BM19" i="3"/>
  <c r="BN19" i="3" s="1"/>
  <c r="BF19" i="3"/>
  <c r="BG19" i="3" s="1"/>
  <c r="BB19" i="3"/>
  <c r="AY19" i="3"/>
  <c r="AZ19" i="3" s="1"/>
  <c r="L19" i="3"/>
  <c r="K19" i="3"/>
  <c r="J19" i="3"/>
  <c r="BA19" i="3" s="1"/>
  <c r="BT18" i="3"/>
  <c r="BU18" i="3" s="1"/>
  <c r="BM18" i="3"/>
  <c r="BN18" i="3" s="1"/>
  <c r="BF18" i="3"/>
  <c r="BG18" i="3" s="1"/>
  <c r="AY18" i="3"/>
  <c r="AZ18" i="3" s="1"/>
  <c r="L18" i="3"/>
  <c r="K18" i="3"/>
  <c r="J18" i="3"/>
  <c r="BW17" i="3"/>
  <c r="BV17" i="3"/>
  <c r="BT17" i="3"/>
  <c r="BU17" i="3" s="1"/>
  <c r="BM17" i="3"/>
  <c r="BN17" i="3" s="1"/>
  <c r="BF17" i="3"/>
  <c r="BG17" i="3" s="1"/>
  <c r="AY17" i="3"/>
  <c r="AZ17" i="3" s="1"/>
  <c r="L17" i="3"/>
  <c r="K17" i="3"/>
  <c r="J17" i="3"/>
  <c r="BO17" i="3" s="1"/>
  <c r="BT16" i="3"/>
  <c r="BU16" i="3" s="1"/>
  <c r="BM16" i="3"/>
  <c r="BN16" i="3" s="1"/>
  <c r="BF16" i="3"/>
  <c r="BG16" i="3" s="1"/>
  <c r="AY16" i="3"/>
  <c r="AZ16" i="3" s="1"/>
  <c r="L16" i="3"/>
  <c r="K16" i="3"/>
  <c r="J16" i="3"/>
  <c r="BB16" i="3" s="1"/>
  <c r="BW15" i="3"/>
  <c r="BT15" i="3"/>
  <c r="BU15" i="3" s="1"/>
  <c r="BO15" i="3"/>
  <c r="BM15" i="3"/>
  <c r="BN15" i="3" s="1"/>
  <c r="BI15" i="3"/>
  <c r="BF15" i="3"/>
  <c r="BG15" i="3" s="1"/>
  <c r="AY15" i="3"/>
  <c r="AZ15" i="3" s="1"/>
  <c r="L15" i="3"/>
  <c r="K15" i="3"/>
  <c r="BH15" i="3" s="1"/>
  <c r="J15" i="3"/>
  <c r="BW14" i="3"/>
  <c r="BT14" i="3"/>
  <c r="BU14" i="3" s="1"/>
  <c r="BP14" i="3"/>
  <c r="BM14" i="3"/>
  <c r="BN14" i="3" s="1"/>
  <c r="BI14" i="3"/>
  <c r="BF14" i="3"/>
  <c r="BG14" i="3" s="1"/>
  <c r="AY14" i="3"/>
  <c r="AZ14" i="3" s="1"/>
  <c r="L14" i="3"/>
  <c r="K14" i="3"/>
  <c r="J14" i="3"/>
  <c r="BU13" i="3"/>
  <c r="BT13" i="3"/>
  <c r="BM13" i="3"/>
  <c r="BN13" i="3" s="1"/>
  <c r="BF13" i="3"/>
  <c r="BG13" i="3" s="1"/>
  <c r="BB13" i="3"/>
  <c r="BA13" i="3"/>
  <c r="AY13" i="3"/>
  <c r="AZ13" i="3" s="1"/>
  <c r="P13" i="3"/>
  <c r="L13" i="3"/>
  <c r="K13" i="3"/>
  <c r="J13" i="3"/>
  <c r="BT12" i="3"/>
  <c r="BU12" i="3" s="1"/>
  <c r="BM12" i="3"/>
  <c r="BN12" i="3" s="1"/>
  <c r="BF12" i="3"/>
  <c r="BG12" i="3" s="1"/>
  <c r="AY12" i="3"/>
  <c r="AZ12" i="3" s="1"/>
  <c r="L12" i="3"/>
  <c r="K12" i="3"/>
  <c r="J12" i="3"/>
  <c r="BO12" i="3" s="1"/>
  <c r="BT11" i="3"/>
  <c r="BU11" i="3" s="1"/>
  <c r="BM11" i="3"/>
  <c r="BN11" i="3" s="1"/>
  <c r="BF11" i="3"/>
  <c r="BG11" i="3" s="1"/>
  <c r="AY11" i="3"/>
  <c r="AZ11" i="3" s="1"/>
  <c r="L11" i="3"/>
  <c r="K11" i="3"/>
  <c r="J11" i="3"/>
  <c r="BB11" i="3" s="1"/>
  <c r="BT10" i="3"/>
  <c r="BU10" i="3" s="1"/>
  <c r="BP10" i="3"/>
  <c r="BO10" i="3"/>
  <c r="BM10" i="3"/>
  <c r="BN10" i="3" s="1"/>
  <c r="BF10" i="3"/>
  <c r="BG10" i="3" s="1"/>
  <c r="AY10" i="3"/>
  <c r="AZ10" i="3" s="1"/>
  <c r="L10" i="3"/>
  <c r="K10" i="3"/>
  <c r="J10" i="3"/>
  <c r="BB10" i="3" s="1"/>
  <c r="BT9" i="3"/>
  <c r="BU9" i="3" s="1"/>
  <c r="BO9" i="3"/>
  <c r="BM9" i="3"/>
  <c r="BN9" i="3" s="1"/>
  <c r="BF9" i="3"/>
  <c r="BG9" i="3" s="1"/>
  <c r="AY9" i="3"/>
  <c r="AZ9" i="3" s="1"/>
  <c r="L9" i="3"/>
  <c r="K9" i="3"/>
  <c r="J9" i="3"/>
  <c r="BT8" i="3"/>
  <c r="BU8" i="3" s="1"/>
  <c r="BM8" i="3"/>
  <c r="BN8" i="3" s="1"/>
  <c r="BF8" i="3"/>
  <c r="BG8" i="3" s="1"/>
  <c r="AY8" i="3"/>
  <c r="AZ8" i="3" s="1"/>
  <c r="L8" i="3"/>
  <c r="K8" i="3"/>
  <c r="J8" i="3"/>
  <c r="M12" i="3"/>
  <c r="N12" i="3" s="1"/>
  <c r="O12" i="3" s="1"/>
  <c r="C4" i="3"/>
  <c r="B96" i="1"/>
  <c r="B95" i="1"/>
  <c r="B93" i="1"/>
  <c r="B92" i="1"/>
  <c r="B89" i="1"/>
  <c r="B84" i="1"/>
  <c r="B83" i="1"/>
  <c r="B82" i="1"/>
  <c r="B81"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B28" i="1"/>
  <c r="B27" i="1"/>
  <c r="B26" i="1"/>
  <c r="B25" i="1"/>
  <c r="B24" i="1"/>
  <c r="B23" i="1"/>
  <c r="B22" i="1"/>
  <c r="B21" i="1"/>
  <c r="B20" i="1"/>
  <c r="B19" i="1"/>
  <c r="B18" i="1"/>
  <c r="B17" i="1"/>
  <c r="B5" i="1"/>
  <c r="C22" i="1" s="1"/>
  <c r="B4" i="1"/>
  <c r="G12" i="1" s="1"/>
  <c r="B3" i="1"/>
  <c r="B91" i="1" s="1"/>
  <c r="C24" i="9" l="1"/>
  <c r="B119" i="13" s="1"/>
  <c r="F58" i="13"/>
  <c r="H57" i="13"/>
  <c r="G58" i="13"/>
  <c r="H40" i="13"/>
  <c r="B105" i="13"/>
  <c r="G68" i="13" a="1"/>
  <c r="G68" i="13" s="1"/>
  <c r="B24" i="5"/>
  <c r="C24" i="5"/>
  <c r="F68" i="13" a="1"/>
  <c r="F68" i="13" s="1"/>
  <c r="E68" i="13" a="1"/>
  <c r="E68" i="13" s="1"/>
  <c r="C68" i="13" a="1"/>
  <c r="C68" i="13" s="1"/>
  <c r="D68" i="13" a="1"/>
  <c r="D68" i="13" s="1"/>
  <c r="H68" i="13" a="1"/>
  <c r="H68" i="13" s="1"/>
  <c r="I57" i="13"/>
  <c r="H58" i="13"/>
  <c r="BR36" i="3"/>
  <c r="BZ20" i="3"/>
  <c r="D89" i="12"/>
  <c r="BQ36" i="3"/>
  <c r="BK15" i="3"/>
  <c r="BX38" i="3"/>
  <c r="BY38" i="3"/>
  <c r="B29" i="12"/>
  <c r="BH16" i="3"/>
  <c r="BI24" i="3"/>
  <c r="BK24" i="3" s="1"/>
  <c r="BH26" i="3"/>
  <c r="BL26" i="3" s="1"/>
  <c r="BI17" i="3"/>
  <c r="BH20" i="3"/>
  <c r="BJ20" i="3" s="1"/>
  <c r="BB21" i="3"/>
  <c r="BE21" i="3" s="1"/>
  <c r="BL15" i="3"/>
  <c r="BA24" i="3"/>
  <c r="BH24" i="3"/>
  <c r="BA17" i="3"/>
  <c r="U16" i="3"/>
  <c r="BO24" i="3"/>
  <c r="BV14" i="3"/>
  <c r="BZ14" i="3" s="1"/>
  <c r="U21" i="3"/>
  <c r="BV26" i="3"/>
  <c r="BY26" i="3" s="1"/>
  <c r="BH21" i="3"/>
  <c r="BV23" i="3"/>
  <c r="BY23" i="3" s="1"/>
  <c r="BW29" i="3"/>
  <c r="BS37" i="3"/>
  <c r="BW37" i="3"/>
  <c r="BZ37" i="3" s="1"/>
  <c r="K40" i="3"/>
  <c r="BE13" i="3"/>
  <c r="BS10" i="3"/>
  <c r="BX20" i="3"/>
  <c r="BW21" i="3"/>
  <c r="BZ21" i="3" s="1"/>
  <c r="P24" i="3"/>
  <c r="BA25" i="3"/>
  <c r="BI26" i="3"/>
  <c r="BI29" i="3"/>
  <c r="BA21" i="3"/>
  <c r="BI32" i="3"/>
  <c r="BO19" i="3"/>
  <c r="BP29" i="3"/>
  <c r="BA15" i="3"/>
  <c r="BD15" i="3" s="1"/>
  <c r="BS36" i="3"/>
  <c r="BA10" i="3"/>
  <c r="BV24" i="3"/>
  <c r="BO25" i="3"/>
  <c r="BO32" i="3"/>
  <c r="BR32" i="3" s="1"/>
  <c r="Q14" i="3"/>
  <c r="BI21" i="3"/>
  <c r="BO23" i="3"/>
  <c r="BS23" i="3" s="1"/>
  <c r="BW23" i="3"/>
  <c r="BP25" i="3"/>
  <c r="BB37" i="3"/>
  <c r="BK16" i="3"/>
  <c r="C26" i="1"/>
  <c r="J40" i="3"/>
  <c r="B85" i="1" s="1"/>
  <c r="BW8" i="3"/>
  <c r="BI8" i="3"/>
  <c r="BV8" i="3"/>
  <c r="BH8" i="3"/>
  <c r="Q8" i="3"/>
  <c r="BW9" i="3"/>
  <c r="BI9" i="3"/>
  <c r="P9" i="3"/>
  <c r="U12" i="3"/>
  <c r="BW12" i="3"/>
  <c r="BI12" i="3"/>
  <c r="BV12" i="3"/>
  <c r="BH12" i="3"/>
  <c r="Q12" i="3"/>
  <c r="P12" i="3"/>
  <c r="P19" i="3"/>
  <c r="U28" i="3"/>
  <c r="BV28" i="3"/>
  <c r="Q28" i="3"/>
  <c r="BP28" i="3"/>
  <c r="BB28" i="3"/>
  <c r="BW28" i="3"/>
  <c r="BA28" i="3"/>
  <c r="BO28" i="3"/>
  <c r="P28" i="3"/>
  <c r="C20" i="1"/>
  <c r="M10" i="3"/>
  <c r="N10" i="3" s="1"/>
  <c r="O10" i="3" s="1"/>
  <c r="BJ15" i="3"/>
  <c r="BV16" i="3"/>
  <c r="BZ17" i="3"/>
  <c r="Q19" i="3"/>
  <c r="C25" i="1"/>
  <c r="C28" i="1"/>
  <c r="C18" i="1"/>
  <c r="C21" i="1"/>
  <c r="M35" i="3"/>
  <c r="N35" i="3" s="1"/>
  <c r="O35" i="3" s="1"/>
  <c r="M26" i="3"/>
  <c r="N26" i="3" s="1"/>
  <c r="O26" i="3" s="1"/>
  <c r="M32" i="3"/>
  <c r="N32" i="3" s="1"/>
  <c r="O32" i="3" s="1"/>
  <c r="M27" i="3"/>
  <c r="N27" i="3" s="1"/>
  <c r="O27" i="3" s="1"/>
  <c r="M30" i="3"/>
  <c r="N30" i="3" s="1"/>
  <c r="O30" i="3" s="1"/>
  <c r="M33" i="3"/>
  <c r="N33" i="3" s="1"/>
  <c r="O33" i="3" s="1"/>
  <c r="M31" i="3"/>
  <c r="N31" i="3" s="1"/>
  <c r="O31" i="3" s="1"/>
  <c r="M29" i="3"/>
  <c r="N29" i="3" s="1"/>
  <c r="O29" i="3" s="1"/>
  <c r="M8" i="3"/>
  <c r="N8" i="3" s="1"/>
  <c r="BO8" i="3"/>
  <c r="M9" i="3"/>
  <c r="N9" i="3" s="1"/>
  <c r="O9" i="3" s="1"/>
  <c r="BP9" i="3"/>
  <c r="BS9" i="3" s="1"/>
  <c r="BD10" i="3"/>
  <c r="U11" i="3"/>
  <c r="BW11" i="3"/>
  <c r="BI11" i="3"/>
  <c r="BV11" i="3"/>
  <c r="BH11" i="3"/>
  <c r="Q11" i="3"/>
  <c r="P11" i="3"/>
  <c r="BP12" i="3"/>
  <c r="BR12" i="3" s="1"/>
  <c r="BH14" i="3"/>
  <c r="BI18" i="3"/>
  <c r="BH18" i="3"/>
  <c r="U18" i="3"/>
  <c r="BW18" i="3"/>
  <c r="BV18" i="3"/>
  <c r="BB18" i="3"/>
  <c r="BA18" i="3"/>
  <c r="Q18" i="3"/>
  <c r="BJ21" i="3"/>
  <c r="M25" i="3"/>
  <c r="N25" i="3" s="1"/>
  <c r="O25" i="3" s="1"/>
  <c r="M28" i="3"/>
  <c r="N28" i="3" s="1"/>
  <c r="O28" i="3" s="1"/>
  <c r="C24" i="1"/>
  <c r="M20" i="3"/>
  <c r="N20" i="3" s="1"/>
  <c r="O20" i="3" s="1"/>
  <c r="M23" i="3"/>
  <c r="N23" i="3" s="1"/>
  <c r="O23" i="3" s="1"/>
  <c r="M17" i="3"/>
  <c r="N17" i="3" s="1"/>
  <c r="O17" i="3" s="1"/>
  <c r="M18" i="3"/>
  <c r="N18" i="3" s="1"/>
  <c r="O18" i="3" s="1"/>
  <c r="M19" i="3"/>
  <c r="N19" i="3" s="1"/>
  <c r="O19" i="3" s="1"/>
  <c r="M15" i="3"/>
  <c r="N15" i="3" s="1"/>
  <c r="O15" i="3" s="1"/>
  <c r="M24" i="3"/>
  <c r="N24" i="3" s="1"/>
  <c r="O24" i="3" s="1"/>
  <c r="M21" i="3"/>
  <c r="N21" i="3" s="1"/>
  <c r="O21" i="3" s="1"/>
  <c r="M22" i="3"/>
  <c r="N22" i="3" s="1"/>
  <c r="O22" i="3" s="1"/>
  <c r="M16" i="3"/>
  <c r="N16" i="3" s="1"/>
  <c r="O16" i="3" s="1"/>
  <c r="BP8" i="3"/>
  <c r="BC13" i="3"/>
  <c r="P8" i="3"/>
  <c r="BA8" i="3"/>
  <c r="BA9" i="3"/>
  <c r="U10" i="3"/>
  <c r="BD13" i="3"/>
  <c r="P37" i="3"/>
  <c r="P26" i="3"/>
  <c r="P21" i="3"/>
  <c r="P23" i="3"/>
  <c r="P36" i="3"/>
  <c r="BB8" i="3"/>
  <c r="Q9" i="3"/>
  <c r="BB9" i="3"/>
  <c r="M11" i="3"/>
  <c r="N11" i="3" s="1"/>
  <c r="O11" i="3" s="1"/>
  <c r="M14" i="3"/>
  <c r="N14" i="3" s="1"/>
  <c r="O14" i="3" s="1"/>
  <c r="P15" i="3"/>
  <c r="P17" i="3"/>
  <c r="BH29" i="3"/>
  <c r="BV29" i="3"/>
  <c r="BO29" i="3"/>
  <c r="BA29" i="3"/>
  <c r="U37" i="3"/>
  <c r="C27" i="1"/>
  <c r="C19" i="1"/>
  <c r="BO11" i="3"/>
  <c r="Q15" i="3"/>
  <c r="Q17" i="3"/>
  <c r="P18" i="3"/>
  <c r="BJ23" i="3"/>
  <c r="BL23" i="3"/>
  <c r="BK23" i="3"/>
  <c r="BS30" i="3"/>
  <c r="BR30" i="3"/>
  <c r="BQ30" i="3"/>
  <c r="U8" i="3"/>
  <c r="U9" i="3"/>
  <c r="BV9" i="3"/>
  <c r="BP11" i="3"/>
  <c r="BA12" i="3"/>
  <c r="U13" i="3"/>
  <c r="BW13" i="3"/>
  <c r="BI13" i="3"/>
  <c r="BV13" i="3"/>
  <c r="BH13" i="3"/>
  <c r="Q13" i="3"/>
  <c r="BO18" i="3"/>
  <c r="B90" i="1"/>
  <c r="U38" i="3"/>
  <c r="U29" i="3"/>
  <c r="U24" i="3"/>
  <c r="U39" i="3"/>
  <c r="U36" i="3"/>
  <c r="U27" i="3"/>
  <c r="U14" i="3"/>
  <c r="U30" i="3"/>
  <c r="U23" i="3"/>
  <c r="U32" i="3"/>
  <c r="U19" i="3"/>
  <c r="U15" i="3"/>
  <c r="U17" i="3"/>
  <c r="BB12" i="3"/>
  <c r="P14" i="3"/>
  <c r="BP18" i="3"/>
  <c r="M34" i="3"/>
  <c r="N34" i="3" s="1"/>
  <c r="O34" i="3" s="1"/>
  <c r="BO13" i="3"/>
  <c r="BC19" i="3"/>
  <c r="BE19" i="3"/>
  <c r="BQ23" i="3"/>
  <c r="C17" i="1"/>
  <c r="B19" i="13" s="1"/>
  <c r="Q38" i="3"/>
  <c r="Q37" i="3"/>
  <c r="Q29" i="3"/>
  <c r="Q24" i="3"/>
  <c r="Q26" i="3"/>
  <c r="Q21" i="3"/>
  <c r="Q23" i="3"/>
  <c r="Q36" i="3"/>
  <c r="BH9" i="3"/>
  <c r="BQ10" i="3"/>
  <c r="M13" i="3"/>
  <c r="N13" i="3" s="1"/>
  <c r="O13" i="3" s="1"/>
  <c r="BP13" i="3"/>
  <c r="BR23" i="3"/>
  <c r="BX26" i="3"/>
  <c r="BW10" i="3"/>
  <c r="BI10" i="3"/>
  <c r="BV10" i="3"/>
  <c r="BH10" i="3"/>
  <c r="Q10" i="3"/>
  <c r="P10" i="3"/>
  <c r="BR10" i="3"/>
  <c r="BD19" i="3"/>
  <c r="BY20" i="3"/>
  <c r="BX21" i="3"/>
  <c r="BZ26" i="3"/>
  <c r="BH28" i="3"/>
  <c r="C23" i="1"/>
  <c r="BA11" i="3"/>
  <c r="BO16" i="3"/>
  <c r="BA16" i="3"/>
  <c r="BP16" i="3"/>
  <c r="Q16" i="3"/>
  <c r="P16" i="3"/>
  <c r="BI16" i="3"/>
  <c r="BW16" i="3"/>
  <c r="BI28" i="3"/>
  <c r="BA30" i="3"/>
  <c r="BW31" i="3"/>
  <c r="BI31" i="3"/>
  <c r="BB31" i="3"/>
  <c r="BP31" i="3"/>
  <c r="BA31" i="3"/>
  <c r="BO31" i="3"/>
  <c r="U31" i="3"/>
  <c r="BH31" i="3"/>
  <c r="Q31" i="3"/>
  <c r="P31" i="3"/>
  <c r="BW22" i="3"/>
  <c r="BH22" i="3"/>
  <c r="BP22" i="3"/>
  <c r="BO22" i="3"/>
  <c r="Q22" i="3"/>
  <c r="BA22" i="3"/>
  <c r="BX25" i="3"/>
  <c r="P33" i="3"/>
  <c r="BB33" i="3"/>
  <c r="U33" i="3"/>
  <c r="BA33" i="3"/>
  <c r="BP33" i="3"/>
  <c r="BW33" i="3"/>
  <c r="BV33" i="3"/>
  <c r="BO33" i="3"/>
  <c r="Q33" i="3"/>
  <c r="BI33" i="3"/>
  <c r="BH33" i="3"/>
  <c r="BO20" i="3"/>
  <c r="U20" i="3"/>
  <c r="BB22" i="3"/>
  <c r="BW35" i="3"/>
  <c r="BI35" i="3"/>
  <c r="BH35" i="3"/>
  <c r="U35" i="3"/>
  <c r="BV35" i="3"/>
  <c r="Q35" i="3"/>
  <c r="BB35" i="3"/>
  <c r="BA35" i="3"/>
  <c r="BP35" i="3"/>
  <c r="BQ15" i="3"/>
  <c r="BS21" i="3"/>
  <c r="BL38" i="3"/>
  <c r="BP20" i="3"/>
  <c r="BV22" i="3"/>
  <c r="M39" i="3"/>
  <c r="N39" i="3" s="1"/>
  <c r="O39" i="3" s="1"/>
  <c r="M37" i="3"/>
  <c r="N37" i="3" s="1"/>
  <c r="O37" i="3" s="1"/>
  <c r="M36" i="3"/>
  <c r="N36" i="3" s="1"/>
  <c r="O36" i="3" s="1"/>
  <c r="M38" i="3"/>
  <c r="N38" i="3" s="1"/>
  <c r="O38" i="3" s="1"/>
  <c r="BP15" i="3"/>
  <c r="BS15" i="3" s="1"/>
  <c r="BB15" i="3"/>
  <c r="BP17" i="3"/>
  <c r="BQ17" i="3" s="1"/>
  <c r="BB17" i="3"/>
  <c r="BH17" i="3"/>
  <c r="BX17" i="3"/>
  <c r="BA20" i="3"/>
  <c r="BQ21" i="3"/>
  <c r="P22" i="3"/>
  <c r="BO35" i="3"/>
  <c r="BX36" i="3"/>
  <c r="BZ36" i="3"/>
  <c r="BY17" i="3"/>
  <c r="BB20" i="3"/>
  <c r="BR21" i="3"/>
  <c r="P35" i="3"/>
  <c r="P20" i="3"/>
  <c r="U22" i="3"/>
  <c r="P25" i="3"/>
  <c r="BI25" i="3"/>
  <c r="BK25" i="3" s="1"/>
  <c r="U25" i="3"/>
  <c r="BW25" i="3"/>
  <c r="BZ25" i="3" s="1"/>
  <c r="BB25" i="3"/>
  <c r="Q25" i="3"/>
  <c r="BY36" i="3"/>
  <c r="BO14" i="3"/>
  <c r="BA14" i="3"/>
  <c r="BB14" i="3"/>
  <c r="BV15" i="3"/>
  <c r="BI19" i="3"/>
  <c r="BW19" i="3"/>
  <c r="BH19" i="3"/>
  <c r="BV19" i="3"/>
  <c r="BP19" i="3"/>
  <c r="Q20" i="3"/>
  <c r="BI22" i="3"/>
  <c r="BV31" i="3"/>
  <c r="BV34" i="3"/>
  <c r="BH34" i="3"/>
  <c r="Q34" i="3"/>
  <c r="U34" i="3"/>
  <c r="BB34" i="3"/>
  <c r="BA34" i="3"/>
  <c r="P34" i="3"/>
  <c r="BP34" i="3"/>
  <c r="BW34" i="3"/>
  <c r="BO34" i="3"/>
  <c r="D26" i="5"/>
  <c r="C30" i="4" s="1"/>
  <c r="D30" i="4" s="1"/>
  <c r="D25" i="5"/>
  <c r="D24" i="5"/>
  <c r="BK37" i="3"/>
  <c r="BJ37" i="3"/>
  <c r="P38" i="3"/>
  <c r="BW32" i="3"/>
  <c r="BH32" i="3"/>
  <c r="BV32" i="3"/>
  <c r="BL37" i="3"/>
  <c r="BI27" i="3"/>
  <c r="BW27" i="3"/>
  <c r="BH27" i="3"/>
  <c r="BV27" i="3"/>
  <c r="BP27" i="3"/>
  <c r="BS27" i="3" s="1"/>
  <c r="BA32" i="3"/>
  <c r="BB32" i="3"/>
  <c r="BJ36" i="3"/>
  <c r="BL36" i="3"/>
  <c r="BK36" i="3"/>
  <c r="D20" i="4"/>
  <c r="D25" i="4"/>
  <c r="BQ37" i="3"/>
  <c r="BZ38" i="3"/>
  <c r="P27" i="3"/>
  <c r="BA27" i="3"/>
  <c r="P32" i="3"/>
  <c r="BR37" i="3"/>
  <c r="BB26" i="3"/>
  <c r="BP26" i="3"/>
  <c r="BA26" i="3"/>
  <c r="BO26" i="3"/>
  <c r="U26" i="3"/>
  <c r="Q27" i="3"/>
  <c r="BB27" i="3"/>
  <c r="BV30" i="3"/>
  <c r="BH30" i="3"/>
  <c r="Q30" i="3"/>
  <c r="P30" i="3"/>
  <c r="BI30" i="3"/>
  <c r="BW30" i="3"/>
  <c r="BB30" i="3"/>
  <c r="Q32" i="3"/>
  <c r="D28" i="5"/>
  <c r="C31" i="4" s="1"/>
  <c r="D31" i="4" s="1"/>
  <c r="BW39" i="3"/>
  <c r="BI39" i="3"/>
  <c r="BV39" i="3"/>
  <c r="BH39" i="3"/>
  <c r="Q39" i="3"/>
  <c r="P39" i="3"/>
  <c r="BP39" i="3"/>
  <c r="BB39" i="3"/>
  <c r="BD39" i="3" s="1"/>
  <c r="C23" i="4"/>
  <c r="C25" i="4"/>
  <c r="BJ38" i="3"/>
  <c r="BP24" i="3"/>
  <c r="BB24" i="3"/>
  <c r="BE24" i="3" s="1"/>
  <c r="BK38" i="3"/>
  <c r="BO39" i="3"/>
  <c r="C27" i="5"/>
  <c r="P29" i="3"/>
  <c r="D29" i="5"/>
  <c r="D27" i="5"/>
  <c r="BA38" i="3"/>
  <c r="BO38" i="3"/>
  <c r="B21" i="4"/>
  <c r="D21" i="4" s="1"/>
  <c r="I8" i="6"/>
  <c r="BA23" i="3"/>
  <c r="BA37" i="3"/>
  <c r="BB38" i="3"/>
  <c r="BP38" i="3"/>
  <c r="C21" i="4"/>
  <c r="BA36" i="3"/>
  <c r="B25" i="5"/>
  <c r="I9" i="6"/>
  <c r="B23" i="4"/>
  <c r="D23" i="4" s="1"/>
  <c r="C24" i="4"/>
  <c r="D24" i="4" s="1"/>
  <c r="I10" i="6"/>
  <c r="H61" i="13" l="1" a="1"/>
  <c r="H61" i="13" s="1"/>
  <c r="F61" i="13" a="1"/>
  <c r="F61" i="13" s="1"/>
  <c r="G72" i="13" a="1"/>
  <c r="G72" i="13" s="1"/>
  <c r="G61" i="13" a="1"/>
  <c r="G61" i="13" s="1"/>
  <c r="G62" i="13" s="1"/>
  <c r="O8" i="3"/>
  <c r="AB8" i="3" s="1"/>
  <c r="C72" i="13" a="1"/>
  <c r="C72" i="13" s="1"/>
  <c r="C61" i="13" a="1"/>
  <c r="C61" i="13" s="1"/>
  <c r="C62" i="13" s="1"/>
  <c r="F72" i="13" a="1"/>
  <c r="F72" i="13" s="1"/>
  <c r="E61" i="13" a="1"/>
  <c r="E61" i="13" s="1"/>
  <c r="D61" i="13" a="1"/>
  <c r="D61" i="13" s="1"/>
  <c r="D72" i="13" a="1"/>
  <c r="D72" i="13" s="1"/>
  <c r="E72" i="13" a="1"/>
  <c r="E72" i="13" s="1"/>
  <c r="H72" i="13" a="1"/>
  <c r="H72" i="13" s="1"/>
  <c r="I72" i="13" a="1"/>
  <c r="I72" i="13" s="1"/>
  <c r="I68" i="13" a="1"/>
  <c r="I68" i="13" s="1"/>
  <c r="I58" i="13"/>
  <c r="I61" i="13" a="1"/>
  <c r="I61" i="13" s="1"/>
  <c r="J57" i="13"/>
  <c r="BY25" i="3"/>
  <c r="BD25" i="3"/>
  <c r="BS24" i="3"/>
  <c r="BJ16" i="3"/>
  <c r="BL20" i="3"/>
  <c r="BE15" i="3"/>
  <c r="BC21" i="3"/>
  <c r="BK26" i="3"/>
  <c r="BK21" i="3"/>
  <c r="BS25" i="3"/>
  <c r="BC17" i="3"/>
  <c r="BR17" i="3"/>
  <c r="BQ19" i="3"/>
  <c r="BR15" i="3"/>
  <c r="BJ26" i="3"/>
  <c r="BL24" i="3"/>
  <c r="BS17" i="3"/>
  <c r="BR24" i="3"/>
  <c r="BC15" i="3"/>
  <c r="BK20" i="3"/>
  <c r="E89" i="12"/>
  <c r="B28" i="12"/>
  <c r="Y13" i="3"/>
  <c r="AW24" i="3"/>
  <c r="AU24" i="3"/>
  <c r="AB24" i="3"/>
  <c r="AP24" i="3"/>
  <c r="BY24" i="3"/>
  <c r="BZ24" i="3"/>
  <c r="BX24" i="3"/>
  <c r="BD21" i="3"/>
  <c r="AS24" i="3"/>
  <c r="BX37" i="3"/>
  <c r="BZ23" i="3"/>
  <c r="BL21" i="3"/>
  <c r="AQ24" i="3"/>
  <c r="BY21" i="3"/>
  <c r="BQ24" i="3"/>
  <c r="AH24" i="3"/>
  <c r="AO13" i="3"/>
  <c r="AJ24" i="3"/>
  <c r="S24" i="3" s="1"/>
  <c r="BL16" i="3"/>
  <c r="AK24" i="3"/>
  <c r="BE10" i="3"/>
  <c r="BC10" i="3"/>
  <c r="BJ24" i="3"/>
  <c r="BY14" i="3"/>
  <c r="X24" i="3"/>
  <c r="AM13" i="3"/>
  <c r="BQ32" i="3"/>
  <c r="AT24" i="3"/>
  <c r="BE17" i="3"/>
  <c r="Z24" i="3"/>
  <c r="R24" i="3" s="1"/>
  <c r="CA24" i="3" s="1"/>
  <c r="BS32" i="3"/>
  <c r="BX23" i="3"/>
  <c r="W24" i="3"/>
  <c r="BR25" i="3"/>
  <c r="BX14" i="3"/>
  <c r="AL24" i="3"/>
  <c r="BD17" i="3"/>
  <c r="BQ25" i="3"/>
  <c r="AN24" i="3"/>
  <c r="AV24" i="3"/>
  <c r="T24" i="3" s="1"/>
  <c r="BY37" i="3"/>
  <c r="BE25" i="3"/>
  <c r="BQ12" i="3"/>
  <c r="AS30" i="3"/>
  <c r="AE30" i="3"/>
  <c r="AU30" i="3"/>
  <c r="AF30" i="3"/>
  <c r="AT30" i="3"/>
  <c r="AD30" i="3"/>
  <c r="AR30" i="3"/>
  <c r="AC30" i="3"/>
  <c r="AQ30" i="3"/>
  <c r="AB30" i="3"/>
  <c r="AH30" i="3"/>
  <c r="AG30" i="3"/>
  <c r="AA30" i="3"/>
  <c r="Z30" i="3"/>
  <c r="R30" i="3" s="1"/>
  <c r="CA30" i="3" s="1"/>
  <c r="AW30" i="3"/>
  <c r="Y30" i="3"/>
  <c r="AV30" i="3"/>
  <c r="T30" i="3" s="1"/>
  <c r="AP30" i="3"/>
  <c r="W30" i="3"/>
  <c r="AJ30" i="3"/>
  <c r="S30" i="3" s="1"/>
  <c r="AI30" i="3"/>
  <c r="X30" i="3"/>
  <c r="V30" i="3"/>
  <c r="AN30" i="3"/>
  <c r="AO30" i="3"/>
  <c r="AM30" i="3"/>
  <c r="AL30" i="3"/>
  <c r="AK30" i="3"/>
  <c r="AP27" i="3"/>
  <c r="AB27" i="3"/>
  <c r="AS27" i="3"/>
  <c r="AD27" i="3"/>
  <c r="AR27" i="3"/>
  <c r="AC27" i="3"/>
  <c r="AQ27" i="3"/>
  <c r="AA27" i="3"/>
  <c r="AI27" i="3"/>
  <c r="AH27" i="3"/>
  <c r="AG27" i="3"/>
  <c r="AW27" i="3"/>
  <c r="AE27" i="3"/>
  <c r="AV27" i="3"/>
  <c r="T27" i="3" s="1"/>
  <c r="V27" i="3"/>
  <c r="AU27" i="3"/>
  <c r="AT27" i="3"/>
  <c r="AO27" i="3"/>
  <c r="AN27" i="3"/>
  <c r="AM27" i="3"/>
  <c r="AL27" i="3"/>
  <c r="AK27" i="3"/>
  <c r="AJ27" i="3"/>
  <c r="S27" i="3" s="1"/>
  <c r="Z27" i="3"/>
  <c r="R27" i="3" s="1"/>
  <c r="CA27" i="3" s="1"/>
  <c r="AF27" i="3"/>
  <c r="Y27" i="3"/>
  <c r="X27" i="3"/>
  <c r="W27" i="3"/>
  <c r="BL19" i="3"/>
  <c r="BK19" i="3"/>
  <c r="BJ19" i="3"/>
  <c r="BD35" i="3"/>
  <c r="BE35" i="3"/>
  <c r="BC35" i="3"/>
  <c r="AL14" i="3"/>
  <c r="X14" i="3"/>
  <c r="AK14" i="3"/>
  <c r="W14" i="3"/>
  <c r="AJ14" i="3"/>
  <c r="S14" i="3" s="1"/>
  <c r="V14" i="3"/>
  <c r="AW14" i="3"/>
  <c r="AI14" i="3"/>
  <c r="AV14" i="3"/>
  <c r="T14" i="3" s="1"/>
  <c r="AH14" i="3"/>
  <c r="AU14" i="3"/>
  <c r="AG14" i="3"/>
  <c r="AT14" i="3"/>
  <c r="AF14" i="3"/>
  <c r="AA14" i="3"/>
  <c r="Z14" i="3"/>
  <c r="R14" i="3" s="1"/>
  <c r="CA14" i="3" s="1"/>
  <c r="Y14" i="3"/>
  <c r="AS14" i="3"/>
  <c r="AR14" i="3"/>
  <c r="AQ14" i="3"/>
  <c r="AP14" i="3"/>
  <c r="AO14" i="3"/>
  <c r="AN14" i="3"/>
  <c r="AM14" i="3"/>
  <c r="AE14" i="3"/>
  <c r="AD14" i="3"/>
  <c r="AC14" i="3"/>
  <c r="AB14" i="3"/>
  <c r="BX9" i="3"/>
  <c r="BZ9" i="3"/>
  <c r="BY9" i="3"/>
  <c r="BD29" i="3"/>
  <c r="BC29" i="3"/>
  <c r="BE29" i="3"/>
  <c r="BR9" i="3"/>
  <c r="BZ18" i="3"/>
  <c r="BY18" i="3"/>
  <c r="BX18" i="3"/>
  <c r="AN19" i="3"/>
  <c r="Z19" i="3"/>
  <c r="R19" i="3" s="1"/>
  <c r="CA19" i="3" s="1"/>
  <c r="AS19" i="3"/>
  <c r="AD19" i="3"/>
  <c r="AR19" i="3"/>
  <c r="AC19" i="3"/>
  <c r="AQ19" i="3"/>
  <c r="AB19" i="3"/>
  <c r="AW19" i="3"/>
  <c r="AE19" i="3"/>
  <c r="AV19" i="3"/>
  <c r="T19" i="3" s="1"/>
  <c r="AA19" i="3"/>
  <c r="AU19" i="3"/>
  <c r="Y19" i="3"/>
  <c r="AT19" i="3"/>
  <c r="X19" i="3"/>
  <c r="AP19" i="3"/>
  <c r="W19" i="3"/>
  <c r="AO19" i="3"/>
  <c r="V19" i="3"/>
  <c r="AM19" i="3"/>
  <c r="AL19" i="3"/>
  <c r="AK19" i="3"/>
  <c r="AJ19" i="3"/>
  <c r="S19" i="3" s="1"/>
  <c r="AI19" i="3"/>
  <c r="AH19" i="3"/>
  <c r="AG19" i="3"/>
  <c r="AF19" i="3"/>
  <c r="W13" i="3"/>
  <c r="BV40" i="3"/>
  <c r="BZ8" i="3"/>
  <c r="BY8" i="3"/>
  <c r="BX8" i="3"/>
  <c r="BS29" i="3"/>
  <c r="BR29" i="3"/>
  <c r="BQ29" i="3"/>
  <c r="BE9" i="3"/>
  <c r="BD9" i="3"/>
  <c r="BC9" i="3"/>
  <c r="X13" i="3"/>
  <c r="AR13" i="3"/>
  <c r="AK13" i="3"/>
  <c r="BI40" i="3"/>
  <c r="AE13" i="3"/>
  <c r="AJ12" i="3"/>
  <c r="S12" i="3" s="1"/>
  <c r="V12" i="3"/>
  <c r="AW12" i="3"/>
  <c r="AI12" i="3"/>
  <c r="AV12" i="3"/>
  <c r="T12" i="3" s="1"/>
  <c r="AH12" i="3"/>
  <c r="AU12" i="3"/>
  <c r="AG12" i="3"/>
  <c r="AT12" i="3"/>
  <c r="AF12" i="3"/>
  <c r="AS12" i="3"/>
  <c r="AE12" i="3"/>
  <c r="AR12" i="3"/>
  <c r="AD12" i="3"/>
  <c r="AK12" i="3"/>
  <c r="AC12" i="3"/>
  <c r="AB12" i="3"/>
  <c r="AA12" i="3"/>
  <c r="Z12" i="3"/>
  <c r="R12" i="3" s="1"/>
  <c r="CA12" i="3" s="1"/>
  <c r="Y12" i="3"/>
  <c r="X12" i="3"/>
  <c r="W12" i="3"/>
  <c r="AQ12" i="3"/>
  <c r="AP12" i="3"/>
  <c r="AO12" i="3"/>
  <c r="AN12" i="3"/>
  <c r="AM12" i="3"/>
  <c r="AL12" i="3"/>
  <c r="BW40" i="3"/>
  <c r="BZ28" i="3"/>
  <c r="BY28" i="3"/>
  <c r="BX28" i="3"/>
  <c r="AS13" i="3"/>
  <c r="AS34" i="3"/>
  <c r="AE34" i="3"/>
  <c r="AN34" i="3"/>
  <c r="Z34" i="3"/>
  <c r="R34" i="3" s="1"/>
  <c r="CA34" i="3" s="1"/>
  <c r="AW34" i="3"/>
  <c r="AI34" i="3"/>
  <c r="AJ34" i="3"/>
  <c r="S34" i="3" s="1"/>
  <c r="AH34" i="3"/>
  <c r="AG34" i="3"/>
  <c r="AF34" i="3"/>
  <c r="AA34" i="3"/>
  <c r="AV34" i="3"/>
  <c r="T34" i="3" s="1"/>
  <c r="Y34" i="3"/>
  <c r="AU34" i="3"/>
  <c r="X34" i="3"/>
  <c r="AT34" i="3"/>
  <c r="W34" i="3"/>
  <c r="AR34" i="3"/>
  <c r="V34" i="3"/>
  <c r="AQ34" i="3"/>
  <c r="AP34" i="3"/>
  <c r="AM34" i="3"/>
  <c r="AO34" i="3"/>
  <c r="AL34" i="3"/>
  <c r="AK34" i="3"/>
  <c r="AD34" i="3"/>
  <c r="AC34" i="3"/>
  <c r="AB34" i="3"/>
  <c r="U40" i="3"/>
  <c r="D24" i="11" s="1"/>
  <c r="BZ29" i="3"/>
  <c r="BY29" i="3"/>
  <c r="BX29" i="3"/>
  <c r="BA40" i="3"/>
  <c r="BE8" i="3"/>
  <c r="BD8" i="3"/>
  <c r="BC8" i="3"/>
  <c r="AJ39" i="3"/>
  <c r="S39" i="3" s="1"/>
  <c r="V39" i="3"/>
  <c r="AT39" i="3"/>
  <c r="AF39" i="3"/>
  <c r="AS39" i="3"/>
  <c r="AE39" i="3"/>
  <c r="AR39" i="3"/>
  <c r="AD39" i="3"/>
  <c r="AO39" i="3"/>
  <c r="AA39" i="3"/>
  <c r="AN39" i="3"/>
  <c r="Z39" i="3"/>
  <c r="R39" i="3" s="1"/>
  <c r="CA39" i="3" s="1"/>
  <c r="AM39" i="3"/>
  <c r="Y39" i="3"/>
  <c r="AU39" i="3"/>
  <c r="AQ39" i="3"/>
  <c r="AP39" i="3"/>
  <c r="AL39" i="3"/>
  <c r="AI39" i="3"/>
  <c r="AK39" i="3"/>
  <c r="AH39" i="3"/>
  <c r="AG39" i="3"/>
  <c r="AC39" i="3"/>
  <c r="AB39" i="3"/>
  <c r="X39" i="3"/>
  <c r="W39" i="3"/>
  <c r="AW39" i="3"/>
  <c r="AV39" i="3"/>
  <c r="T39" i="3" s="1"/>
  <c r="BZ30" i="3"/>
  <c r="BY30" i="3"/>
  <c r="BX30" i="3"/>
  <c r="BZ35" i="3"/>
  <c r="BY35" i="3"/>
  <c r="BX35" i="3"/>
  <c r="BQ16" i="3"/>
  <c r="BS16" i="3"/>
  <c r="BR16" i="3"/>
  <c r="AF13" i="3"/>
  <c r="BL12" i="3"/>
  <c r="BK12" i="3"/>
  <c r="BJ12" i="3"/>
  <c r="BJ29" i="3"/>
  <c r="BL29" i="3"/>
  <c r="BK29" i="3"/>
  <c r="BK18" i="3"/>
  <c r="BJ18" i="3"/>
  <c r="BL18" i="3"/>
  <c r="AL13" i="3"/>
  <c r="AL23" i="3"/>
  <c r="X23" i="3"/>
  <c r="AW23" i="3"/>
  <c r="AH23" i="3"/>
  <c r="AS23" i="3"/>
  <c r="AC23" i="3"/>
  <c r="AR23" i="3"/>
  <c r="AB23" i="3"/>
  <c r="AQ23" i="3"/>
  <c r="AA23" i="3"/>
  <c r="AV23" i="3"/>
  <c r="T23" i="3" s="1"/>
  <c r="Z23" i="3"/>
  <c r="R23" i="3" s="1"/>
  <c r="CA23" i="3" s="1"/>
  <c r="AU23" i="3"/>
  <c r="Y23" i="3"/>
  <c r="AT23" i="3"/>
  <c r="W23" i="3"/>
  <c r="AP23" i="3"/>
  <c r="V23" i="3"/>
  <c r="AO23" i="3"/>
  <c r="AN23" i="3"/>
  <c r="AM23" i="3"/>
  <c r="AK23" i="3"/>
  <c r="AJ23" i="3"/>
  <c r="S23" i="3" s="1"/>
  <c r="AG23" i="3"/>
  <c r="AI23" i="3"/>
  <c r="AF23" i="3"/>
  <c r="AE23" i="3"/>
  <c r="AD23" i="3"/>
  <c r="BL14" i="3"/>
  <c r="BK14" i="3"/>
  <c r="BJ14" i="3"/>
  <c r="BQ27" i="3"/>
  <c r="AT13" i="3"/>
  <c r="BZ12" i="3"/>
  <c r="BY12" i="3"/>
  <c r="BX12" i="3"/>
  <c r="BS18" i="3"/>
  <c r="BR18" i="3"/>
  <c r="BQ18" i="3"/>
  <c r="AP21" i="3"/>
  <c r="AB21" i="3"/>
  <c r="AQ21" i="3"/>
  <c r="AA21" i="3"/>
  <c r="AO21" i="3"/>
  <c r="Z21" i="3"/>
  <c r="R21" i="3" s="1"/>
  <c r="CA21" i="3" s="1"/>
  <c r="AN21" i="3"/>
  <c r="Y21" i="3"/>
  <c r="AJ21" i="3"/>
  <c r="S21" i="3" s="1"/>
  <c r="AI21" i="3"/>
  <c r="AH21" i="3"/>
  <c r="AG21" i="3"/>
  <c r="AF21" i="3"/>
  <c r="AW21" i="3"/>
  <c r="AE21" i="3"/>
  <c r="AV21" i="3"/>
  <c r="T21" i="3" s="1"/>
  <c r="AD21" i="3"/>
  <c r="AU21" i="3"/>
  <c r="AC21" i="3"/>
  <c r="AT21" i="3"/>
  <c r="X21" i="3"/>
  <c r="AR21" i="3"/>
  <c r="V21" i="3"/>
  <c r="AS21" i="3"/>
  <c r="AM21" i="3"/>
  <c r="AL21" i="3"/>
  <c r="AK21" i="3"/>
  <c r="W21" i="3"/>
  <c r="Z13" i="3"/>
  <c r="R13" i="3" s="1"/>
  <c r="CA13" i="3" s="1"/>
  <c r="BR27" i="3"/>
  <c r="AG13" i="3"/>
  <c r="BJ9" i="3"/>
  <c r="BL9" i="3"/>
  <c r="BK9" i="3"/>
  <c r="AA13" i="3"/>
  <c r="BE36" i="3"/>
  <c r="BD36" i="3"/>
  <c r="BC36" i="3"/>
  <c r="BR39" i="3"/>
  <c r="BQ39" i="3"/>
  <c r="BS39" i="3"/>
  <c r="BR26" i="3"/>
  <c r="BQ26" i="3"/>
  <c r="BS26" i="3"/>
  <c r="BZ34" i="3"/>
  <c r="BX34" i="3"/>
  <c r="BY34" i="3"/>
  <c r="BY33" i="3"/>
  <c r="BZ33" i="3"/>
  <c r="BX33" i="3"/>
  <c r="BE30" i="3"/>
  <c r="BD30" i="3"/>
  <c r="BC30" i="3"/>
  <c r="BL13" i="3"/>
  <c r="BK13" i="3"/>
  <c r="BJ13" i="3"/>
  <c r="AO26" i="3"/>
  <c r="AA26" i="3"/>
  <c r="AL26" i="3"/>
  <c r="W26" i="3"/>
  <c r="AK26" i="3"/>
  <c r="V26" i="3"/>
  <c r="AJ26" i="3"/>
  <c r="S26" i="3" s="1"/>
  <c r="AU26" i="3"/>
  <c r="AC26" i="3"/>
  <c r="AT26" i="3"/>
  <c r="AB26" i="3"/>
  <c r="AS26" i="3"/>
  <c r="Z26" i="3"/>
  <c r="R26" i="3" s="1"/>
  <c r="CA26" i="3" s="1"/>
  <c r="AQ26" i="3"/>
  <c r="X26" i="3"/>
  <c r="AR26" i="3"/>
  <c r="AP26" i="3"/>
  <c r="AN26" i="3"/>
  <c r="AM26" i="3"/>
  <c r="AI26" i="3"/>
  <c r="AH26" i="3"/>
  <c r="AG26" i="3"/>
  <c r="AF26" i="3"/>
  <c r="AE26" i="3"/>
  <c r="Y26" i="3"/>
  <c r="AD26" i="3"/>
  <c r="AW26" i="3"/>
  <c r="AV26" i="3"/>
  <c r="T26" i="3" s="1"/>
  <c r="AU13" i="3"/>
  <c r="AC24" i="3"/>
  <c r="BR20" i="3"/>
  <c r="BS20" i="3"/>
  <c r="BQ20" i="3"/>
  <c r="AO20" i="3"/>
  <c r="AA20" i="3"/>
  <c r="AJ20" i="3"/>
  <c r="S20" i="3" s="1"/>
  <c r="AI20" i="3"/>
  <c r="AW20" i="3"/>
  <c r="AH20" i="3"/>
  <c r="AL20" i="3"/>
  <c r="AK20" i="3"/>
  <c r="AG20" i="3"/>
  <c r="AF20" i="3"/>
  <c r="AE20" i="3"/>
  <c r="AV20" i="3"/>
  <c r="T20" i="3" s="1"/>
  <c r="AD20" i="3"/>
  <c r="AU20" i="3"/>
  <c r="AC20" i="3"/>
  <c r="AT20" i="3"/>
  <c r="AB20" i="3"/>
  <c r="AS20" i="3"/>
  <c r="Z20" i="3"/>
  <c r="R20" i="3" s="1"/>
  <c r="CA20" i="3" s="1"/>
  <c r="AQ20" i="3"/>
  <c r="X20" i="3"/>
  <c r="AM20" i="3"/>
  <c r="Y20" i="3"/>
  <c r="W20" i="3"/>
  <c r="V20" i="3"/>
  <c r="AR20" i="3"/>
  <c r="AP20" i="3"/>
  <c r="AN20" i="3"/>
  <c r="BC16" i="3"/>
  <c r="BE16" i="3"/>
  <c r="BD16" i="3"/>
  <c r="BJ32" i="3"/>
  <c r="BL32" i="3"/>
  <c r="BK32" i="3"/>
  <c r="BZ22" i="3"/>
  <c r="BY22" i="3"/>
  <c r="BX22" i="3"/>
  <c r="AR29" i="3"/>
  <c r="AD29" i="3"/>
  <c r="AN29" i="3"/>
  <c r="Y29" i="3"/>
  <c r="AM29" i="3"/>
  <c r="X29" i="3"/>
  <c r="AL29" i="3"/>
  <c r="W29" i="3"/>
  <c r="AP29" i="3"/>
  <c r="AO29" i="3"/>
  <c r="AK29" i="3"/>
  <c r="AJ29" i="3"/>
  <c r="S29" i="3" s="1"/>
  <c r="AI29" i="3"/>
  <c r="AG29" i="3"/>
  <c r="AQ29" i="3"/>
  <c r="AH29" i="3"/>
  <c r="AF29" i="3"/>
  <c r="AE29" i="3"/>
  <c r="AC29" i="3"/>
  <c r="AB29" i="3"/>
  <c r="AA29" i="3"/>
  <c r="Z29" i="3"/>
  <c r="R29" i="3" s="1"/>
  <c r="CA29" i="3" s="1"/>
  <c r="V29" i="3"/>
  <c r="AV29" i="3"/>
  <c r="T29" i="3" s="1"/>
  <c r="AW29" i="3"/>
  <c r="AU29" i="3"/>
  <c r="AT29" i="3"/>
  <c r="AS29" i="3"/>
  <c r="BD14" i="3"/>
  <c r="BC14" i="3"/>
  <c r="BE14" i="3"/>
  <c r="BL35" i="3"/>
  <c r="BK35" i="3"/>
  <c r="BJ35" i="3"/>
  <c r="BE11" i="3"/>
  <c r="BD11" i="3"/>
  <c r="BC11" i="3"/>
  <c r="BD26" i="3"/>
  <c r="BC26" i="3"/>
  <c r="BE26" i="3"/>
  <c r="BL22" i="3"/>
  <c r="BK22" i="3"/>
  <c r="BJ22" i="3"/>
  <c r="BK10" i="3"/>
  <c r="BJ10" i="3"/>
  <c r="BL10" i="3"/>
  <c r="BZ13" i="3"/>
  <c r="BY13" i="3"/>
  <c r="BX13" i="3"/>
  <c r="AV37" i="3"/>
  <c r="T37" i="3" s="1"/>
  <c r="AH37" i="3"/>
  <c r="AQ37" i="3"/>
  <c r="AC37" i="3"/>
  <c r="AM37" i="3"/>
  <c r="Y37" i="3"/>
  <c r="AL37" i="3"/>
  <c r="X37" i="3"/>
  <c r="AK37" i="3"/>
  <c r="W37" i="3"/>
  <c r="AJ37" i="3"/>
  <c r="S37" i="3" s="1"/>
  <c r="AI37" i="3"/>
  <c r="AG37" i="3"/>
  <c r="AF37" i="3"/>
  <c r="AU37" i="3"/>
  <c r="AT37" i="3"/>
  <c r="AS37" i="3"/>
  <c r="AR37" i="3"/>
  <c r="AP37" i="3"/>
  <c r="AO37" i="3"/>
  <c r="AN37" i="3"/>
  <c r="AD37" i="3"/>
  <c r="AW37" i="3"/>
  <c r="AE37" i="3"/>
  <c r="AB37" i="3"/>
  <c r="AA37" i="3"/>
  <c r="Z37" i="3"/>
  <c r="R37" i="3" s="1"/>
  <c r="CA37" i="3" s="1"/>
  <c r="V37" i="3"/>
  <c r="BQ9" i="3"/>
  <c r="AW11" i="3"/>
  <c r="AI11" i="3"/>
  <c r="AV11" i="3"/>
  <c r="T11" i="3" s="1"/>
  <c r="AH11" i="3"/>
  <c r="AU11" i="3"/>
  <c r="AG11" i="3"/>
  <c r="AT11" i="3"/>
  <c r="AF11" i="3"/>
  <c r="AS11" i="3"/>
  <c r="AE11" i="3"/>
  <c r="AR11" i="3"/>
  <c r="AD11" i="3"/>
  <c r="Z11" i="3"/>
  <c r="R11" i="3" s="1"/>
  <c r="CA11" i="3" s="1"/>
  <c r="Y11" i="3"/>
  <c r="X11" i="3"/>
  <c r="AQ11" i="3"/>
  <c r="W11" i="3"/>
  <c r="AP11" i="3"/>
  <c r="V11" i="3"/>
  <c r="AO11" i="3"/>
  <c r="AN11" i="3"/>
  <c r="AM11" i="3"/>
  <c r="AL11" i="3"/>
  <c r="AK11" i="3"/>
  <c r="AJ11" i="3"/>
  <c r="S11" i="3" s="1"/>
  <c r="AC11" i="3"/>
  <c r="AB11" i="3"/>
  <c r="AA11" i="3"/>
  <c r="BL25" i="3"/>
  <c r="AH13" i="3"/>
  <c r="BS12" i="3"/>
  <c r="AD24" i="3"/>
  <c r="AO24" i="3"/>
  <c r="P40" i="3"/>
  <c r="D23" i="11" s="1"/>
  <c r="Y8" i="3"/>
  <c r="AO8" i="3"/>
  <c r="X8" i="3"/>
  <c r="AW8" i="3"/>
  <c r="AD8" i="3"/>
  <c r="AV8" i="3"/>
  <c r="AU36" i="3"/>
  <c r="AG36" i="3"/>
  <c r="AP36" i="3"/>
  <c r="AB36" i="3"/>
  <c r="AL36" i="3"/>
  <c r="X36" i="3"/>
  <c r="AK36" i="3"/>
  <c r="W36" i="3"/>
  <c r="AT36" i="3"/>
  <c r="AA36" i="3"/>
  <c r="AS36" i="3"/>
  <c r="Z36" i="3"/>
  <c r="R36" i="3" s="1"/>
  <c r="CA36" i="3" s="1"/>
  <c r="AR36" i="3"/>
  <c r="Y36" i="3"/>
  <c r="AQ36" i="3"/>
  <c r="V36" i="3"/>
  <c r="AM36" i="3"/>
  <c r="AJ36" i="3"/>
  <c r="S36" i="3" s="1"/>
  <c r="AI36" i="3"/>
  <c r="AH36" i="3"/>
  <c r="AF36" i="3"/>
  <c r="AE36" i="3"/>
  <c r="AD36" i="3"/>
  <c r="AW36" i="3"/>
  <c r="AV36" i="3"/>
  <c r="T36" i="3" s="1"/>
  <c r="AO36" i="3"/>
  <c r="AN36" i="3"/>
  <c r="AC36" i="3"/>
  <c r="AP18" i="3"/>
  <c r="AB18" i="3"/>
  <c r="AO18" i="3"/>
  <c r="AA18" i="3"/>
  <c r="AN18" i="3"/>
  <c r="Z18" i="3"/>
  <c r="R18" i="3" s="1"/>
  <c r="CA18" i="3" s="1"/>
  <c r="AS18" i="3"/>
  <c r="Y18" i="3"/>
  <c r="AR18" i="3"/>
  <c r="X18" i="3"/>
  <c r="AQ18" i="3"/>
  <c r="W18" i="3"/>
  <c r="AM18" i="3"/>
  <c r="V18" i="3"/>
  <c r="AL18" i="3"/>
  <c r="AK18" i="3"/>
  <c r="AJ18" i="3"/>
  <c r="S18" i="3" s="1"/>
  <c r="AI18" i="3"/>
  <c r="AH18" i="3"/>
  <c r="AT18" i="3"/>
  <c r="AG18" i="3"/>
  <c r="AF18" i="3"/>
  <c r="AE18" i="3"/>
  <c r="AD18" i="3"/>
  <c r="AC18" i="3"/>
  <c r="AW18" i="3"/>
  <c r="AV18" i="3"/>
  <c r="T18" i="3" s="1"/>
  <c r="AU18" i="3"/>
  <c r="AO17" i="3"/>
  <c r="AA17" i="3"/>
  <c r="AM17" i="3"/>
  <c r="Y17" i="3"/>
  <c r="AT17" i="3"/>
  <c r="AD17" i="3"/>
  <c r="AS17" i="3"/>
  <c r="AC17" i="3"/>
  <c r="AR17" i="3"/>
  <c r="AB17" i="3"/>
  <c r="AQ17" i="3"/>
  <c r="Z17" i="3"/>
  <c r="R17" i="3" s="1"/>
  <c r="CA17" i="3" s="1"/>
  <c r="AP17" i="3"/>
  <c r="X17" i="3"/>
  <c r="AN17" i="3"/>
  <c r="W17" i="3"/>
  <c r="AL17" i="3"/>
  <c r="V17" i="3"/>
  <c r="AK17" i="3"/>
  <c r="AJ17" i="3"/>
  <c r="S17" i="3" s="1"/>
  <c r="AH17" i="3"/>
  <c r="AG17" i="3"/>
  <c r="AF17" i="3"/>
  <c r="AE17" i="3"/>
  <c r="AW17" i="3"/>
  <c r="AV17" i="3"/>
  <c r="T17" i="3" s="1"/>
  <c r="AU17" i="3"/>
  <c r="AI17" i="3"/>
  <c r="BP40" i="3"/>
  <c r="BJ25" i="3"/>
  <c r="AV13" i="3"/>
  <c r="T13" i="3" s="1"/>
  <c r="AU9" i="3"/>
  <c r="AG9" i="3"/>
  <c r="AT9" i="3"/>
  <c r="AF9" i="3"/>
  <c r="AR9" i="3"/>
  <c r="AD9" i="3"/>
  <c r="AQ9" i="3"/>
  <c r="Z9" i="3"/>
  <c r="R9" i="3" s="1"/>
  <c r="CA9" i="3" s="1"/>
  <c r="AP9" i="3"/>
  <c r="Y9" i="3"/>
  <c r="AO9" i="3"/>
  <c r="X9" i="3"/>
  <c r="AN9" i="3"/>
  <c r="W9" i="3"/>
  <c r="AM9" i="3"/>
  <c r="V9" i="3"/>
  <c r="AL9" i="3"/>
  <c r="AK9" i="3"/>
  <c r="AJ9" i="3"/>
  <c r="S9" i="3" s="1"/>
  <c r="AI9" i="3"/>
  <c r="AH9" i="3"/>
  <c r="AE9" i="3"/>
  <c r="AW9" i="3"/>
  <c r="AC9" i="3"/>
  <c r="AV9" i="3"/>
  <c r="T9" i="3" s="1"/>
  <c r="AB9" i="3"/>
  <c r="AS9" i="3"/>
  <c r="AA9" i="3"/>
  <c r="AE24" i="3"/>
  <c r="Y24" i="3"/>
  <c r="BD20" i="3"/>
  <c r="BE20" i="3"/>
  <c r="BC20" i="3"/>
  <c r="AQ13" i="3"/>
  <c r="AP13" i="3"/>
  <c r="BY39" i="3"/>
  <c r="BX39" i="3"/>
  <c r="BZ39" i="3"/>
  <c r="AW38" i="3"/>
  <c r="AI38" i="3"/>
  <c r="AR38" i="3"/>
  <c r="AD38" i="3"/>
  <c r="AN38" i="3"/>
  <c r="Z38" i="3"/>
  <c r="R38" i="3" s="1"/>
  <c r="CA38" i="3" s="1"/>
  <c r="AM38" i="3"/>
  <c r="Y38" i="3"/>
  <c r="AL38" i="3"/>
  <c r="X38" i="3"/>
  <c r="AS38" i="3"/>
  <c r="V38" i="3"/>
  <c r="AQ38" i="3"/>
  <c r="AP38" i="3"/>
  <c r="AO38" i="3"/>
  <c r="AV38" i="3"/>
  <c r="T38" i="3" s="1"/>
  <c r="AU38" i="3"/>
  <c r="AT38" i="3"/>
  <c r="AK38" i="3"/>
  <c r="AJ38" i="3"/>
  <c r="S38" i="3" s="1"/>
  <c r="AH38" i="3"/>
  <c r="AG38" i="3"/>
  <c r="AF38" i="3"/>
  <c r="AA38" i="3"/>
  <c r="W38" i="3"/>
  <c r="AE38" i="3"/>
  <c r="AC38" i="3"/>
  <c r="AB38" i="3"/>
  <c r="BZ31" i="3"/>
  <c r="BY31" i="3"/>
  <c r="BX31" i="3"/>
  <c r="BY10" i="3"/>
  <c r="BX10" i="3"/>
  <c r="BZ10" i="3"/>
  <c r="BE32" i="3"/>
  <c r="BD32" i="3"/>
  <c r="BC32" i="3"/>
  <c r="BE39" i="3"/>
  <c r="BC25" i="3"/>
  <c r="BC24" i="3"/>
  <c r="BC33" i="3"/>
  <c r="BD33" i="3"/>
  <c r="BE33" i="3"/>
  <c r="BL28" i="3"/>
  <c r="BJ28" i="3"/>
  <c r="BK28" i="3"/>
  <c r="BR13" i="3"/>
  <c r="BQ13" i="3"/>
  <c r="BS13" i="3"/>
  <c r="BL11" i="3"/>
  <c r="BK11" i="3"/>
  <c r="BJ11" i="3"/>
  <c r="AQ28" i="3"/>
  <c r="AC28" i="3"/>
  <c r="AJ28" i="3"/>
  <c r="S28" i="3" s="1"/>
  <c r="AI28" i="3"/>
  <c r="AW28" i="3"/>
  <c r="AH28" i="3"/>
  <c r="AP28" i="3"/>
  <c r="X28" i="3"/>
  <c r="AO28" i="3"/>
  <c r="W28" i="3"/>
  <c r="AN28" i="3"/>
  <c r="V28" i="3"/>
  <c r="AL28" i="3"/>
  <c r="AE28" i="3"/>
  <c r="AD28" i="3"/>
  <c r="AB28" i="3"/>
  <c r="AA28" i="3"/>
  <c r="Z28" i="3"/>
  <c r="R28" i="3" s="1"/>
  <c r="CA28" i="3" s="1"/>
  <c r="AV28" i="3"/>
  <c r="T28" i="3" s="1"/>
  <c r="Y28" i="3"/>
  <c r="AU28" i="3"/>
  <c r="AT28" i="3"/>
  <c r="AS28" i="3"/>
  <c r="AM28" i="3"/>
  <c r="AR28" i="3"/>
  <c r="AK28" i="3"/>
  <c r="AG28" i="3"/>
  <c r="AF28" i="3"/>
  <c r="AI13" i="3"/>
  <c r="AF24" i="3"/>
  <c r="AM24" i="3"/>
  <c r="BC39" i="3"/>
  <c r="BD24" i="3"/>
  <c r="AT31" i="3"/>
  <c r="AF31" i="3"/>
  <c r="AL31" i="3"/>
  <c r="W31" i="3"/>
  <c r="AK31" i="3"/>
  <c r="V31" i="3"/>
  <c r="AJ31" i="3"/>
  <c r="S31" i="3" s="1"/>
  <c r="AI31" i="3"/>
  <c r="AU31" i="3"/>
  <c r="AA31" i="3"/>
  <c r="AS31" i="3"/>
  <c r="Z31" i="3"/>
  <c r="R31" i="3" s="1"/>
  <c r="CA31" i="3" s="1"/>
  <c r="AR31" i="3"/>
  <c r="Y31" i="3"/>
  <c r="AQ31" i="3"/>
  <c r="X31" i="3"/>
  <c r="AP31" i="3"/>
  <c r="AO31" i="3"/>
  <c r="AN31" i="3"/>
  <c r="AG31" i="3"/>
  <c r="AE31" i="3"/>
  <c r="AD31" i="3"/>
  <c r="AC31" i="3"/>
  <c r="AB31" i="3"/>
  <c r="AW31" i="3"/>
  <c r="AV31" i="3"/>
  <c r="T31" i="3" s="1"/>
  <c r="AM31" i="3"/>
  <c r="AH31" i="3"/>
  <c r="AN13" i="3"/>
  <c r="AM15" i="3"/>
  <c r="Y15" i="3"/>
  <c r="AQ15" i="3"/>
  <c r="AB15" i="3"/>
  <c r="AP15" i="3"/>
  <c r="AA15" i="3"/>
  <c r="AO15" i="3"/>
  <c r="Z15" i="3"/>
  <c r="R15" i="3" s="1"/>
  <c r="CA15" i="3" s="1"/>
  <c r="AN15" i="3"/>
  <c r="X15" i="3"/>
  <c r="AL15" i="3"/>
  <c r="W15" i="3"/>
  <c r="AK15" i="3"/>
  <c r="V15" i="3"/>
  <c r="AJ15" i="3"/>
  <c r="S15" i="3" s="1"/>
  <c r="AE15" i="3"/>
  <c r="AD15" i="3"/>
  <c r="AC15" i="3"/>
  <c r="AW15" i="3"/>
  <c r="AV15" i="3"/>
  <c r="T15" i="3" s="1"/>
  <c r="AU15" i="3"/>
  <c r="AT15" i="3"/>
  <c r="AS15" i="3"/>
  <c r="AR15" i="3"/>
  <c r="AI15" i="3"/>
  <c r="AH15" i="3"/>
  <c r="AG15" i="3"/>
  <c r="AF15" i="3"/>
  <c r="AB13" i="3"/>
  <c r="BZ11" i="3"/>
  <c r="BY11" i="3"/>
  <c r="BX11" i="3"/>
  <c r="BS28" i="3"/>
  <c r="BR28" i="3"/>
  <c r="BQ28" i="3"/>
  <c r="AW13" i="3"/>
  <c r="V24" i="3"/>
  <c r="AG24" i="3"/>
  <c r="BQ38" i="3"/>
  <c r="BS38" i="3"/>
  <c r="BR38" i="3"/>
  <c r="BQ31" i="3"/>
  <c r="BR31" i="3"/>
  <c r="BS31" i="3"/>
  <c r="BK30" i="3"/>
  <c r="BJ30" i="3"/>
  <c r="BL30" i="3"/>
  <c r="BX32" i="3"/>
  <c r="BY32" i="3"/>
  <c r="BZ32" i="3"/>
  <c r="BZ15" i="3"/>
  <c r="BY15" i="3"/>
  <c r="BX15" i="3"/>
  <c r="AT35" i="3"/>
  <c r="AF35" i="3"/>
  <c r="AO35" i="3"/>
  <c r="AA35" i="3"/>
  <c r="AK35" i="3"/>
  <c r="W35" i="3"/>
  <c r="AJ35" i="3"/>
  <c r="S35" i="3" s="1"/>
  <c r="V35" i="3"/>
  <c r="AP35" i="3"/>
  <c r="AN35" i="3"/>
  <c r="AM35" i="3"/>
  <c r="AL35" i="3"/>
  <c r="AE35" i="3"/>
  <c r="AD35" i="3"/>
  <c r="AC35" i="3"/>
  <c r="AB35" i="3"/>
  <c r="Z35" i="3"/>
  <c r="R35" i="3" s="1"/>
  <c r="CA35" i="3" s="1"/>
  <c r="AW35" i="3"/>
  <c r="Y35" i="3"/>
  <c r="AV35" i="3"/>
  <c r="T35" i="3" s="1"/>
  <c r="X35" i="3"/>
  <c r="AS35" i="3"/>
  <c r="AH35" i="3"/>
  <c r="AG35" i="3"/>
  <c r="AU35" i="3"/>
  <c r="AR35" i="3"/>
  <c r="AQ35" i="3"/>
  <c r="AI35" i="3"/>
  <c r="BK33" i="3"/>
  <c r="BL33" i="3"/>
  <c r="BJ33" i="3"/>
  <c r="BE22" i="3"/>
  <c r="BD22" i="3"/>
  <c r="BC22" i="3"/>
  <c r="BB40" i="3"/>
  <c r="BO40" i="3"/>
  <c r="BS8" i="3"/>
  <c r="BR8" i="3"/>
  <c r="BQ8" i="3"/>
  <c r="BK39" i="3"/>
  <c r="BL39" i="3"/>
  <c r="BJ39" i="3"/>
  <c r="BL34" i="3"/>
  <c r="BJ34" i="3"/>
  <c r="BK34" i="3"/>
  <c r="BQ14" i="3"/>
  <c r="BS14" i="3"/>
  <c r="BR14" i="3"/>
  <c r="BK17" i="3"/>
  <c r="BJ17" i="3"/>
  <c r="BL17" i="3"/>
  <c r="BS33" i="3"/>
  <c r="BR33" i="3"/>
  <c r="BQ33" i="3"/>
  <c r="BS22" i="3"/>
  <c r="BR22" i="3"/>
  <c r="BQ22" i="3"/>
  <c r="AV10" i="3"/>
  <c r="T10" i="3" s="1"/>
  <c r="AH10" i="3"/>
  <c r="AU10" i="3"/>
  <c r="AG10" i="3"/>
  <c r="AS10" i="3"/>
  <c r="AE10" i="3"/>
  <c r="AR10" i="3"/>
  <c r="AD10" i="3"/>
  <c r="AC10" i="3"/>
  <c r="AB10" i="3"/>
  <c r="AW10" i="3"/>
  <c r="AA10" i="3"/>
  <c r="AT10" i="3"/>
  <c r="Z10" i="3"/>
  <c r="R10" i="3" s="1"/>
  <c r="CA10" i="3" s="1"/>
  <c r="AQ10" i="3"/>
  <c r="Y10" i="3"/>
  <c r="AP10" i="3"/>
  <c r="X10" i="3"/>
  <c r="AO10" i="3"/>
  <c r="W10" i="3"/>
  <c r="AN10" i="3"/>
  <c r="V10" i="3"/>
  <c r="AM10" i="3"/>
  <c r="AL10" i="3"/>
  <c r="AK10" i="3"/>
  <c r="AJ10" i="3"/>
  <c r="S10" i="3" s="1"/>
  <c r="AI10" i="3"/>
  <c r="AF10" i="3"/>
  <c r="BE37" i="3"/>
  <c r="BD37" i="3"/>
  <c r="BC37" i="3"/>
  <c r="AU32" i="3"/>
  <c r="AG32" i="3"/>
  <c r="AR32" i="3"/>
  <c r="AC32" i="3"/>
  <c r="AQ32" i="3"/>
  <c r="AB32" i="3"/>
  <c r="AP32" i="3"/>
  <c r="AA32" i="3"/>
  <c r="AO32" i="3"/>
  <c r="Z32" i="3"/>
  <c r="R32" i="3" s="1"/>
  <c r="CA32" i="3" s="1"/>
  <c r="AK32" i="3"/>
  <c r="AJ32" i="3"/>
  <c r="S32" i="3" s="1"/>
  <c r="AI32" i="3"/>
  <c r="AH32" i="3"/>
  <c r="AF32" i="3"/>
  <c r="AE32" i="3"/>
  <c r="AD32" i="3"/>
  <c r="AL32" i="3"/>
  <c r="Y32" i="3"/>
  <c r="X32" i="3"/>
  <c r="W32" i="3"/>
  <c r="V32" i="3"/>
  <c r="AW32" i="3"/>
  <c r="AT32" i="3"/>
  <c r="AV32" i="3"/>
  <c r="T32" i="3" s="1"/>
  <c r="AS32" i="3"/>
  <c r="AN32" i="3"/>
  <c r="AM32" i="3"/>
  <c r="BX27" i="3"/>
  <c r="BZ27" i="3"/>
  <c r="BY27" i="3"/>
  <c r="BQ34" i="3"/>
  <c r="BS34" i="3"/>
  <c r="BR34" i="3"/>
  <c r="BS19" i="3"/>
  <c r="BR19" i="3"/>
  <c r="BE12" i="3"/>
  <c r="BD12" i="3"/>
  <c r="BC12" i="3"/>
  <c r="AD13" i="3"/>
  <c r="BE18" i="3"/>
  <c r="BD18" i="3"/>
  <c r="BC18" i="3"/>
  <c r="BE28" i="3"/>
  <c r="BD28" i="3"/>
  <c r="BC28" i="3"/>
  <c r="V13" i="3"/>
  <c r="Q40" i="3"/>
  <c r="AA24" i="3"/>
  <c r="AI24" i="3"/>
  <c r="BR35" i="3"/>
  <c r="BS35" i="3"/>
  <c r="BQ35" i="3"/>
  <c r="BC38" i="3"/>
  <c r="BE38" i="3"/>
  <c r="BD38" i="3"/>
  <c r="BC34" i="3"/>
  <c r="BE34" i="3"/>
  <c r="BD34" i="3"/>
  <c r="AK22" i="3"/>
  <c r="AR22" i="3"/>
  <c r="AC22" i="3"/>
  <c r="AH22" i="3"/>
  <c r="AW22" i="3"/>
  <c r="AG22" i="3"/>
  <c r="AV22" i="3"/>
  <c r="T22" i="3" s="1"/>
  <c r="AF22" i="3"/>
  <c r="AO22" i="3"/>
  <c r="V22" i="3"/>
  <c r="AN22" i="3"/>
  <c r="AM22" i="3"/>
  <c r="AL22" i="3"/>
  <c r="AJ22" i="3"/>
  <c r="S22" i="3" s="1"/>
  <c r="AI22" i="3"/>
  <c r="AE22" i="3"/>
  <c r="AD22" i="3"/>
  <c r="AB22" i="3"/>
  <c r="AT22" i="3"/>
  <c r="Z22" i="3"/>
  <c r="R22" i="3" s="1"/>
  <c r="CA22" i="3" s="1"/>
  <c r="AU22" i="3"/>
  <c r="AS22" i="3"/>
  <c r="AQ22" i="3"/>
  <c r="AP22" i="3"/>
  <c r="AA22" i="3"/>
  <c r="Y22" i="3"/>
  <c r="X22" i="3"/>
  <c r="W22" i="3"/>
  <c r="BE31" i="3"/>
  <c r="BD31" i="3"/>
  <c r="BC31" i="3"/>
  <c r="BE23" i="3"/>
  <c r="BC23" i="3"/>
  <c r="BD23" i="3"/>
  <c r="BE27" i="3"/>
  <c r="BD27" i="3"/>
  <c r="BC27" i="3"/>
  <c r="BL27" i="3"/>
  <c r="BK27" i="3"/>
  <c r="BJ27" i="3"/>
  <c r="BX19" i="3"/>
  <c r="BZ19" i="3"/>
  <c r="BY19" i="3"/>
  <c r="AN25" i="3"/>
  <c r="Z25" i="3"/>
  <c r="R25" i="3" s="1"/>
  <c r="CA25" i="3" s="1"/>
  <c r="AU25" i="3"/>
  <c r="AF25" i="3"/>
  <c r="AT25" i="3"/>
  <c r="AE25" i="3"/>
  <c r="AS25" i="3"/>
  <c r="AD25" i="3"/>
  <c r="AM25" i="3"/>
  <c r="AL25" i="3"/>
  <c r="AK25" i="3"/>
  <c r="AI25" i="3"/>
  <c r="AJ25" i="3"/>
  <c r="S25" i="3" s="1"/>
  <c r="AH25" i="3"/>
  <c r="AG25" i="3"/>
  <c r="AC25" i="3"/>
  <c r="AB25" i="3"/>
  <c r="AA25" i="3"/>
  <c r="Y25" i="3"/>
  <c r="X25" i="3"/>
  <c r="AW25" i="3"/>
  <c r="W25" i="3"/>
  <c r="AR25" i="3"/>
  <c r="AV25" i="3"/>
  <c r="T25" i="3" s="1"/>
  <c r="AQ25" i="3"/>
  <c r="AP25" i="3"/>
  <c r="AO25" i="3"/>
  <c r="V25" i="3"/>
  <c r="AR33" i="3"/>
  <c r="AD33" i="3"/>
  <c r="AV33" i="3"/>
  <c r="T33" i="3" s="1"/>
  <c r="AH33" i="3"/>
  <c r="AL33" i="3"/>
  <c r="V33" i="3"/>
  <c r="AK33" i="3"/>
  <c r="AJ33" i="3"/>
  <c r="S33" i="3" s="1"/>
  <c r="AI33" i="3"/>
  <c r="AW33" i="3"/>
  <c r="AA33" i="3"/>
  <c r="AU33" i="3"/>
  <c r="Z33" i="3"/>
  <c r="R33" i="3" s="1"/>
  <c r="CA33" i="3" s="1"/>
  <c r="AT33" i="3"/>
  <c r="Y33" i="3"/>
  <c r="AS33" i="3"/>
  <c r="X33" i="3"/>
  <c r="AQ33" i="3"/>
  <c r="W33" i="3"/>
  <c r="AP33" i="3"/>
  <c r="AO33" i="3"/>
  <c r="AM33" i="3"/>
  <c r="AF33" i="3"/>
  <c r="AE33" i="3"/>
  <c r="AC33" i="3"/>
  <c r="AB33" i="3"/>
  <c r="AG33" i="3"/>
  <c r="AN33" i="3"/>
  <c r="BL31" i="3"/>
  <c r="BK31" i="3"/>
  <c r="BJ31" i="3"/>
  <c r="AN16" i="3"/>
  <c r="Z16" i="3"/>
  <c r="R16" i="3" s="1"/>
  <c r="CA16" i="3" s="1"/>
  <c r="AL16" i="3"/>
  <c r="X16" i="3"/>
  <c r="AH16" i="3"/>
  <c r="AW16" i="3"/>
  <c r="AG16" i="3"/>
  <c r="AV16" i="3"/>
  <c r="T16" i="3" s="1"/>
  <c r="AF16" i="3"/>
  <c r="AU16" i="3"/>
  <c r="AE16" i="3"/>
  <c r="AT16" i="3"/>
  <c r="AD16" i="3"/>
  <c r="AS16" i="3"/>
  <c r="AC16" i="3"/>
  <c r="AR16" i="3"/>
  <c r="AB16" i="3"/>
  <c r="AO16" i="3"/>
  <c r="AM16" i="3"/>
  <c r="AK16" i="3"/>
  <c r="AJ16" i="3"/>
  <c r="S16" i="3" s="1"/>
  <c r="AI16" i="3"/>
  <c r="AA16" i="3"/>
  <c r="Y16" i="3"/>
  <c r="W16" i="3"/>
  <c r="V16" i="3"/>
  <c r="AQ16" i="3"/>
  <c r="AP16" i="3"/>
  <c r="BS11" i="3"/>
  <c r="BR11" i="3"/>
  <c r="BQ11" i="3"/>
  <c r="AC13" i="3"/>
  <c r="BZ16" i="3"/>
  <c r="BY16" i="3"/>
  <c r="BX16" i="3"/>
  <c r="AJ13" i="3"/>
  <c r="S13" i="3" s="1"/>
  <c r="BH40" i="3"/>
  <c r="BK8" i="3"/>
  <c r="BJ8" i="3"/>
  <c r="BL8" i="3"/>
  <c r="AR24" i="3"/>
  <c r="I62" i="13" l="1"/>
  <c r="AP8" i="3"/>
  <c r="I59" i="13" a="1"/>
  <c r="I59" i="13" s="1"/>
  <c r="F62" i="13"/>
  <c r="C59" i="13" a="1"/>
  <c r="C59" i="13" s="1"/>
  <c r="C60" i="13" s="1"/>
  <c r="D63" i="13" a="1"/>
  <c r="D63" i="13" s="1"/>
  <c r="D59" i="13" a="1"/>
  <c r="D59" i="13" s="1"/>
  <c r="H63" i="13" a="1"/>
  <c r="H63" i="13" s="1"/>
  <c r="F63" i="13" a="1"/>
  <c r="F63" i="13" s="1"/>
  <c r="H59" i="13" a="1"/>
  <c r="H59" i="13" s="1"/>
  <c r="AG8" i="3"/>
  <c r="AG40" i="3" s="1"/>
  <c r="Z8" i="3"/>
  <c r="R8" i="3" s="1"/>
  <c r="I63" i="13" a="1"/>
  <c r="I63" i="13" s="1"/>
  <c r="AH8" i="3"/>
  <c r="AH40" i="3" s="1"/>
  <c r="B46" i="1" s="1"/>
  <c r="AR8" i="3"/>
  <c r="AR40" i="3" s="1"/>
  <c r="G63" i="13" a="1"/>
  <c r="G63" i="13" s="1"/>
  <c r="C63" i="13" a="1"/>
  <c r="C63" i="13" s="1"/>
  <c r="C64" i="13" s="1"/>
  <c r="G59" i="13" a="1"/>
  <c r="G59" i="13" s="1"/>
  <c r="E63" i="13" a="1"/>
  <c r="E63" i="13" s="1"/>
  <c r="AI8" i="3"/>
  <c r="AI40" i="3" s="1"/>
  <c r="AJ8" i="3"/>
  <c r="AJ40" i="3" s="1"/>
  <c r="AE8" i="3"/>
  <c r="AE40" i="3" s="1"/>
  <c r="AL8" i="3"/>
  <c r="AL40" i="3" s="1"/>
  <c r="V8" i="3"/>
  <c r="V40" i="3" s="1"/>
  <c r="AF8" i="3"/>
  <c r="AF40" i="3" s="1"/>
  <c r="F59" i="13" a="1"/>
  <c r="F59" i="13" s="1"/>
  <c r="AS8" i="3"/>
  <c r="AS40" i="3" s="1"/>
  <c r="AM8" i="3"/>
  <c r="AM40" i="3" s="1"/>
  <c r="AT8" i="3"/>
  <c r="AT40" i="3" s="1"/>
  <c r="E59" i="13" a="1"/>
  <c r="E59" i="13" s="1"/>
  <c r="AC8" i="3"/>
  <c r="AC40" i="3" s="1"/>
  <c r="AQ8" i="3"/>
  <c r="AQ40" i="3" s="1"/>
  <c r="AK8" i="3"/>
  <c r="AK40" i="3" s="1"/>
  <c r="AA8" i="3"/>
  <c r="AA40" i="3" s="1"/>
  <c r="W8" i="3"/>
  <c r="W40" i="3" s="1"/>
  <c r="D62" i="13"/>
  <c r="AU8" i="3"/>
  <c r="AU40" i="3" s="1"/>
  <c r="AN8" i="3"/>
  <c r="AN40" i="3" s="1"/>
  <c r="E62" i="13"/>
  <c r="H62" i="13"/>
  <c r="J72" i="13" a="1"/>
  <c r="J72" i="13" s="1"/>
  <c r="J58" i="13"/>
  <c r="J63" i="13" a="1"/>
  <c r="J63" i="13" s="1"/>
  <c r="J68" i="13" a="1"/>
  <c r="J68" i="13" s="1"/>
  <c r="J59" i="13" a="1"/>
  <c r="J59" i="13" s="1"/>
  <c r="K57" i="13"/>
  <c r="J61" i="13" a="1"/>
  <c r="J61" i="13" s="1"/>
  <c r="J62" i="13" s="1"/>
  <c r="B87" i="1"/>
  <c r="D25" i="11"/>
  <c r="B51" i="12"/>
  <c r="I36" i="12" a="1"/>
  <c r="I36" i="12" s="1"/>
  <c r="E36" i="12" a="1"/>
  <c r="E36" i="12" s="1"/>
  <c r="H36" i="12" a="1"/>
  <c r="H36" i="12" s="1"/>
  <c r="D36" i="12" a="1"/>
  <c r="D36" i="12" s="1"/>
  <c r="G36" i="12" a="1"/>
  <c r="G36" i="12" s="1"/>
  <c r="F36" i="12" a="1"/>
  <c r="F36" i="12" s="1"/>
  <c r="K23" i="1" s="1"/>
  <c r="C36" i="12" a="1"/>
  <c r="C36" i="12" s="1"/>
  <c r="B10" i="12" s="1"/>
  <c r="H38" i="12" a="1"/>
  <c r="H38" i="12" s="1"/>
  <c r="D42" i="12" a="1"/>
  <c r="D42" i="12" s="1"/>
  <c r="C39" i="12" a="1"/>
  <c r="C39" i="12" s="1"/>
  <c r="J26" i="1" s="1"/>
  <c r="F40" i="12" a="1"/>
  <c r="F40" i="12" s="1"/>
  <c r="K27" i="1" s="1"/>
  <c r="F37" i="12" a="1"/>
  <c r="F37" i="12" s="1"/>
  <c r="K24" i="1" s="1"/>
  <c r="I38" i="12" a="1"/>
  <c r="I38" i="12" s="1"/>
  <c r="C38" i="12" a="1"/>
  <c r="C38" i="12" s="1"/>
  <c r="J25" i="1" s="1"/>
  <c r="C40" i="12" a="1"/>
  <c r="C40" i="12" s="1"/>
  <c r="J27" i="1" s="1"/>
  <c r="I42" i="12" a="1"/>
  <c r="I42" i="12" s="1"/>
  <c r="E42" i="12" a="1"/>
  <c r="E42" i="12" s="1"/>
  <c r="C41" i="12" a="1"/>
  <c r="C41" i="12" s="1"/>
  <c r="J28" i="1" s="1"/>
  <c r="E38" i="12" a="1"/>
  <c r="E38" i="12" s="1"/>
  <c r="G37" i="12" a="1"/>
  <c r="G37" i="12" s="1"/>
  <c r="D38" i="12" a="1"/>
  <c r="D38" i="12" s="1"/>
  <c r="D39" i="12" a="1"/>
  <c r="D39" i="12" s="1"/>
  <c r="H39" i="12" a="1"/>
  <c r="H39" i="12" s="1"/>
  <c r="C42" i="12" a="1"/>
  <c r="C42" i="12" s="1"/>
  <c r="J29" i="1" s="1"/>
  <c r="F38" i="12" a="1"/>
  <c r="F38" i="12" s="1"/>
  <c r="K25" i="1" s="1"/>
  <c r="I41" i="12" a="1"/>
  <c r="I41" i="12" s="1"/>
  <c r="E41" i="12" a="1"/>
  <c r="E41" i="12" s="1"/>
  <c r="H41" i="12" a="1"/>
  <c r="H41" i="12" s="1"/>
  <c r="F39" i="12" a="1"/>
  <c r="F39" i="12" s="1"/>
  <c r="K26" i="1" s="1"/>
  <c r="E37" i="12" a="1"/>
  <c r="E37" i="12" s="1"/>
  <c r="D37" i="12" a="1"/>
  <c r="D37" i="12" s="1"/>
  <c r="D40" i="12" a="1"/>
  <c r="D40" i="12" s="1"/>
  <c r="F42" i="12" a="1"/>
  <c r="F42" i="12" s="1"/>
  <c r="K29" i="1" s="1"/>
  <c r="E40" i="12" a="1"/>
  <c r="E40" i="12" s="1"/>
  <c r="G42" i="12" a="1"/>
  <c r="G42" i="12" s="1"/>
  <c r="G41" i="12" a="1"/>
  <c r="G41" i="12" s="1"/>
  <c r="C37" i="12" a="1"/>
  <c r="C37" i="12" s="1"/>
  <c r="J24" i="1" s="1"/>
  <c r="I37" i="12" a="1"/>
  <c r="I37" i="12" s="1"/>
  <c r="I39" i="12" a="1"/>
  <c r="I39" i="12" s="1"/>
  <c r="E39" i="12" a="1"/>
  <c r="E39" i="12" s="1"/>
  <c r="H37" i="12" a="1"/>
  <c r="H37" i="12" s="1"/>
  <c r="G40" i="12" a="1"/>
  <c r="G40" i="12" s="1"/>
  <c r="H42" i="12" a="1"/>
  <c r="H42" i="12" s="1"/>
  <c r="D41" i="12" a="1"/>
  <c r="D41" i="12" s="1"/>
  <c r="G38" i="12" a="1"/>
  <c r="G38" i="12" s="1"/>
  <c r="F41" i="12" a="1"/>
  <c r="F41" i="12" s="1"/>
  <c r="K28" i="1" s="1"/>
  <c r="H40" i="12" a="1"/>
  <c r="H40" i="12" s="1"/>
  <c r="G39" i="12" a="1"/>
  <c r="G39" i="12" s="1"/>
  <c r="I40" i="12" a="1"/>
  <c r="I40" i="12" s="1"/>
  <c r="BX40" i="3"/>
  <c r="E20" i="1" s="1"/>
  <c r="BY40" i="3"/>
  <c r="E24" i="1" s="1"/>
  <c r="BZ40" i="3"/>
  <c r="E28" i="1" s="1"/>
  <c r="BC40" i="3"/>
  <c r="E17" i="1" s="1"/>
  <c r="BD40" i="3"/>
  <c r="E21" i="1" s="1"/>
  <c r="BE40" i="3"/>
  <c r="E25" i="1" s="1"/>
  <c r="AB40" i="3"/>
  <c r="X40" i="3"/>
  <c r="BL40" i="3"/>
  <c r="E26" i="1" s="1"/>
  <c r="BQ40" i="3"/>
  <c r="E19" i="1" s="1"/>
  <c r="AV40" i="3"/>
  <c r="T8" i="3"/>
  <c r="T40" i="3" s="1"/>
  <c r="D28" i="11" s="1"/>
  <c r="AO40" i="3"/>
  <c r="BJ40" i="3"/>
  <c r="E18" i="1" s="1"/>
  <c r="BR40" i="3"/>
  <c r="E23" i="1" s="1"/>
  <c r="AD40" i="3"/>
  <c r="Y40" i="3"/>
  <c r="BK40" i="3"/>
  <c r="E22" i="1" s="1"/>
  <c r="BS40" i="3"/>
  <c r="E27" i="1" s="1"/>
  <c r="AW40" i="3"/>
  <c r="AP40" i="3"/>
  <c r="B88" i="1"/>
  <c r="B86" i="1"/>
  <c r="I64" i="13" l="1"/>
  <c r="E64" i="13"/>
  <c r="D60" i="13"/>
  <c r="S8" i="3"/>
  <c r="S40" i="3" s="1"/>
  <c r="J64" i="13"/>
  <c r="J60" i="13"/>
  <c r="Z40" i="3"/>
  <c r="B38" i="1" s="1"/>
  <c r="G60" i="13"/>
  <c r="E60" i="13"/>
  <c r="E65" i="13" s="1"/>
  <c r="G64" i="13"/>
  <c r="F60" i="13"/>
  <c r="F64" i="13"/>
  <c r="H60" i="13"/>
  <c r="H64" i="13"/>
  <c r="I60" i="13"/>
  <c r="I65" i="13" s="1"/>
  <c r="D64" i="13"/>
  <c r="C65" i="13"/>
  <c r="K72" i="13" a="1"/>
  <c r="K72" i="13" s="1"/>
  <c r="K58" i="13"/>
  <c r="K68" i="13" a="1"/>
  <c r="K68" i="13" s="1"/>
  <c r="L57" i="13"/>
  <c r="K61" i="13" a="1"/>
  <c r="K61" i="13" s="1"/>
  <c r="K62" i="13" s="1"/>
  <c r="K63" i="13" a="1"/>
  <c r="K63" i="13" s="1"/>
  <c r="K64" i="13" s="1"/>
  <c r="K59" i="13" a="1"/>
  <c r="K59" i="13" s="1"/>
  <c r="K60" i="13" s="1"/>
  <c r="J23" i="1"/>
  <c r="B46" i="12" a="1"/>
  <c r="B46" i="12" s="1"/>
  <c r="E46" i="1"/>
  <c r="J46" i="1"/>
  <c r="B47" i="12" a="1"/>
  <c r="B47" i="12" s="1"/>
  <c r="B45" i="12" a="1"/>
  <c r="B45" i="12" s="1"/>
  <c r="B14" i="12" s="1"/>
  <c r="G26" i="1"/>
  <c r="F26" i="1"/>
  <c r="AG41" i="3"/>
  <c r="C45" i="1" s="1"/>
  <c r="B45" i="1"/>
  <c r="G19" i="1"/>
  <c r="F19" i="1"/>
  <c r="J18" i="1" s="1"/>
  <c r="AF41" i="3"/>
  <c r="C44" i="1" s="1"/>
  <c r="B44" i="1"/>
  <c r="AU41" i="3"/>
  <c r="C59" i="1" s="1"/>
  <c r="B59" i="1"/>
  <c r="V41" i="3"/>
  <c r="C34" i="1" s="1"/>
  <c r="B34" i="1"/>
  <c r="AP41" i="3"/>
  <c r="C54" i="1" s="1"/>
  <c r="B54" i="1"/>
  <c r="X41" i="3"/>
  <c r="C36" i="1" s="1"/>
  <c r="B36" i="1"/>
  <c r="AS41" i="3"/>
  <c r="C57" i="1" s="1"/>
  <c r="B57" i="1"/>
  <c r="F28" i="1"/>
  <c r="G28" i="1"/>
  <c r="G22" i="1"/>
  <c r="F22" i="1"/>
  <c r="AK41" i="3"/>
  <c r="C49" i="1" s="1"/>
  <c r="B49" i="1"/>
  <c r="AD41" i="3"/>
  <c r="C42" i="1" s="1"/>
  <c r="B42" i="1"/>
  <c r="AW41" i="3"/>
  <c r="C61" i="1" s="1"/>
  <c r="B61" i="1"/>
  <c r="F25" i="1"/>
  <c r="G25" i="1"/>
  <c r="AE41" i="3"/>
  <c r="C43" i="1" s="1"/>
  <c r="B43" i="1"/>
  <c r="AR41" i="3"/>
  <c r="C56" i="1" s="1"/>
  <c r="B56" i="1"/>
  <c r="F17" i="1"/>
  <c r="G17" i="1"/>
  <c r="AO41" i="3"/>
  <c r="C53" i="1" s="1"/>
  <c r="B53" i="1"/>
  <c r="AM41" i="3"/>
  <c r="C51" i="1" s="1"/>
  <c r="B51" i="1"/>
  <c r="AJ41" i="3"/>
  <c r="C48" i="1" s="1"/>
  <c r="B48" i="1"/>
  <c r="F27" i="1"/>
  <c r="G27" i="1"/>
  <c r="G21" i="1"/>
  <c r="F21" i="1"/>
  <c r="W41" i="3"/>
  <c r="C35" i="1" s="1"/>
  <c r="B35" i="1"/>
  <c r="B39" i="1"/>
  <c r="AC41" i="3"/>
  <c r="C41" i="1" s="1"/>
  <c r="B41" i="1"/>
  <c r="G23" i="1"/>
  <c r="F23" i="1"/>
  <c r="AQ41" i="3"/>
  <c r="C55" i="1" s="1"/>
  <c r="B55" i="1"/>
  <c r="R40" i="3"/>
  <c r="CA8" i="3"/>
  <c r="AL41" i="3"/>
  <c r="C50" i="1" s="1"/>
  <c r="B50" i="1"/>
  <c r="AB41" i="3"/>
  <c r="C40" i="1" s="1"/>
  <c r="B40" i="1"/>
  <c r="F24" i="1"/>
  <c r="G24" i="1"/>
  <c r="AN41" i="3"/>
  <c r="C52" i="1" s="1"/>
  <c r="B52" i="1"/>
  <c r="Y41" i="3"/>
  <c r="C37" i="1" s="1"/>
  <c r="B37" i="1"/>
  <c r="F20" i="1"/>
  <c r="J19" i="1" s="1"/>
  <c r="G20" i="1"/>
  <c r="G18" i="1"/>
  <c r="F18" i="1"/>
  <c r="J17" i="1" s="1"/>
  <c r="AT41" i="3"/>
  <c r="C58" i="1" s="1"/>
  <c r="B58" i="1"/>
  <c r="AV41" i="3"/>
  <c r="C60" i="1" s="1"/>
  <c r="B60" i="1"/>
  <c r="AI41" i="3"/>
  <c r="C47" i="1" s="1"/>
  <c r="B47" i="1"/>
  <c r="AH41" i="3"/>
  <c r="C46" i="1" s="1"/>
  <c r="J65" i="13" l="1"/>
  <c r="D65" i="13"/>
  <c r="AA41" i="3"/>
  <c r="C39" i="1" s="1"/>
  <c r="Z41" i="3"/>
  <c r="C38" i="1" s="1"/>
  <c r="G65" i="13"/>
  <c r="J16" i="1"/>
  <c r="A40" i="9"/>
  <c r="B117" i="13"/>
  <c r="A14" i="13"/>
  <c r="A13" i="1"/>
  <c r="B46" i="10"/>
  <c r="D30" i="11"/>
  <c r="H65" i="13"/>
  <c r="F65" i="13"/>
  <c r="K65" i="13"/>
  <c r="L72" i="13" a="1"/>
  <c r="L72" i="13" s="1"/>
  <c r="L58" i="13"/>
  <c r="L61" i="13" a="1"/>
  <c r="L61" i="13" s="1"/>
  <c r="L62" i="13" s="1"/>
  <c r="L68" i="13" a="1"/>
  <c r="L68" i="13" s="1"/>
  <c r="L59" i="13" a="1"/>
  <c r="L59" i="13" s="1"/>
  <c r="L60" i="13" s="1"/>
  <c r="L63" i="13" a="1"/>
  <c r="L63" i="13" s="1"/>
  <c r="L64" i="13" s="1"/>
  <c r="M57" i="13"/>
  <c r="D29" i="11"/>
  <c r="E60" i="1"/>
  <c r="J60" i="1"/>
  <c r="E39" i="1"/>
  <c r="J39" i="1"/>
  <c r="E44" i="1"/>
  <c r="J44" i="1"/>
  <c r="E38" i="1"/>
  <c r="J38" i="1"/>
  <c r="E40" i="1"/>
  <c r="J40" i="1"/>
  <c r="E35" i="1"/>
  <c r="J35" i="1"/>
  <c r="E56" i="1"/>
  <c r="J56" i="1"/>
  <c r="E58" i="1"/>
  <c r="J58" i="1"/>
  <c r="E50" i="1"/>
  <c r="J50" i="1"/>
  <c r="E43" i="1"/>
  <c r="J43" i="1"/>
  <c r="E57" i="1"/>
  <c r="J57" i="1"/>
  <c r="E45" i="1"/>
  <c r="J45" i="1"/>
  <c r="E36" i="1"/>
  <c r="J36" i="1"/>
  <c r="E55" i="1"/>
  <c r="J55" i="1"/>
  <c r="E48" i="1"/>
  <c r="J48" i="1"/>
  <c r="E61" i="1"/>
  <c r="J61" i="1"/>
  <c r="E54" i="1"/>
  <c r="J54" i="1"/>
  <c r="E37" i="1"/>
  <c r="J37" i="1"/>
  <c r="E51" i="1"/>
  <c r="J51" i="1"/>
  <c r="E42" i="1"/>
  <c r="J42" i="1"/>
  <c r="E34" i="1"/>
  <c r="J34" i="1"/>
  <c r="E47" i="1"/>
  <c r="J47" i="1"/>
  <c r="E52" i="1"/>
  <c r="J52" i="1"/>
  <c r="E41" i="1"/>
  <c r="J41" i="1"/>
  <c r="E53" i="1"/>
  <c r="J53" i="1"/>
  <c r="E49" i="1"/>
  <c r="J49" i="1"/>
  <c r="E59" i="1"/>
  <c r="J59" i="1"/>
  <c r="B49" i="12"/>
  <c r="G76" i="1"/>
  <c r="G74" i="1"/>
  <c r="G72" i="1"/>
  <c r="G70" i="1"/>
  <c r="G68" i="1"/>
  <c r="B74" i="1"/>
  <c r="F76" i="1"/>
  <c r="F74" i="1"/>
  <c r="F72" i="1"/>
  <c r="F70" i="1"/>
  <c r="F68" i="1"/>
  <c r="C68" i="1"/>
  <c r="B70" i="1"/>
  <c r="E76" i="1"/>
  <c r="E74" i="1"/>
  <c r="E72" i="1"/>
  <c r="E70" i="1"/>
  <c r="E68" i="1"/>
  <c r="D74" i="1"/>
  <c r="D72" i="1"/>
  <c r="D70" i="1"/>
  <c r="D68" i="1"/>
  <c r="C74" i="1"/>
  <c r="B72" i="1"/>
  <c r="D76" i="1"/>
  <c r="C76" i="1"/>
  <c r="B76" i="1"/>
  <c r="A76" i="1"/>
  <c r="A74" i="1"/>
  <c r="A72" i="1"/>
  <c r="A70" i="1"/>
  <c r="A68" i="1"/>
  <c r="F73" i="1"/>
  <c r="F69" i="1"/>
  <c r="F67" i="1"/>
  <c r="G75" i="1"/>
  <c r="G73" i="1"/>
  <c r="G71" i="1"/>
  <c r="G69" i="1"/>
  <c r="G67" i="1"/>
  <c r="F71" i="1"/>
  <c r="B68" i="1"/>
  <c r="F75" i="1"/>
  <c r="E75" i="1"/>
  <c r="E73" i="1"/>
  <c r="E71" i="1"/>
  <c r="E69" i="1"/>
  <c r="E67" i="1"/>
  <c r="D75" i="1"/>
  <c r="D73" i="1"/>
  <c r="D71" i="1"/>
  <c r="D69" i="1"/>
  <c r="D67" i="1"/>
  <c r="C70" i="1"/>
  <c r="C75" i="1"/>
  <c r="C73" i="1"/>
  <c r="C71" i="1"/>
  <c r="C69" i="1"/>
  <c r="C67" i="1"/>
  <c r="C72" i="1"/>
  <c r="B75" i="1"/>
  <c r="B73" i="1"/>
  <c r="B71" i="1"/>
  <c r="B69" i="1"/>
  <c r="B67" i="1"/>
  <c r="A75" i="1"/>
  <c r="A73" i="1"/>
  <c r="A71" i="1"/>
  <c r="A69" i="1"/>
  <c r="A67" i="1"/>
  <c r="L65" i="13" l="1"/>
  <c r="M72" i="13" a="1"/>
  <c r="M72" i="13" s="1"/>
  <c r="M58" i="13"/>
  <c r="M59" i="13" a="1"/>
  <c r="M59" i="13" s="1"/>
  <c r="M60" i="13" s="1"/>
  <c r="M61" i="13" a="1"/>
  <c r="M61" i="13" s="1"/>
  <c r="M62" i="13" s="1"/>
  <c r="M68" i="13" a="1"/>
  <c r="M68" i="13" s="1"/>
  <c r="M63" i="13" a="1"/>
  <c r="M63" i="13" s="1"/>
  <c r="M64" i="13" s="1"/>
  <c r="N57" i="13"/>
  <c r="M65" i="13" l="1"/>
  <c r="N72" i="13" a="1"/>
  <c r="N72" i="13" s="1"/>
  <c r="N61" i="13" a="1"/>
  <c r="N61" i="13" s="1"/>
  <c r="N62" i="13" s="1"/>
  <c r="O57" i="13"/>
  <c r="N59" i="13" a="1"/>
  <c r="N59" i="13" s="1"/>
  <c r="N60" i="13" s="1"/>
  <c r="N68" i="13" a="1"/>
  <c r="N68" i="13" s="1"/>
  <c r="N63" i="13" a="1"/>
  <c r="N63" i="13" s="1"/>
  <c r="N64" i="13" s="1"/>
  <c r="N58" i="13"/>
  <c r="O61" i="13" l="1" a="1"/>
  <c r="O61" i="13" s="1"/>
  <c r="O62" i="13" s="1"/>
  <c r="O59" i="13" a="1"/>
  <c r="O59" i="13" s="1"/>
  <c r="O60" i="13" s="1"/>
  <c r="O65" i="13" s="1"/>
  <c r="O68" i="13" a="1"/>
  <c r="O68" i="13" s="1"/>
  <c r="P57" i="13"/>
  <c r="O63" i="13" a="1"/>
  <c r="O63" i="13" s="1"/>
  <c r="O64" i="13" s="1"/>
  <c r="O58" i="13"/>
  <c r="O72" i="13" a="1"/>
  <c r="O72" i="13" s="1"/>
  <c r="N65" i="13"/>
  <c r="P72" i="13" l="1" a="1"/>
  <c r="P72" i="13" s="1"/>
  <c r="P68" i="13" a="1"/>
  <c r="P68" i="13" s="1"/>
  <c r="Q57" i="13"/>
  <c r="P63" i="13" a="1"/>
  <c r="P63" i="13" s="1"/>
  <c r="P64" i="13" s="1"/>
  <c r="P59" i="13" a="1"/>
  <c r="P59" i="13" s="1"/>
  <c r="P60" i="13" s="1"/>
  <c r="P61" i="13" a="1"/>
  <c r="P61" i="13" s="1"/>
  <c r="P62" i="13" s="1"/>
  <c r="P58" i="13"/>
  <c r="P65" i="13" l="1"/>
  <c r="Q72" i="13" a="1"/>
  <c r="Q72" i="13" s="1"/>
  <c r="Q68" i="13" a="1"/>
  <c r="Q68" i="13" s="1"/>
  <c r="R57" i="13"/>
  <c r="Q63" i="13" a="1"/>
  <c r="Q63" i="13" s="1"/>
  <c r="Q64" i="13" s="1"/>
  <c r="Q58" i="13"/>
  <c r="Q59" i="13" a="1"/>
  <c r="Q59" i="13" s="1"/>
  <c r="Q60" i="13" s="1"/>
  <c r="Q61" i="13" a="1"/>
  <c r="Q61" i="13" s="1"/>
  <c r="Q62" i="13" s="1"/>
  <c r="Q65" i="13" l="1"/>
  <c r="S57" i="13"/>
  <c r="R68" i="13" a="1"/>
  <c r="R68" i="13" s="1"/>
  <c r="R63" i="13" a="1"/>
  <c r="R63" i="13" s="1"/>
  <c r="R64" i="13" s="1"/>
  <c r="R61" i="13" a="1"/>
  <c r="R61" i="13" s="1"/>
  <c r="R62" i="13" s="1"/>
  <c r="R59" i="13" a="1"/>
  <c r="R59" i="13" s="1"/>
  <c r="R60" i="13" s="1"/>
  <c r="R65" i="13" s="1"/>
  <c r="R58" i="13"/>
  <c r="R72" i="13" a="1"/>
  <c r="R72" i="13" s="1"/>
  <c r="S72" i="13" l="1" a="1"/>
  <c r="S72" i="13" s="1"/>
  <c r="S68" i="13" a="1"/>
  <c r="S68" i="13" s="1"/>
  <c r="S59" i="13" a="1"/>
  <c r="S59" i="13" s="1"/>
  <c r="S60" i="13" s="1"/>
  <c r="S65" i="13" s="1"/>
  <c r="S58" i="13"/>
  <c r="T57" i="13"/>
  <c r="S61" i="13" a="1"/>
  <c r="S61" i="13" s="1"/>
  <c r="S62" i="13" s="1"/>
  <c r="S63" i="13" a="1"/>
  <c r="S63" i="13" s="1"/>
  <c r="S64" i="13" s="1"/>
  <c r="T72" i="13" l="1" a="1"/>
  <c r="T72" i="13" s="1"/>
  <c r="U57" i="13"/>
  <c r="T61" i="13" a="1"/>
  <c r="T61" i="13" s="1"/>
  <c r="T62" i="13" s="1"/>
  <c r="T58" i="13"/>
  <c r="T68" i="13" a="1"/>
  <c r="T68" i="13" s="1"/>
  <c r="T59" i="13" a="1"/>
  <c r="T59" i="13" s="1"/>
  <c r="T60" i="13" s="1"/>
  <c r="T65" i="13" s="1"/>
  <c r="T63" i="13" a="1"/>
  <c r="T63" i="13" s="1"/>
  <c r="T64" i="13" s="1"/>
  <c r="U61" i="13" l="1" a="1"/>
  <c r="U61" i="13" s="1"/>
  <c r="U62" i="13" s="1"/>
  <c r="U59" i="13" a="1"/>
  <c r="U59" i="13" s="1"/>
  <c r="U60" i="13" s="1"/>
  <c r="U72" i="13" a="1"/>
  <c r="U72" i="13" s="1"/>
  <c r="U58" i="13"/>
  <c r="V57" i="13"/>
  <c r="U68" i="13" a="1"/>
  <c r="U68" i="13" s="1"/>
  <c r="U63" i="13" a="1"/>
  <c r="U63" i="13" s="1"/>
  <c r="U64" i="13" s="1"/>
  <c r="U65" i="13" l="1"/>
  <c r="V72" i="13" a="1"/>
  <c r="V72" i="13" s="1"/>
  <c r="V61" i="13" a="1"/>
  <c r="V61" i="13" s="1"/>
  <c r="V62" i="13" s="1"/>
  <c r="V59" i="13" a="1"/>
  <c r="V59" i="13" s="1"/>
  <c r="V60" i="13" s="1"/>
  <c r="V63" i="13" a="1"/>
  <c r="V63" i="13" s="1"/>
  <c r="V64" i="13" s="1"/>
  <c r="W57" i="13"/>
  <c r="V58" i="13"/>
  <c r="V68" i="13" a="1"/>
  <c r="V68" i="13" s="1"/>
  <c r="V65" i="13" l="1"/>
  <c r="W72" i="13" a="1"/>
  <c r="W72" i="13" s="1"/>
  <c r="W59" i="13" a="1"/>
  <c r="W59" i="13" s="1"/>
  <c r="W60" i="13" s="1"/>
  <c r="W58" i="13"/>
  <c r="W61" i="13" a="1"/>
  <c r="W61" i="13" s="1"/>
  <c r="W62" i="13" s="1"/>
  <c r="W68" i="13" a="1"/>
  <c r="W68" i="13" s="1"/>
  <c r="W63" i="13" a="1"/>
  <c r="W63" i="13" s="1"/>
  <c r="W64" i="13" s="1"/>
  <c r="X57" i="13"/>
  <c r="W65" i="13" l="1"/>
  <c r="X72" i="13" a="1"/>
  <c r="X72" i="13" s="1"/>
  <c r="X68" i="13" a="1"/>
  <c r="X68" i="13" s="1"/>
  <c r="X58" i="13"/>
  <c r="X61" i="13" a="1"/>
  <c r="X61" i="13" s="1"/>
  <c r="X62" i="13" s="1"/>
  <c r="X59" i="13" a="1"/>
  <c r="X59" i="13" s="1"/>
  <c r="X60" i="13" s="1"/>
  <c r="X65" i="13" s="1"/>
  <c r="Y57" i="13"/>
  <c r="X63" i="13" a="1"/>
  <c r="X63" i="13" s="1"/>
  <c r="X64" i="13" s="1"/>
  <c r="Y72" i="13" l="1" a="1"/>
  <c r="Y72" i="13" s="1"/>
  <c r="Y68" i="13" a="1"/>
  <c r="Y68" i="13" s="1"/>
  <c r="Y63" i="13" a="1"/>
  <c r="Y63" i="13" s="1"/>
  <c r="Y64" i="13" s="1"/>
  <c r="Y58" i="13"/>
  <c r="Y61" i="13" a="1"/>
  <c r="Y61" i="13" s="1"/>
  <c r="Y62" i="13" s="1"/>
  <c r="Y59" i="13" a="1"/>
  <c r="Y59" i="13" s="1"/>
  <c r="Y60" i="13" s="1"/>
  <c r="Z57" i="13"/>
  <c r="Y65" i="13" l="1"/>
  <c r="Z58" i="13"/>
  <c r="Z63" i="13" a="1"/>
  <c r="Z63" i="13" s="1"/>
  <c r="Z64" i="13" s="1"/>
  <c r="Z72" i="13" a="1"/>
  <c r="Z72" i="13" s="1"/>
  <c r="Z68" i="13" a="1"/>
  <c r="Z68" i="13" s="1"/>
  <c r="Z61" i="13" a="1"/>
  <c r="Z61" i="13" s="1"/>
  <c r="Z62" i="13" s="1"/>
  <c r="AA57" i="13"/>
  <c r="Z59" i="13" a="1"/>
  <c r="Z59" i="13" s="1"/>
  <c r="Z60" i="13" s="1"/>
  <c r="Z65" i="13" s="1"/>
  <c r="AA63" i="13" l="1" a="1"/>
  <c r="AA63" i="13" s="1"/>
  <c r="AA64" i="13" s="1"/>
  <c r="AA58" i="13"/>
  <c r="AA72" i="13" a="1"/>
  <c r="AA72" i="13" s="1"/>
  <c r="AA68" i="13" a="1"/>
  <c r="AA68" i="13" s="1"/>
  <c r="AA59" i="13" a="1"/>
  <c r="AA59" i="13" s="1"/>
  <c r="AA60" i="13" s="1"/>
  <c r="AA65" i="13" s="1"/>
  <c r="AA61" i="13" a="1"/>
  <c r="AA61" i="13" s="1"/>
  <c r="AA62" i="13" s="1"/>
  <c r="AB57" i="13"/>
  <c r="AB72" i="13" l="1" a="1"/>
  <c r="AB72" i="13" s="1"/>
  <c r="AB59" i="13" a="1"/>
  <c r="AB59" i="13" s="1"/>
  <c r="AB60" i="13" s="1"/>
  <c r="AB65" i="13" s="1"/>
  <c r="AC57" i="13"/>
  <c r="AB68" i="13" a="1"/>
  <c r="AB68" i="13" s="1"/>
  <c r="AB58" i="13"/>
  <c r="AB61" i="13" a="1"/>
  <c r="AB61" i="13" s="1"/>
  <c r="AB62" i="13" s="1"/>
  <c r="AB63" i="13" a="1"/>
  <c r="AB63" i="13" s="1"/>
  <c r="AB64" i="13" s="1"/>
  <c r="AC72" i="13" l="1" a="1"/>
  <c r="AC72" i="13" s="1"/>
  <c r="AC68" i="13" a="1"/>
  <c r="AC68" i="13" s="1"/>
  <c r="AC59" i="13" a="1"/>
  <c r="AC59" i="13" s="1"/>
  <c r="AC60" i="13" s="1"/>
  <c r="AC65" i="13" s="1"/>
  <c r="AD57" i="13"/>
  <c r="AC63" i="13" a="1"/>
  <c r="AC63" i="13" s="1"/>
  <c r="AC64" i="13" s="1"/>
  <c r="AC61" i="13" a="1"/>
  <c r="AC61" i="13" s="1"/>
  <c r="AC62" i="13" s="1"/>
  <c r="AC58" i="13"/>
  <c r="AD72" i="13" l="1" a="1"/>
  <c r="AD72" i="13" s="1"/>
  <c r="AD58" i="13"/>
  <c r="AD59" i="13" a="1"/>
  <c r="AD59" i="13" s="1"/>
  <c r="AE57" i="13"/>
  <c r="AD61" i="13" a="1"/>
  <c r="AD61" i="13" s="1"/>
  <c r="AD62" i="13" s="1"/>
  <c r="AD68" i="13" a="1"/>
  <c r="AD68" i="13" s="1"/>
  <c r="AD63" i="13" a="1"/>
  <c r="AD63" i="13" s="1"/>
  <c r="AD64" i="13" s="1"/>
  <c r="AD60" i="13" l="1"/>
  <c r="AD65" i="13" s="1"/>
  <c r="B104" i="13"/>
  <c r="D31" i="11" s="1"/>
  <c r="AE72" i="13" a="1"/>
  <c r="AE72" i="13" s="1"/>
  <c r="AF57" i="13"/>
  <c r="AE61" i="13" a="1"/>
  <c r="AE61" i="13" s="1"/>
  <c r="AE62" i="13" s="1"/>
  <c r="AE63" i="13" a="1"/>
  <c r="AE63" i="13" s="1"/>
  <c r="AE64" i="13" s="1"/>
  <c r="AE59" i="13" a="1"/>
  <c r="AE59" i="13" s="1"/>
  <c r="AE60" i="13" s="1"/>
  <c r="AE65" i="13" s="1"/>
  <c r="AE58" i="13"/>
  <c r="AE68" i="13" a="1"/>
  <c r="AE68" i="13" s="1"/>
  <c r="AF68" i="13" l="1" a="1"/>
  <c r="AF68" i="13" s="1"/>
  <c r="AF72" i="13" a="1"/>
  <c r="AF72" i="13" s="1"/>
  <c r="AF61" i="13" a="1"/>
  <c r="AF61" i="13" s="1"/>
  <c r="AF62" i="13" s="1"/>
  <c r="AG57" i="13"/>
  <c r="AF59" i="13" a="1"/>
  <c r="AF59" i="13" s="1"/>
  <c r="AF60" i="13" s="1"/>
  <c r="AF65" i="13" s="1"/>
  <c r="AF63" i="13" a="1"/>
  <c r="AF63" i="13" s="1"/>
  <c r="AF64" i="13" s="1"/>
  <c r="AF58" i="13"/>
  <c r="AG68" i="13" l="1" a="1"/>
  <c r="AG68" i="13" s="1"/>
  <c r="AG72" i="13" a="1"/>
  <c r="AG72" i="13" s="1"/>
  <c r="AH57" i="13"/>
  <c r="AG59" i="13" a="1"/>
  <c r="AG59" i="13" s="1"/>
  <c r="AG60" i="13" s="1"/>
  <c r="AG63" i="13" a="1"/>
  <c r="AG63" i="13" s="1"/>
  <c r="AG64" i="13" s="1"/>
  <c r="AG61" i="13" a="1"/>
  <c r="AG61" i="13" s="1"/>
  <c r="AG62" i="13" s="1"/>
  <c r="AG58" i="13"/>
  <c r="AG65" i="13" l="1"/>
  <c r="AH72" i="13" a="1"/>
  <c r="AH72" i="13" s="1"/>
  <c r="AH63" i="13" a="1"/>
  <c r="AH63" i="13" s="1"/>
  <c r="AH64" i="13" s="1"/>
  <c r="AH59" i="13" a="1"/>
  <c r="AH59" i="13" s="1"/>
  <c r="AH60" i="13" s="1"/>
  <c r="AH65" i="13" s="1"/>
  <c r="AH61" i="13" a="1"/>
  <c r="AH61" i="13" s="1"/>
  <c r="AH62" i="13" s="1"/>
  <c r="AH68" i="13" a="1"/>
  <c r="AH68" i="13" s="1"/>
  <c r="AI57" i="13"/>
  <c r="AH58" i="13"/>
  <c r="AI63" i="13" l="1" a="1"/>
  <c r="AI63" i="13" s="1"/>
  <c r="AI64" i="13" s="1"/>
  <c r="AI68" i="13" a="1"/>
  <c r="AI68" i="13" s="1"/>
  <c r="AI58" i="13"/>
  <c r="AI61" i="13" a="1"/>
  <c r="AI61" i="13" s="1"/>
  <c r="AI62" i="13" s="1"/>
  <c r="AJ57" i="13"/>
  <c r="AI72" i="13" a="1"/>
  <c r="AI72" i="13" s="1"/>
  <c r="AI59" i="13" a="1"/>
  <c r="AI59" i="13" s="1"/>
  <c r="AI60" i="13" s="1"/>
  <c r="AI65" i="13" s="1"/>
  <c r="AJ63" i="13" l="1" a="1"/>
  <c r="AJ63" i="13" s="1"/>
  <c r="AJ64" i="13" s="1"/>
  <c r="AJ59" i="13" a="1"/>
  <c r="AJ59" i="13" s="1"/>
  <c r="AJ60" i="13" s="1"/>
  <c r="AJ65" i="13" s="1"/>
  <c r="AJ68" i="13" a="1"/>
  <c r="AJ68" i="13" s="1"/>
  <c r="AJ61" i="13" a="1"/>
  <c r="AJ61" i="13" s="1"/>
  <c r="AJ62" i="13" s="1"/>
  <c r="AK57" i="13"/>
  <c r="AJ72" i="13" a="1"/>
  <c r="AJ72" i="13" s="1"/>
  <c r="AJ58" i="13"/>
  <c r="AK72" i="13" l="1" a="1"/>
  <c r="AK72" i="13" s="1"/>
  <c r="AK59" i="13" a="1"/>
  <c r="AK59" i="13" s="1"/>
  <c r="AK60" i="13" s="1"/>
  <c r="AK65" i="13" s="1"/>
  <c r="AK68" i="13" a="1"/>
  <c r="AK68" i="13" s="1"/>
  <c r="AK61" i="13" a="1"/>
  <c r="AK61" i="13" s="1"/>
  <c r="AK62" i="13" s="1"/>
  <c r="AL57" i="13"/>
  <c r="AK58" i="13"/>
  <c r="AK63" i="13" a="1"/>
  <c r="AK63" i="13" s="1"/>
  <c r="AK64" i="13" s="1"/>
  <c r="AL72" i="13" l="1" a="1"/>
  <c r="AL72" i="13" s="1"/>
  <c r="AL59" i="13" a="1"/>
  <c r="AL59" i="13" s="1"/>
  <c r="AL60" i="13" s="1"/>
  <c r="AL65" i="13" s="1"/>
  <c r="AL61" i="13" a="1"/>
  <c r="AL61" i="13" s="1"/>
  <c r="AL62" i="13" s="1"/>
  <c r="AL58" i="13"/>
  <c r="AL68" i="13" a="1"/>
  <c r="AL68" i="13" s="1"/>
  <c r="AM57" i="13"/>
  <c r="AL63" i="13" a="1"/>
  <c r="AL63" i="13" s="1"/>
  <c r="AL64" i="13" s="1"/>
  <c r="AM72" i="13" l="1" a="1"/>
  <c r="AM72" i="13" s="1"/>
  <c r="AM68" i="13" a="1"/>
  <c r="AM68" i="13" s="1"/>
  <c r="AM61" i="13" a="1"/>
  <c r="AM61" i="13" s="1"/>
  <c r="AM62" i="13" s="1"/>
  <c r="AM58" i="13"/>
  <c r="AN57" i="13"/>
  <c r="AM59" i="13" a="1"/>
  <c r="AM59" i="13" s="1"/>
  <c r="AM60" i="13" s="1"/>
  <c r="AM65" i="13" s="1"/>
  <c r="AM63" i="13" a="1"/>
  <c r="AM63" i="13" s="1"/>
  <c r="AM64" i="13" s="1"/>
  <c r="AN68" i="13" l="1" a="1"/>
  <c r="AN68" i="13" s="1"/>
  <c r="AN72" i="13" a="1"/>
  <c r="AN72" i="13" s="1"/>
  <c r="AN61" i="13" a="1"/>
  <c r="AN61" i="13" s="1"/>
  <c r="AN62" i="13" s="1"/>
  <c r="AN58" i="13"/>
  <c r="AN63" i="13" a="1"/>
  <c r="AN63" i="13" s="1"/>
  <c r="AN64" i="13" s="1"/>
  <c r="AO57" i="13"/>
  <c r="AN59" i="13" a="1"/>
  <c r="AN59" i="13" s="1"/>
  <c r="AN60" i="13" s="1"/>
  <c r="AN65" i="13" s="1"/>
  <c r="AO68" i="13" l="1" a="1"/>
  <c r="AO68" i="13" s="1"/>
  <c r="AO72" i="13" a="1"/>
  <c r="AO72" i="13" s="1"/>
  <c r="AO61" i="13" a="1"/>
  <c r="AO61" i="13" s="1"/>
  <c r="AO62" i="13" s="1"/>
  <c r="AO58" i="13"/>
  <c r="AP57" i="13"/>
  <c r="AO63" i="13" a="1"/>
  <c r="AO63" i="13" s="1"/>
  <c r="AO64" i="13" s="1"/>
  <c r="AO59" i="13" a="1"/>
  <c r="AO59" i="13" s="1"/>
  <c r="AO60" i="13" s="1"/>
  <c r="AO65" i="13" s="1"/>
  <c r="AP72" i="13" l="1" a="1"/>
  <c r="AP72" i="13" s="1"/>
  <c r="AP68" i="13" a="1"/>
  <c r="AP68" i="13" s="1"/>
  <c r="AP58" i="13"/>
  <c r="AQ57" i="13"/>
  <c r="AP63" i="13" a="1"/>
  <c r="AP63" i="13" s="1"/>
  <c r="AP64" i="13" s="1"/>
  <c r="AP59" i="13" a="1"/>
  <c r="AP59" i="13" s="1"/>
  <c r="AP60" i="13" s="1"/>
  <c r="AP65" i="13" s="1"/>
  <c r="AP61" i="13" a="1"/>
  <c r="AP61" i="13" s="1"/>
  <c r="AP62" i="13" s="1"/>
  <c r="AQ72" i="13" l="1" a="1"/>
  <c r="AQ72" i="13" s="1"/>
  <c r="AR57" i="13"/>
  <c r="AQ63" i="13" a="1"/>
  <c r="AQ63" i="13" s="1"/>
  <c r="AQ64" i="13" s="1"/>
  <c r="AQ58" i="13"/>
  <c r="AQ68" i="13" a="1"/>
  <c r="AQ68" i="13" s="1"/>
  <c r="AQ61" i="13" a="1"/>
  <c r="AQ61" i="13" s="1"/>
  <c r="AQ62" i="13" s="1"/>
  <c r="AQ59" i="13" a="1"/>
  <c r="AQ59" i="13" s="1"/>
  <c r="AQ60" i="13" s="1"/>
  <c r="AQ65" i="13" s="1"/>
  <c r="AR72" i="13" l="1" a="1"/>
  <c r="AR72" i="13" s="1"/>
  <c r="AR58" i="13"/>
  <c r="AR63" i="13" a="1"/>
  <c r="AR63" i="13" s="1"/>
  <c r="AR64" i="13" s="1"/>
  <c r="AS57" i="13"/>
  <c r="AR59" i="13" a="1"/>
  <c r="AR59" i="13" s="1"/>
  <c r="AR60" i="13" s="1"/>
  <c r="AR65" i="13" s="1"/>
  <c r="AR68" i="13" a="1"/>
  <c r="AR68" i="13" s="1"/>
  <c r="AR61" i="13" a="1"/>
  <c r="AR61" i="13" s="1"/>
  <c r="AR62" i="13" s="1"/>
  <c r="AS72" i="13" l="1" a="1"/>
  <c r="AS72" i="13" s="1"/>
  <c r="AS63" i="13" a="1"/>
  <c r="AS63" i="13" s="1"/>
  <c r="AS64" i="13" s="1"/>
  <c r="AS59" i="13" a="1"/>
  <c r="AS59" i="13" s="1"/>
  <c r="AS60" i="13" s="1"/>
  <c r="AT57" i="13"/>
  <c r="AS68" i="13" a="1"/>
  <c r="AS68" i="13" s="1"/>
  <c r="AS61" i="13" a="1"/>
  <c r="AS61" i="13" s="1"/>
  <c r="AS62" i="13" s="1"/>
  <c r="AS58" i="13"/>
  <c r="AS65" i="13" l="1"/>
  <c r="AU57" i="13"/>
  <c r="AT68" i="13" a="1"/>
  <c r="AT68" i="13" s="1"/>
  <c r="AT72" i="13" a="1"/>
  <c r="AT72" i="13" s="1"/>
  <c r="AT63" i="13" a="1"/>
  <c r="AT63" i="13" s="1"/>
  <c r="AT64" i="13" s="1"/>
  <c r="AT61" i="13" a="1"/>
  <c r="AT61" i="13" s="1"/>
  <c r="AT62" i="13" s="1"/>
  <c r="AT58" i="13"/>
  <c r="AT59" i="13" a="1"/>
  <c r="AT59" i="13" s="1"/>
  <c r="AT60" i="13" s="1"/>
  <c r="AT65" i="13" s="1"/>
  <c r="AU61" i="13" l="1" a="1"/>
  <c r="AU61" i="13" s="1"/>
  <c r="AU62" i="13" s="1"/>
  <c r="AU68" i="13" a="1"/>
  <c r="AU68" i="13" s="1"/>
  <c r="AU72" i="13" a="1"/>
  <c r="AU72" i="13" s="1"/>
  <c r="AU58" i="13"/>
  <c r="AU63" i="13" a="1"/>
  <c r="AU63" i="13" s="1"/>
  <c r="AU64" i="13" s="1"/>
  <c r="AU59" i="13" a="1"/>
  <c r="AU59" i="13" s="1"/>
  <c r="AU60" i="13" s="1"/>
  <c r="AU65" i="13" s="1"/>
  <c r="AV57" i="13"/>
  <c r="AV68" i="13" l="1" a="1"/>
  <c r="AV68" i="13" s="1"/>
  <c r="AV72" i="13" a="1"/>
  <c r="AV72" i="13" s="1"/>
  <c r="AV61" i="13" a="1"/>
  <c r="AV61" i="13" s="1"/>
  <c r="AV62" i="13" s="1"/>
  <c r="AV58" i="13"/>
  <c r="AV59" i="13" a="1"/>
  <c r="AV59" i="13" s="1"/>
  <c r="AV60" i="13" s="1"/>
  <c r="AV65" i="13" s="1"/>
  <c r="AV63" i="13" a="1"/>
  <c r="AV63" i="13" s="1"/>
  <c r="AV64" i="13" s="1"/>
  <c r="AW57" i="13"/>
  <c r="AW68" i="13" l="1" a="1"/>
  <c r="AW68" i="13" s="1"/>
  <c r="AW72" i="13" a="1"/>
  <c r="AW72" i="13" s="1"/>
  <c r="AW61" i="13" a="1"/>
  <c r="AW61" i="13" s="1"/>
  <c r="AW62" i="13" s="1"/>
  <c r="AW58" i="13"/>
  <c r="AW59" i="13" a="1"/>
  <c r="AW59" i="13" s="1"/>
  <c r="AW60" i="13" s="1"/>
  <c r="AW63" i="13" a="1"/>
  <c r="AW63" i="13" s="1"/>
  <c r="AW64" i="13" s="1"/>
  <c r="AX57" i="13"/>
  <c r="AW65" i="13" l="1"/>
  <c r="AX68" i="13" a="1"/>
  <c r="AX68" i="13" s="1"/>
  <c r="AX72" i="13" a="1"/>
  <c r="AX72" i="13" s="1"/>
  <c r="AX61" i="13" a="1"/>
  <c r="AX61" i="13" s="1"/>
  <c r="AX62" i="13" s="1"/>
  <c r="AY57" i="13"/>
  <c r="AX59" i="13" a="1"/>
  <c r="AX59" i="13" s="1"/>
  <c r="AX60" i="13" s="1"/>
  <c r="AX65" i="13" s="1"/>
  <c r="AX63" i="13" a="1"/>
  <c r="AX63" i="13" s="1"/>
  <c r="AX64" i="13" s="1"/>
  <c r="AX58" i="13"/>
  <c r="AY72" i="13" l="1" a="1"/>
  <c r="AY72" i="13" s="1"/>
  <c r="AY59" i="13" a="1"/>
  <c r="AY59" i="13" s="1"/>
  <c r="AY60" i="13" s="1"/>
  <c r="AY65" i="13" s="1"/>
  <c r="AY68" i="13" a="1"/>
  <c r="AY68" i="13" s="1"/>
  <c r="AY63" i="13" a="1"/>
  <c r="AY63" i="13" s="1"/>
  <c r="AY64" i="13" s="1"/>
  <c r="AZ57" i="13"/>
  <c r="AY61" i="13" a="1"/>
  <c r="AY61" i="13" s="1"/>
  <c r="AY62" i="13" s="1"/>
  <c r="AY58" i="13"/>
  <c r="AZ72" i="13" l="1" a="1"/>
  <c r="AZ72" i="13" s="1"/>
  <c r="AZ63" i="13" a="1"/>
  <c r="AZ63" i="13" s="1"/>
  <c r="AZ64" i="13" s="1"/>
  <c r="AZ68" i="13" a="1"/>
  <c r="AZ68" i="13" s="1"/>
  <c r="AZ59" i="13" a="1"/>
  <c r="AZ59" i="13" s="1"/>
  <c r="AZ60" i="13" s="1"/>
  <c r="AZ65" i="13" s="1"/>
  <c r="BA57" i="13"/>
  <c r="AZ61" i="13" a="1"/>
  <c r="AZ61" i="13" s="1"/>
  <c r="AZ62" i="13" s="1"/>
  <c r="AZ58" i="13"/>
  <c r="BA72" i="13" l="1" a="1"/>
  <c r="BA72" i="13" s="1"/>
  <c r="BA59" i="13" a="1"/>
  <c r="BA59" i="13" s="1"/>
  <c r="BA60" i="13" s="1"/>
  <c r="BA65" i="13" s="1"/>
  <c r="BA63" i="13" a="1"/>
  <c r="BA63" i="13" s="1"/>
  <c r="BA64" i="13" s="1"/>
  <c r="BA58" i="13"/>
  <c r="BA61" i="13" a="1"/>
  <c r="BA61" i="13" s="1"/>
  <c r="BA62" i="13" s="1"/>
  <c r="BA68" i="13" a="1"/>
  <c r="BA68" i="13" s="1"/>
  <c r="BB57" i="13"/>
  <c r="BB72" i="13" l="1" a="1"/>
  <c r="BB72" i="13" s="1"/>
  <c r="BB63" i="13" a="1"/>
  <c r="BB63" i="13" s="1"/>
  <c r="BB64" i="13" s="1"/>
  <c r="BB58" i="13"/>
  <c r="BC57" i="13"/>
  <c r="BB59" i="13" a="1"/>
  <c r="BB59" i="13" s="1"/>
  <c r="BB60" i="13" s="1"/>
  <c r="BB65" i="13" s="1"/>
  <c r="BB68" i="13" a="1"/>
  <c r="BB68" i="13" s="1"/>
  <c r="BB61" i="13" a="1"/>
  <c r="BB61" i="13" s="1"/>
  <c r="BB62" i="13" s="1"/>
  <c r="BC58" i="13" l="1"/>
  <c r="BC72" i="13" a="1"/>
  <c r="BC72" i="13" s="1"/>
  <c r="BC59" i="13" a="1"/>
  <c r="BC59" i="13" s="1"/>
  <c r="BC60" i="13" s="1"/>
  <c r="BC65" i="13" s="1"/>
  <c r="BD57" i="13"/>
  <c r="BC68" i="13" a="1"/>
  <c r="BC68" i="13" s="1"/>
  <c r="BC61" i="13" a="1"/>
  <c r="BC61" i="13" s="1"/>
  <c r="BC62" i="13" s="1"/>
  <c r="BC63" i="13" a="1"/>
  <c r="BC63" i="13" s="1"/>
  <c r="BC64" i="13" s="1"/>
  <c r="BD68" i="13" l="1" a="1"/>
  <c r="BD68" i="13" s="1"/>
  <c r="BD72" i="13" a="1"/>
  <c r="BD72" i="13" s="1"/>
  <c r="BD58" i="13"/>
  <c r="BE57" i="13"/>
  <c r="BD63" i="13" a="1"/>
  <c r="BD63" i="13" s="1"/>
  <c r="BD64" i="13" s="1"/>
  <c r="BD61" i="13" a="1"/>
  <c r="BD61" i="13" s="1"/>
  <c r="BD62" i="13" s="1"/>
  <c r="BD59" i="13" a="1"/>
  <c r="BD59" i="13" s="1"/>
  <c r="BD60" i="13" s="1"/>
  <c r="BD65" i="13" s="1"/>
  <c r="BE68" i="13" l="1" a="1"/>
  <c r="BE68" i="13" s="1"/>
  <c r="BE72" i="13" a="1"/>
  <c r="BE72" i="13" s="1"/>
  <c r="BE58" i="13"/>
  <c r="BE61" i="13" a="1"/>
  <c r="BE61" i="13" s="1"/>
  <c r="BE62" i="13" s="1"/>
  <c r="BF57" i="13"/>
  <c r="BE63" i="13" a="1"/>
  <c r="BE63" i="13" s="1"/>
  <c r="BE64" i="13" s="1"/>
  <c r="BE59" i="13" a="1"/>
  <c r="BE59" i="13" s="1"/>
  <c r="BE60" i="13" s="1"/>
  <c r="BE65" i="13" l="1"/>
  <c r="BF72" i="13" a="1"/>
  <c r="BF72" i="13" s="1"/>
  <c r="BF68" i="13" a="1"/>
  <c r="BF68" i="13" s="1"/>
  <c r="BF58" i="13"/>
  <c r="BF61" i="13" a="1"/>
  <c r="BF61" i="13" s="1"/>
  <c r="BF62" i="13" s="1"/>
  <c r="BG57" i="13"/>
  <c r="BF63" i="13" a="1"/>
  <c r="BF63" i="13" s="1"/>
  <c r="BF64" i="13" s="1"/>
  <c r="BF59" i="13" a="1"/>
  <c r="BF59" i="13" s="1"/>
  <c r="BF60" i="13" s="1"/>
  <c r="BF65" i="13" s="1"/>
  <c r="BG72" i="13" l="1" a="1"/>
  <c r="BG72" i="13" s="1"/>
  <c r="BG63" i="13" a="1"/>
  <c r="BG63" i="13" s="1"/>
  <c r="BG64" i="13" s="1"/>
  <c r="BH57" i="13"/>
  <c r="BG59" i="13" a="1"/>
  <c r="BG59" i="13" s="1"/>
  <c r="BG60" i="13" s="1"/>
  <c r="BG65" i="13" s="1"/>
  <c r="BG68" i="13" a="1"/>
  <c r="BG68" i="13" s="1"/>
  <c r="BG58" i="13"/>
  <c r="BG61" i="13" a="1"/>
  <c r="BG61" i="13" s="1"/>
  <c r="BG62" i="13" s="1"/>
  <c r="BH72" i="13" l="1" a="1"/>
  <c r="BH72" i="13" s="1"/>
  <c r="BI57" i="13"/>
  <c r="BH59" i="13" a="1"/>
  <c r="BH59" i="13" s="1"/>
  <c r="BH60" i="13" s="1"/>
  <c r="BH65" i="13" s="1"/>
  <c r="BH68" i="13" a="1"/>
  <c r="BH68" i="13" s="1"/>
  <c r="BH58" i="13"/>
  <c r="BH63" i="13" a="1"/>
  <c r="BH63" i="13" s="1"/>
  <c r="BH64" i="13" s="1"/>
  <c r="BH61" i="13" a="1"/>
  <c r="BH61" i="13" s="1"/>
  <c r="BH62" i="13" s="1"/>
  <c r="BI72" i="13" l="1" a="1"/>
  <c r="BI72" i="13" s="1"/>
  <c r="BI68" i="13" a="1"/>
  <c r="BI68" i="13" s="1"/>
  <c r="BI63" i="13" a="1"/>
  <c r="BI63" i="13" s="1"/>
  <c r="BI64" i="13" s="1"/>
  <c r="BI61" i="13" a="1"/>
  <c r="BI61" i="13" s="1"/>
  <c r="BI62" i="13" s="1"/>
  <c r="BI59" i="13" a="1"/>
  <c r="BI59" i="13" s="1"/>
  <c r="BI60" i="13" s="1"/>
  <c r="BI65" i="13" s="1"/>
  <c r="BJ57" i="13"/>
  <c r="BI58" i="13"/>
  <c r="BJ72" i="13" l="1" a="1"/>
  <c r="BJ72" i="13" s="1"/>
  <c r="BJ68" i="13" a="1"/>
  <c r="BJ68" i="13" s="1"/>
  <c r="BJ63" i="13" a="1"/>
  <c r="BJ63" i="13" s="1"/>
  <c r="BJ64" i="13" s="1"/>
  <c r="BK57" i="13"/>
  <c r="BJ61" i="13" a="1"/>
  <c r="BJ61" i="13" s="1"/>
  <c r="BJ62" i="13" s="1"/>
  <c r="BJ59" i="13" a="1"/>
  <c r="BJ59" i="13" s="1"/>
  <c r="BJ60" i="13" s="1"/>
  <c r="BJ65" i="13" s="1"/>
  <c r="BJ58" i="13"/>
  <c r="BK72" i="13" l="1" a="1"/>
  <c r="BK72" i="13" s="1"/>
  <c r="BK68" i="13" a="1"/>
  <c r="BK68" i="13" s="1"/>
  <c r="BK63" i="13" a="1"/>
  <c r="BK63" i="13" s="1"/>
  <c r="BK64" i="13" s="1"/>
  <c r="BL57" i="13"/>
  <c r="BK58" i="13"/>
  <c r="BK61" i="13" a="1"/>
  <c r="BK61" i="13" s="1"/>
  <c r="BK62" i="13" s="1"/>
  <c r="BK59" i="13" a="1"/>
  <c r="BK59" i="13" s="1"/>
  <c r="BK60" i="13" s="1"/>
  <c r="BK65" i="13" l="1"/>
  <c r="BL72" i="13" a="1"/>
  <c r="BL72" i="13" s="1"/>
  <c r="BL61" i="13" a="1"/>
  <c r="BL61" i="13" s="1"/>
  <c r="BL62" i="13" s="1"/>
  <c r="BL59" i="13" a="1"/>
  <c r="BL59" i="13" s="1"/>
  <c r="BL60" i="13" s="1"/>
  <c r="BL65" i="13" s="1"/>
  <c r="BL68" i="13" a="1"/>
  <c r="BL68" i="13" s="1"/>
  <c r="BL63" i="13" a="1"/>
  <c r="BL63" i="13" s="1"/>
  <c r="BL64" i="13" s="1"/>
  <c r="BM57" i="13"/>
  <c r="BL58" i="13"/>
  <c r="BM72" i="13" l="1" a="1"/>
  <c r="BM72" i="13" s="1"/>
  <c r="BM68" i="13" a="1"/>
  <c r="BM68" i="13" s="1"/>
  <c r="BM61" i="13" a="1"/>
  <c r="BM61" i="13" s="1"/>
  <c r="BM62" i="13" s="1"/>
  <c r="BN57" i="13"/>
  <c r="BM58" i="13"/>
  <c r="BM63" i="13" a="1"/>
  <c r="BM63" i="13" s="1"/>
  <c r="BM64" i="13" s="1"/>
  <c r="BM59" i="13" a="1"/>
  <c r="BM59" i="13" s="1"/>
  <c r="BM60" i="13" s="1"/>
  <c r="BM65" i="13" s="1"/>
  <c r="BN72" i="13" l="1" a="1"/>
  <c r="BN72" i="13" s="1"/>
  <c r="B106" i="13" s="1"/>
  <c r="BN68" i="13" a="1"/>
  <c r="BN68" i="13" s="1"/>
  <c r="B108" i="13" s="1"/>
  <c r="BN61" i="13" a="1"/>
  <c r="BN61" i="13" s="1"/>
  <c r="BN62" i="13" s="1"/>
  <c r="D32" i="11" s="1"/>
  <c r="BN59" i="13" a="1"/>
  <c r="BN59" i="13" s="1"/>
  <c r="BN60" i="13" s="1"/>
  <c r="BN63" i="13" a="1"/>
  <c r="BN63" i="13" s="1"/>
  <c r="BN64" i="13" s="1"/>
  <c r="D33" i="11" s="1"/>
  <c r="BN58" i="13"/>
  <c r="E79" i="13" l="1" a="1"/>
  <c r="E79" i="13" s="1"/>
  <c r="F77" i="13" a="1"/>
  <c r="F77" i="13" s="1"/>
  <c r="C83" i="13" a="1"/>
  <c r="C83" i="13" s="1"/>
  <c r="D78" i="13" a="1"/>
  <c r="D78" i="13" s="1"/>
  <c r="H77" i="13" a="1"/>
  <c r="H77" i="13" s="1"/>
  <c r="E78" i="13" a="1"/>
  <c r="E78" i="13" s="1"/>
  <c r="C78" i="13" a="1"/>
  <c r="C78" i="13" s="1"/>
  <c r="D83" i="13" a="1"/>
  <c r="D83" i="13" s="1"/>
  <c r="E83" i="13" a="1"/>
  <c r="E83" i="13" s="1"/>
  <c r="C89" i="13" a="1"/>
  <c r="C89" i="13" s="1"/>
  <c r="F84" i="13" a="1"/>
  <c r="F84" i="13" s="1"/>
  <c r="G83" i="13" a="1"/>
  <c r="G83" i="13" s="1"/>
  <c r="I77" i="13" a="1"/>
  <c r="I77" i="13" s="1"/>
  <c r="E84" i="13" a="1"/>
  <c r="E84" i="13" s="1"/>
  <c r="F78" i="13" a="1"/>
  <c r="F78" i="13" s="1"/>
  <c r="E77" i="13" a="1"/>
  <c r="E77" i="13" s="1"/>
  <c r="F89" i="13" a="1"/>
  <c r="F89" i="13" s="1"/>
  <c r="C79" i="13" a="1"/>
  <c r="C79" i="13" s="1"/>
  <c r="G84" i="13" a="1"/>
  <c r="G84" i="13" s="1"/>
  <c r="G79" i="13" a="1"/>
  <c r="G79" i="13" s="1"/>
  <c r="D79" i="13" a="1"/>
  <c r="D79" i="13" s="1"/>
  <c r="C77" i="13" a="1"/>
  <c r="C77" i="13" s="1"/>
  <c r="G78" i="13" a="1"/>
  <c r="G78" i="13" s="1"/>
  <c r="H78" i="13" a="1"/>
  <c r="H78" i="13" s="1"/>
  <c r="H83" i="13" a="1"/>
  <c r="H83" i="13" s="1"/>
  <c r="G89" i="13" a="1"/>
  <c r="G89" i="13" s="1"/>
  <c r="I78" i="13" a="1"/>
  <c r="I78" i="13" s="1"/>
  <c r="H89" i="13" a="1"/>
  <c r="H89" i="13" s="1"/>
  <c r="D89" i="13" a="1"/>
  <c r="D89" i="13" s="1"/>
  <c r="H84" i="13" a="1"/>
  <c r="H84" i="13" s="1"/>
  <c r="E89" i="13" a="1"/>
  <c r="E89" i="13" s="1"/>
  <c r="C84" i="13" a="1"/>
  <c r="C84" i="13" s="1"/>
  <c r="I84" i="13" a="1"/>
  <c r="I84" i="13" s="1"/>
  <c r="D84" i="13" a="1"/>
  <c r="D84" i="13" s="1"/>
  <c r="I89" i="13" a="1"/>
  <c r="I89" i="13" s="1"/>
  <c r="F79" i="13" a="1"/>
  <c r="F79" i="13" s="1"/>
  <c r="I79" i="13" a="1"/>
  <c r="I79" i="13" s="1"/>
  <c r="H79" i="13" a="1"/>
  <c r="H79" i="13" s="1"/>
  <c r="BN65" i="13"/>
  <c r="G77" i="13" a="1"/>
  <c r="G77" i="13" s="1"/>
  <c r="D77" i="13" a="1"/>
  <c r="D77" i="13" s="1"/>
  <c r="I83" i="13" a="1"/>
  <c r="I83" i="13" s="1"/>
  <c r="F83" i="13" a="1"/>
  <c r="F83" i="13" s="1"/>
  <c r="C13" i="13" l="1"/>
  <c r="C29" i="9"/>
  <c r="D80" i="13"/>
  <c r="E80" i="13"/>
  <c r="H80" i="13"/>
  <c r="I80" i="13"/>
  <c r="C80" i="13"/>
  <c r="F80" i="13"/>
  <c r="G80" i="13"/>
  <c r="B47" i="13" l="1"/>
  <c r="B49" i="13" s="1"/>
  <c r="B51" i="13" s="1"/>
  <c r="B76" i="9" s="1"/>
  <c r="D38" i="13" l="1"/>
  <c r="D19" i="9" s="1"/>
  <c r="D39" i="13"/>
  <c r="D37" i="13"/>
  <c r="D18" i="9" s="1"/>
  <c r="D36" i="13"/>
  <c r="D16" i="9" s="1"/>
  <c r="F38" i="13"/>
  <c r="F37" i="13"/>
  <c r="F36" i="13" l="1"/>
  <c r="F39" i="13"/>
  <c r="D20" i="9"/>
  <c r="D24" i="9" s="1"/>
  <c r="N66" i="13" a="1"/>
  <c r="N66" i="13" s="1"/>
  <c r="AK66" i="13" a="1"/>
  <c r="AK66" i="13" s="1"/>
  <c r="AI66" i="13" a="1"/>
  <c r="AI66" i="13" s="1"/>
  <c r="AD66" i="13" a="1"/>
  <c r="AD66" i="13" s="1"/>
  <c r="I67" i="13" a="1"/>
  <c r="I67" i="13" s="1"/>
  <c r="AW67" i="13" a="1"/>
  <c r="AW67" i="13" s="1"/>
  <c r="X67" i="13" a="1"/>
  <c r="X67" i="13" s="1"/>
  <c r="AE67" i="13" a="1"/>
  <c r="AE67" i="13" s="1"/>
  <c r="AL67" i="13" a="1"/>
  <c r="AL67" i="13" s="1"/>
  <c r="BE67" i="13" a="1"/>
  <c r="BE67" i="13" s="1"/>
  <c r="BB67" i="13" a="1"/>
  <c r="BB67" i="13" s="1"/>
  <c r="AJ67" i="13" a="1"/>
  <c r="AJ67" i="13" s="1"/>
  <c r="K67" i="13" a="1"/>
  <c r="K67" i="13" s="1"/>
  <c r="AN66" i="13" a="1"/>
  <c r="AN66" i="13" s="1"/>
  <c r="BC66" i="13" a="1"/>
  <c r="BC66" i="13" s="1"/>
  <c r="AQ66" i="13" a="1"/>
  <c r="AQ66" i="13" s="1"/>
  <c r="AX66" i="13" a="1"/>
  <c r="AX66" i="13" s="1"/>
  <c r="Z67" i="13" a="1"/>
  <c r="Z67" i="13" s="1"/>
  <c r="BK67" i="13" a="1"/>
  <c r="BK67" i="13" s="1"/>
  <c r="AY67" i="13" a="1"/>
  <c r="AY67" i="13" s="1"/>
  <c r="D67" i="13" a="1"/>
  <c r="D67" i="13" s="1"/>
  <c r="BL67" i="13" a="1"/>
  <c r="BL67" i="13" s="1"/>
  <c r="BL66" i="13" a="1"/>
  <c r="BL66" i="13" s="1"/>
  <c r="W66" i="13" a="1"/>
  <c r="W66" i="13" s="1"/>
  <c r="L66" i="13" a="1"/>
  <c r="L66" i="13" s="1"/>
  <c r="G66" i="13" a="1"/>
  <c r="G66" i="13" s="1"/>
  <c r="AE66" i="13" a="1"/>
  <c r="AE66" i="13" s="1"/>
  <c r="I66" i="13" a="1"/>
  <c r="I66" i="13" s="1"/>
  <c r="Q66" i="13" a="1"/>
  <c r="Q66" i="13" s="1"/>
  <c r="AP67" i="13" a="1"/>
  <c r="AP67" i="13" s="1"/>
  <c r="BH67" i="13" a="1"/>
  <c r="BH67" i="13" s="1"/>
  <c r="T67" i="13" a="1"/>
  <c r="T67" i="13" s="1"/>
  <c r="BF67" i="13" a="1"/>
  <c r="BF67" i="13" s="1"/>
  <c r="AV67" i="13" a="1"/>
  <c r="AV67" i="13" s="1"/>
  <c r="AX67" i="13" a="1"/>
  <c r="AX67" i="13" s="1"/>
  <c r="AK67" i="13" a="1"/>
  <c r="AK67" i="13" s="1"/>
  <c r="V67" i="13" a="1"/>
  <c r="V67" i="13" s="1"/>
  <c r="E67" i="13" a="1"/>
  <c r="E67" i="13" s="1"/>
  <c r="E66" i="13" a="1"/>
  <c r="E66" i="13" s="1"/>
  <c r="S66" i="13" a="1"/>
  <c r="S66" i="13" s="1"/>
  <c r="Q67" i="13" a="1"/>
  <c r="Q67" i="13" s="1"/>
  <c r="AH67" i="13" a="1"/>
  <c r="AH67" i="13" s="1"/>
  <c r="AM67" i="13" a="1"/>
  <c r="AM67" i="13" s="1"/>
  <c r="C66" i="13" a="1"/>
  <c r="C66" i="13" s="1"/>
  <c r="D66" i="13" a="1"/>
  <c r="D66" i="13" s="1"/>
  <c r="AG66" i="13" a="1"/>
  <c r="AG66" i="13" s="1"/>
  <c r="AZ66" i="13" a="1"/>
  <c r="AZ66" i="13" s="1"/>
  <c r="R67" i="13" a="1"/>
  <c r="R67" i="13" s="1"/>
  <c r="AO67" i="13" a="1"/>
  <c r="AO67" i="13" s="1"/>
  <c r="BH66" i="13" a="1"/>
  <c r="BH66" i="13" s="1"/>
  <c r="BE66" i="13" a="1"/>
  <c r="BE66" i="13" s="1"/>
  <c r="X66" i="13" a="1"/>
  <c r="X66" i="13" s="1"/>
  <c r="AS67" i="13" a="1"/>
  <c r="AS67" i="13" s="1"/>
  <c r="BM67" i="13" a="1"/>
  <c r="BM67" i="13" s="1"/>
  <c r="BI67" i="13" a="1"/>
  <c r="BI67" i="13" s="1"/>
  <c r="U67" i="13" a="1"/>
  <c r="U67" i="13" s="1"/>
  <c r="AU67" i="13" a="1"/>
  <c r="AU67" i="13" s="1"/>
  <c r="P67" i="13" a="1"/>
  <c r="P67" i="13" s="1"/>
  <c r="AT67" i="13" a="1"/>
  <c r="AT67" i="13" s="1"/>
  <c r="AR67" i="13" a="1"/>
  <c r="AR67" i="13" s="1"/>
  <c r="BA67" i="13" a="1"/>
  <c r="BA67" i="13" s="1"/>
  <c r="AV66" i="13" a="1"/>
  <c r="AV66" i="13" s="1"/>
  <c r="AV70" i="13" s="1"/>
  <c r="AJ66" i="13" a="1"/>
  <c r="AJ66" i="13" s="1"/>
  <c r="BI66" i="13" a="1"/>
  <c r="BI66" i="13" s="1"/>
  <c r="AI67" i="13" a="1"/>
  <c r="AI67" i="13" s="1"/>
  <c r="J67" i="13" a="1"/>
  <c r="J67" i="13" s="1"/>
  <c r="F67" i="13" a="1"/>
  <c r="F67" i="13" s="1"/>
  <c r="F35" i="13"/>
  <c r="F40" i="13" s="1"/>
  <c r="AH66" i="13" a="1"/>
  <c r="AH66" i="13" s="1"/>
  <c r="AU66" i="13" a="1"/>
  <c r="AU66" i="13" s="1"/>
  <c r="V66" i="13" a="1"/>
  <c r="V66" i="13" s="1"/>
  <c r="BK66" i="13" a="1"/>
  <c r="BK66" i="13" s="1"/>
  <c r="BA66" i="13" a="1"/>
  <c r="BA66" i="13" s="1"/>
  <c r="N67" i="13" a="1"/>
  <c r="N67" i="13" s="1"/>
  <c r="AT66" i="13" a="1"/>
  <c r="AT66" i="13" s="1"/>
  <c r="AT70" i="13" s="1"/>
  <c r="BJ66" i="13" a="1"/>
  <c r="BJ66" i="13" s="1"/>
  <c r="M66" i="13" a="1"/>
  <c r="M66" i="13" s="1"/>
  <c r="P66" i="13" a="1"/>
  <c r="P66" i="13" s="1"/>
  <c r="P70" i="13" s="1"/>
  <c r="BD66" i="13" a="1"/>
  <c r="BD66" i="13" s="1"/>
  <c r="C67" i="13" a="1"/>
  <c r="C67" i="13" s="1"/>
  <c r="AZ67" i="13" a="1"/>
  <c r="AZ67" i="13" s="1"/>
  <c r="H67" i="13" a="1"/>
  <c r="H67" i="13" s="1"/>
  <c r="F66" i="13" a="1"/>
  <c r="F66" i="13" s="1"/>
  <c r="AR66" i="13" a="1"/>
  <c r="AR66" i="13" s="1"/>
  <c r="BG67" i="13" a="1"/>
  <c r="BG67" i="13" s="1"/>
  <c r="BB66" i="13" a="1"/>
  <c r="BB66" i="13" s="1"/>
  <c r="AA66" i="13" a="1"/>
  <c r="AA66" i="13" s="1"/>
  <c r="K66" i="13" a="1"/>
  <c r="K66" i="13" s="1"/>
  <c r="Z66" i="13" a="1"/>
  <c r="Z66" i="13" s="1"/>
  <c r="Z70" i="13" s="1"/>
  <c r="AO66" i="13" a="1"/>
  <c r="AO66" i="13" s="1"/>
  <c r="O67" i="13" a="1"/>
  <c r="O67" i="13" s="1"/>
  <c r="BG66" i="13" a="1"/>
  <c r="BG66" i="13" s="1"/>
  <c r="BG70" i="13" s="1"/>
  <c r="BM66" i="13" a="1"/>
  <c r="BM66" i="13" s="1"/>
  <c r="U66" i="13" a="1"/>
  <c r="U66" i="13" s="1"/>
  <c r="AD67" i="13" a="1"/>
  <c r="AD67" i="13" s="1"/>
  <c r="M67" i="13" a="1"/>
  <c r="M67" i="13" s="1"/>
  <c r="BN67" i="13" a="1"/>
  <c r="BN67" i="13" s="1"/>
  <c r="BC67" i="13" a="1"/>
  <c r="BC67" i="13" s="1"/>
  <c r="R66" i="13" a="1"/>
  <c r="R66" i="13" s="1"/>
  <c r="T66" i="13" a="1"/>
  <c r="T66" i="13" s="1"/>
  <c r="AW66" i="13" a="1"/>
  <c r="AW66" i="13" s="1"/>
  <c r="AY66" i="13" a="1"/>
  <c r="AY66" i="13" s="1"/>
  <c r="Y66" i="13" a="1"/>
  <c r="Y66" i="13" s="1"/>
  <c r="AF66" i="13" a="1"/>
  <c r="AF66" i="13" s="1"/>
  <c r="J66" i="13" a="1"/>
  <c r="J66" i="13" s="1"/>
  <c r="AC66" i="13" a="1"/>
  <c r="AC66" i="13" s="1"/>
  <c r="AP66" i="13" a="1"/>
  <c r="AP66" i="13" s="1"/>
  <c r="AP70" i="13" s="1"/>
  <c r="Y67" i="13" a="1"/>
  <c r="Y67" i="13" s="1"/>
  <c r="AB67" i="13" a="1"/>
  <c r="AB67" i="13" s="1"/>
  <c r="AQ67" i="13" a="1"/>
  <c r="AQ67" i="13" s="1"/>
  <c r="AF67" i="13" a="1"/>
  <c r="AF67" i="13" s="1"/>
  <c r="AG67" i="13" a="1"/>
  <c r="AG67" i="13" s="1"/>
  <c r="G67" i="13" a="1"/>
  <c r="G67" i="13" s="1"/>
  <c r="BD67" i="13" a="1"/>
  <c r="BD67" i="13" s="1"/>
  <c r="L67" i="13" a="1"/>
  <c r="L67" i="13" s="1"/>
  <c r="AB66" i="13" a="1"/>
  <c r="AB66" i="13" s="1"/>
  <c r="O66" i="13" a="1"/>
  <c r="O66" i="13" s="1"/>
  <c r="BN66" i="13" a="1"/>
  <c r="BN66" i="13" s="1"/>
  <c r="W67" i="13" a="1"/>
  <c r="W67" i="13" s="1"/>
  <c r="BJ67" i="13" a="1"/>
  <c r="BJ67" i="13" s="1"/>
  <c r="BF66" i="13" a="1"/>
  <c r="BF66" i="13" s="1"/>
  <c r="AM66" i="13" a="1"/>
  <c r="AM66" i="13" s="1"/>
  <c r="AM70" i="13" s="1"/>
  <c r="AL66" i="13" a="1"/>
  <c r="AL66" i="13" s="1"/>
  <c r="AS66" i="13" a="1"/>
  <c r="AS66" i="13" s="1"/>
  <c r="H66" i="13" a="1"/>
  <c r="H66" i="13" s="1"/>
  <c r="AC67" i="13" a="1"/>
  <c r="AC67" i="13" s="1"/>
  <c r="AA67" i="13" a="1"/>
  <c r="AA67" i="13" s="1"/>
  <c r="AN67" i="13" a="1"/>
  <c r="AN67" i="13" s="1"/>
  <c r="S67" i="13" a="1"/>
  <c r="S67" i="13" s="1"/>
  <c r="X70" i="13" l="1"/>
  <c r="AL70" i="13"/>
  <c r="AU70" i="13"/>
  <c r="D34" i="11"/>
  <c r="B48" i="10"/>
  <c r="BF70" i="13"/>
  <c r="BH70" i="13"/>
  <c r="AR70" i="13"/>
  <c r="T70" i="13"/>
  <c r="AE70" i="13"/>
  <c r="AS70" i="13"/>
  <c r="W70" i="13"/>
  <c r="BL70" i="13"/>
  <c r="O70" i="13"/>
  <c r="AO70" i="13"/>
  <c r="D70" i="13"/>
  <c r="I70" i="13"/>
  <c r="AN70" i="13"/>
  <c r="S70" i="13"/>
  <c r="G70" i="13"/>
  <c r="E70" i="13"/>
  <c r="L70" i="13"/>
  <c r="BD70" i="13"/>
  <c r="BI70" i="13"/>
  <c r="BN70" i="13"/>
  <c r="AY70" i="13"/>
  <c r="K70" i="13"/>
  <c r="AW70" i="13"/>
  <c r="BK70" i="13"/>
  <c r="R70" i="13"/>
  <c r="H70" i="13"/>
  <c r="F70" i="13"/>
  <c r="AH70" i="13"/>
  <c r="BE70" i="13"/>
  <c r="AC70" i="13"/>
  <c r="BM70" i="13"/>
  <c r="J70" i="13"/>
  <c r="M70" i="13"/>
  <c r="AJ70" i="13"/>
  <c r="AF70" i="13"/>
  <c r="BJ70" i="13"/>
  <c r="Y70" i="13"/>
  <c r="AZ70" i="13"/>
  <c r="AB70" i="13"/>
  <c r="AG70" i="13"/>
  <c r="AD70" i="13"/>
  <c r="D82" i="13" a="1"/>
  <c r="D82" i="13" s="1"/>
  <c r="E82" i="13" a="1"/>
  <c r="E82" i="13" s="1"/>
  <c r="G82" i="13" a="1"/>
  <c r="G82" i="13" s="1"/>
  <c r="F82" i="13" a="1"/>
  <c r="F82" i="13" s="1"/>
  <c r="H82" i="13" a="1"/>
  <c r="H82" i="13" s="1"/>
  <c r="I82" i="13" a="1"/>
  <c r="I82" i="13" s="1"/>
  <c r="C82" i="13" a="1"/>
  <c r="C82" i="13" s="1"/>
  <c r="AA70" i="13"/>
  <c r="BA70" i="13"/>
  <c r="AX70" i="13"/>
  <c r="AI70" i="13"/>
  <c r="BB70" i="13"/>
  <c r="I81" i="13" a="1"/>
  <c r="I81" i="13" s="1"/>
  <c r="G81" i="13" a="1"/>
  <c r="G81" i="13" s="1"/>
  <c r="D81" i="13" a="1"/>
  <c r="D81" i="13" s="1"/>
  <c r="E81" i="13" a="1"/>
  <c r="E81" i="13" s="1"/>
  <c r="C81" i="13" a="1"/>
  <c r="C81" i="13" s="1"/>
  <c r="F81" i="13" a="1"/>
  <c r="F81" i="13" s="1"/>
  <c r="H81" i="13" a="1"/>
  <c r="H81" i="13" s="1"/>
  <c r="C70" i="13"/>
  <c r="C71" i="13" s="1"/>
  <c r="L34" i="1" s="1"/>
  <c r="AQ70" i="13"/>
  <c r="AK70" i="13"/>
  <c r="U70" i="13"/>
  <c r="V70" i="13"/>
  <c r="Q70" i="13"/>
  <c r="BC70" i="13"/>
  <c r="N70" i="13"/>
  <c r="E85" i="13" l="1"/>
  <c r="H85" i="13"/>
  <c r="F85" i="13"/>
  <c r="D85" i="13"/>
  <c r="C85" i="13"/>
  <c r="D71" i="13"/>
  <c r="G85" i="13"/>
  <c r="I85" i="13"/>
  <c r="E71" i="13" l="1"/>
  <c r="L35" i="1"/>
  <c r="C86" i="13" a="1"/>
  <c r="C86" i="13" s="1"/>
  <c r="F71" i="13"/>
  <c r="L37" i="1" s="1"/>
  <c r="E98" i="13"/>
  <c r="E16" i="9" s="1"/>
  <c r="L36" i="1" l="1"/>
  <c r="C87" i="13"/>
  <c r="F98" i="13"/>
  <c r="F16" i="9" s="1"/>
  <c r="G98" i="13"/>
  <c r="G16" i="9" s="1"/>
  <c r="G71" i="13"/>
  <c r="L38" i="1" s="1"/>
  <c r="H71" i="13" l="1"/>
  <c r="L39" i="1" s="1"/>
  <c r="E94" i="13"/>
  <c r="B37" i="14" l="1"/>
  <c r="B36" i="14"/>
  <c r="B38" i="14"/>
  <c r="E17" i="9"/>
  <c r="B12" i="1"/>
  <c r="I71" i="13"/>
  <c r="L40" i="1" s="1"/>
  <c r="F94" i="13"/>
  <c r="G94" i="13"/>
  <c r="D38" i="14" l="1"/>
  <c r="C38" i="14"/>
  <c r="E38" i="14" s="1"/>
  <c r="D36" i="14"/>
  <c r="C36" i="14"/>
  <c r="E36" i="14" s="1"/>
  <c r="D37" i="14"/>
  <c r="C37" i="14"/>
  <c r="B11" i="12"/>
  <c r="B115" i="13" s="1"/>
  <c r="C12" i="1"/>
  <c r="B12" i="12"/>
  <c r="D12" i="1"/>
  <c r="B13" i="12"/>
  <c r="B47" i="10"/>
  <c r="F17" i="9"/>
  <c r="G17" i="9"/>
  <c r="J71" i="13"/>
  <c r="L41" i="1" s="1"/>
  <c r="B39" i="14" l="1"/>
  <c r="E37" i="14"/>
  <c r="B114" i="13"/>
  <c r="A29" i="1"/>
  <c r="B113" i="13"/>
  <c r="K71" i="13"/>
  <c r="L42" i="1" s="1"/>
  <c r="L71" i="13" l="1"/>
  <c r="L43" i="1" s="1"/>
  <c r="E99" i="13"/>
  <c r="E18" i="9" s="1"/>
  <c r="G99" i="13" l="1"/>
  <c r="G18" i="9" s="1"/>
  <c r="F99" i="13"/>
  <c r="F18" i="9" s="1"/>
  <c r="M71" i="13"/>
  <c r="N71" i="13" l="1"/>
  <c r="L44" i="1"/>
  <c r="O71" i="13" l="1"/>
  <c r="L45" i="1"/>
  <c r="P71" i="13" l="1"/>
  <c r="L46" i="1"/>
  <c r="Q71" i="13" l="1"/>
  <c r="L47" i="1"/>
  <c r="D87" i="13"/>
  <c r="L48" i="1" l="1"/>
  <c r="E100" i="13"/>
  <c r="R71" i="13"/>
  <c r="D86" i="13" a="1"/>
  <c r="D86" i="13" s="1"/>
  <c r="B13" i="13" s="1"/>
  <c r="B29" i="9" s="1"/>
  <c r="L49" i="1" l="1"/>
  <c r="S71" i="13"/>
  <c r="E19" i="9"/>
  <c r="G100" i="13"/>
  <c r="G19" i="9" s="1"/>
  <c r="F100" i="13"/>
  <c r="F19" i="9" s="1"/>
  <c r="T71" i="13" l="1"/>
  <c r="L50" i="1"/>
  <c r="U71" i="13" l="1"/>
  <c r="L51" i="1"/>
  <c r="V71" i="13" l="1"/>
  <c r="L52" i="1"/>
  <c r="W71" i="13" l="1"/>
  <c r="L53" i="1"/>
  <c r="L54" i="1" l="1"/>
  <c r="X71" i="13"/>
  <c r="E101" i="13"/>
  <c r="E20" i="9" l="1"/>
  <c r="F101" i="13"/>
  <c r="F20" i="9" s="1"/>
  <c r="G101" i="13"/>
  <c r="G20" i="9" s="1"/>
  <c r="L55" i="1"/>
  <c r="Y71" i="13"/>
  <c r="Z71" i="13" l="1"/>
  <c r="L56" i="1"/>
  <c r="AA71" i="13" l="1"/>
  <c r="L57" i="1"/>
  <c r="AB71" i="13" l="1"/>
  <c r="L58" i="1"/>
  <c r="AC71" i="13" l="1"/>
  <c r="L59" i="1"/>
  <c r="L60" i="1" l="1"/>
  <c r="E86" i="13" a="1"/>
  <c r="E86" i="13" s="1"/>
  <c r="AD71" i="13"/>
  <c r="L61" i="1" l="1"/>
  <c r="AE71" i="13"/>
  <c r="AF71" i="13" s="1"/>
  <c r="AG71" i="13" s="1"/>
  <c r="AH71" i="13" s="1"/>
  <c r="AI71" i="13" s="1"/>
  <c r="AJ71" i="13" s="1"/>
  <c r="AK71" i="13" l="1"/>
  <c r="E95" i="13"/>
  <c r="E21" i="9" l="1"/>
  <c r="G95" i="13"/>
  <c r="F95" i="13"/>
  <c r="AL71" i="13"/>
  <c r="AM71" i="13" s="1"/>
  <c r="AN71" i="13" s="1"/>
  <c r="AO71" i="13" s="1"/>
  <c r="F87" i="13"/>
  <c r="F21" i="9" l="1"/>
  <c r="F86" i="13" a="1"/>
  <c r="F86" i="13" s="1"/>
  <c r="AP71" i="13"/>
  <c r="G21" i="9"/>
  <c r="AQ71" i="13" l="1"/>
  <c r="AR71" i="13" s="1"/>
  <c r="AS71" i="13" s="1"/>
  <c r="AT71" i="13" s="1"/>
  <c r="AU71" i="13" s="1"/>
  <c r="AV71" i="13" s="1"/>
  <c r="AW71" i="13" s="1"/>
  <c r="E96" i="13" l="1"/>
  <c r="AX71" i="13"/>
  <c r="AY71" i="13" l="1"/>
  <c r="AZ71" i="13" s="1"/>
  <c r="BA71" i="13" s="1"/>
  <c r="G87" i="13"/>
  <c r="E22" i="9"/>
  <c r="F96" i="13"/>
  <c r="G96" i="13"/>
  <c r="F22" i="9" l="1"/>
  <c r="G22" i="9"/>
  <c r="BB71" i="13"/>
  <c r="G86" i="13" a="1"/>
  <c r="G86" i="13" s="1"/>
  <c r="BC71" i="13" l="1"/>
  <c r="BD71" i="13" s="1"/>
  <c r="BE71" i="13" s="1"/>
  <c r="BF71" i="13" s="1"/>
  <c r="BG71" i="13" s="1"/>
  <c r="BH71" i="13" s="1"/>
  <c r="BI71" i="13" s="1"/>
  <c r="E97" i="13" l="1"/>
  <c r="BJ71" i="13"/>
  <c r="BK71" i="13" l="1"/>
  <c r="BL71" i="13" s="1"/>
  <c r="BM71" i="13" s="1"/>
  <c r="H87" i="13"/>
  <c r="E23" i="9"/>
  <c r="F97" i="13"/>
  <c r="G97" i="13"/>
  <c r="F23" i="9" l="1"/>
  <c r="A14" i="9" s="1"/>
  <c r="E12" i="1"/>
  <c r="G23" i="9"/>
  <c r="G24" i="9" s="1"/>
  <c r="B26" i="9" s="1"/>
  <c r="F12" i="1"/>
  <c r="D35" i="11"/>
  <c r="BN71" i="13"/>
  <c r="H86" i="13" a="1"/>
  <c r="H86" i="13" s="1"/>
  <c r="B116" i="13" l="1"/>
  <c r="E87" i="13"/>
  <c r="B107" i="13" a="1"/>
  <c r="B107" i="13" s="1"/>
  <c r="I87" i="13"/>
  <c r="I86" i="13" a="1"/>
  <c r="I86" i="13" s="1"/>
  <c r="B12" i="13"/>
  <c r="C28" i="9" s="1"/>
  <c r="B11" i="13"/>
  <c r="B28" i="9" s="1"/>
  <c r="B118" i="13"/>
  <c r="C27" i="9" a="1"/>
  <c r="C27" i="9" s="1"/>
  <c r="B27" i="9"/>
  <c r="A26" i="9" a="1"/>
  <c r="A26"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TAMMAM ELBARBIR</author>
  </authors>
  <commentList>
    <comment ref="D5" authorId="0" shapeId="0" xr:uid="{00000000-0006-0000-0000-000001000000}">
      <text>
        <r>
          <rPr>
            <sz val="10"/>
            <color rgb="FF000000"/>
            <rFont val="Arial"/>
            <family val="2"/>
          </rPr>
          <t>Cash received since the balance sheet date that you choose to count. Default 0.</t>
        </r>
      </text>
    </comment>
    <comment ref="B97" authorId="1" shapeId="0" xr:uid="{ACF9A7D9-BD48-2E4E-9041-E85C170AC3AE}">
      <text>
        <r>
          <rPr>
            <b/>
            <sz val="10"/>
            <color rgb="FF000000"/>
            <rFont val="Tahoma"/>
            <family val="2"/>
          </rPr>
          <t>TAMMAM ELBARBIR:</t>
        </r>
        <r>
          <rPr>
            <sz val="10"/>
            <color rgb="FF000000"/>
            <rFont val="Tahoma"/>
            <family val="2"/>
          </rPr>
          <t xml:space="preserve">
Source: Dubai Land Department transactions register — registered sales, all developers, twelve months to the as-of date. Was hardcoded inside the formula in B87; moved here as a labelled input.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100-000001000000}">
      <text>
        <r>
          <rPr>
            <sz val="10"/>
            <rFont val="Arial"/>
            <family val="2"/>
          </rPr>
          <t>Type 1, 2, 3 or 4. Every formula on the Simulator and Dashboard follows this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3" authorId="0" shapeId="0" xr:uid="{00000000-0006-0000-0200-000001000000}">
      <text>
        <r>
          <rPr>
            <sz val="10"/>
            <rFont val="Arial"/>
            <family val="2"/>
          </rPr>
          <t>Register read date. Month 1 of the grid is the following month.</t>
        </r>
      </text>
    </comment>
    <comment ref="F8" authorId="0" shapeId="0" xr:uid="{00000000-0006-0000-0200-000006000000}">
      <text>
        <r>
          <rPr>
            <sz val="10"/>
            <rFont val="Arial"/>
            <family val="2"/>
          </rPr>
          <t>Registered off-plan sales, capped at units (resales of the same unit are not separated).</t>
        </r>
      </text>
    </comment>
    <comment ref="G8" authorId="0" shapeId="0" xr:uid="{00000000-0006-0000-0200-000026000000}">
      <text>
        <r>
          <rPr>
            <sz val="10"/>
            <rFont val="Arial"/>
            <family val="2"/>
          </rPr>
          <t>Registered off-plan sales value ÷ number of off-plan sales.</t>
        </r>
      </text>
    </comment>
    <comment ref="F9" authorId="0" shapeId="0" xr:uid="{00000000-0006-0000-0200-000007000000}">
      <text>
        <r>
          <rPr>
            <sz val="10"/>
            <rFont val="Arial"/>
            <family val="2"/>
          </rPr>
          <t>Registered off-plan sales, capped at units (resales of the same unit are not separated).</t>
        </r>
      </text>
    </comment>
    <comment ref="G9" authorId="0" shapeId="0" xr:uid="{00000000-0006-0000-0200-000027000000}">
      <text>
        <r>
          <rPr>
            <sz val="10"/>
            <rFont val="Arial"/>
            <family val="2"/>
          </rPr>
          <t>Registered off-plan sales value ÷ number of off-plan sales.</t>
        </r>
      </text>
    </comment>
    <comment ref="F10" authorId="0" shapeId="0" xr:uid="{00000000-0006-0000-0200-000008000000}">
      <text>
        <r>
          <rPr>
            <sz val="10"/>
            <rFont val="Arial"/>
            <family val="2"/>
          </rPr>
          <t>Registered off-plan sales, capped at units (resales of the same unit are not separated).</t>
        </r>
      </text>
    </comment>
    <comment ref="G10" authorId="0" shapeId="0" xr:uid="{00000000-0006-0000-0200-000028000000}">
      <text>
        <r>
          <rPr>
            <sz val="10"/>
            <rFont val="Arial"/>
            <family val="2"/>
          </rPr>
          <t>Registered off-plan sales value ÷ number of off-plan sales.</t>
        </r>
      </text>
    </comment>
    <comment ref="F11" authorId="0" shapeId="0" xr:uid="{00000000-0006-0000-0200-000009000000}">
      <text>
        <r>
          <rPr>
            <sz val="10"/>
            <rFont val="Arial"/>
            <family val="2"/>
          </rPr>
          <t>Registered off-plan sales, capped at units (resales of the same unit are not separated).</t>
        </r>
      </text>
    </comment>
    <comment ref="G11" authorId="0" shapeId="0" xr:uid="{00000000-0006-0000-0200-000029000000}">
      <text>
        <r>
          <rPr>
            <sz val="10"/>
            <rFont val="Arial"/>
            <family val="2"/>
          </rPr>
          <t>Registered off-plan sales value ÷ number of off-plan sales.</t>
        </r>
      </text>
    </comment>
    <comment ref="F12" authorId="0" shapeId="0" xr:uid="{00000000-0006-0000-0200-00000A000000}">
      <text>
        <r>
          <rPr>
            <sz val="10"/>
            <rFont val="Arial"/>
            <family val="2"/>
          </rPr>
          <t>Registered off-plan sales, capped at units (resales of the same unit are not separated).</t>
        </r>
      </text>
    </comment>
    <comment ref="G12" authorId="0" shapeId="0" xr:uid="{00000000-0006-0000-0200-00002A000000}">
      <text>
        <r>
          <rPr>
            <sz val="10"/>
            <rFont val="Arial"/>
            <family val="2"/>
          </rPr>
          <t>Registered off-plan sales value ÷ number of off-plan sales.</t>
        </r>
      </text>
    </comment>
    <comment ref="F13" authorId="0" shapeId="0" xr:uid="{00000000-0006-0000-0200-00000B000000}">
      <text>
        <r>
          <rPr>
            <sz val="10"/>
            <rFont val="Arial"/>
            <family val="2"/>
          </rPr>
          <t>Registered off-plan sales, capped at units (resales of the same unit are not separated).</t>
        </r>
      </text>
    </comment>
    <comment ref="G13" authorId="0" shapeId="0" xr:uid="{00000000-0006-0000-0200-00002B000000}">
      <text>
        <r>
          <rPr>
            <sz val="10"/>
            <rFont val="Arial"/>
            <family val="2"/>
          </rPr>
          <t>Registered off-plan sales value ÷ number of off-plan sales.</t>
        </r>
      </text>
    </comment>
    <comment ref="F14" authorId="0" shapeId="0" xr:uid="{00000000-0006-0000-0200-00000C000000}">
      <text>
        <r>
          <rPr>
            <sz val="10"/>
            <rFont val="Arial"/>
            <family val="2"/>
          </rPr>
          <t>Registered off-plan sales, capped at units (resales of the same unit are not separated).</t>
        </r>
      </text>
    </comment>
    <comment ref="G14" authorId="0" shapeId="0" xr:uid="{00000000-0006-0000-0200-00002C000000}">
      <text>
        <r>
          <rPr>
            <sz val="10"/>
            <rFont val="Arial"/>
            <family val="2"/>
          </rPr>
          <t>Registered off-plan sales value ÷ number of off-plan sales.</t>
        </r>
      </text>
    </comment>
    <comment ref="F15" authorId="0" shapeId="0" xr:uid="{00000000-0006-0000-0200-00000D000000}">
      <text>
        <r>
          <rPr>
            <sz val="10"/>
            <rFont val="Arial"/>
            <family val="2"/>
          </rPr>
          <t>Registered off-plan sales, capped at units (resales of the same unit are not separated).</t>
        </r>
      </text>
    </comment>
    <comment ref="G15" authorId="0" shapeId="0" xr:uid="{00000000-0006-0000-0200-00002D000000}">
      <text>
        <r>
          <rPr>
            <sz val="10"/>
            <rFont val="Arial"/>
            <family val="2"/>
          </rPr>
          <t>Registered off-plan sales value ÷ number of off-plan sales.</t>
        </r>
      </text>
    </comment>
    <comment ref="F16" authorId="0" shapeId="0" xr:uid="{00000000-0006-0000-0200-00000E000000}">
      <text>
        <r>
          <rPr>
            <sz val="10"/>
            <rFont val="Arial"/>
            <family val="2"/>
          </rPr>
          <t>Registered off-plan sales, capped at units (resales of the same unit are not separated).</t>
        </r>
      </text>
    </comment>
    <comment ref="G16" authorId="0" shapeId="0" xr:uid="{00000000-0006-0000-0200-00002E000000}">
      <text>
        <r>
          <rPr>
            <sz val="10"/>
            <rFont val="Arial"/>
            <family val="2"/>
          </rPr>
          <t>Registered off-plan sales value ÷ number of off-plan sales.</t>
        </r>
      </text>
    </comment>
    <comment ref="F17" authorId="0" shapeId="0" xr:uid="{00000000-0006-0000-0200-00000F000000}">
      <text>
        <r>
          <rPr>
            <sz val="10"/>
            <rFont val="Arial"/>
            <family val="2"/>
          </rPr>
          <t>Registered off-plan sales, capped at units (resales of the same unit are not separated).</t>
        </r>
      </text>
    </comment>
    <comment ref="G17" authorId="0" shapeId="0" xr:uid="{00000000-0006-0000-0200-00002F000000}">
      <text>
        <r>
          <rPr>
            <sz val="10"/>
            <rFont val="Arial"/>
            <family val="2"/>
          </rPr>
          <t>Registered off-plan sales value ÷ number of off-plan sales.</t>
        </r>
      </text>
    </comment>
    <comment ref="F18" authorId="0" shapeId="0" xr:uid="{00000000-0006-0000-0200-000010000000}">
      <text>
        <r>
          <rPr>
            <sz val="10"/>
            <rFont val="Arial"/>
            <family val="2"/>
          </rPr>
          <t>Registered off-plan sales, capped at units (resales of the same unit are not separated).</t>
        </r>
      </text>
    </comment>
    <comment ref="G18" authorId="0" shapeId="0" xr:uid="{00000000-0006-0000-0200-000030000000}">
      <text>
        <r>
          <rPr>
            <sz val="10"/>
            <rFont val="Arial"/>
            <family val="2"/>
          </rPr>
          <t>Registered off-plan sales value ÷ number of off-plan sales.</t>
        </r>
      </text>
    </comment>
    <comment ref="F19" authorId="0" shapeId="0" xr:uid="{00000000-0006-0000-0200-000011000000}">
      <text>
        <r>
          <rPr>
            <sz val="10"/>
            <rFont val="Arial"/>
            <family val="2"/>
          </rPr>
          <t>Registered off-plan sales, capped at units (resales of the same unit are not separated).</t>
        </r>
      </text>
    </comment>
    <comment ref="G19" authorId="0" shapeId="0" xr:uid="{00000000-0006-0000-0200-000031000000}">
      <text>
        <r>
          <rPr>
            <sz val="10"/>
            <rFont val="Arial"/>
            <family val="2"/>
          </rPr>
          <t>Registered off-plan sales value ÷ number of off-plan sales.</t>
        </r>
      </text>
    </comment>
    <comment ref="F20" authorId="0" shapeId="0" xr:uid="{00000000-0006-0000-0200-000012000000}">
      <text>
        <r>
          <rPr>
            <sz val="10"/>
            <rFont val="Arial"/>
            <family val="2"/>
          </rPr>
          <t>Registered off-plan sales, capped at units (resales of the same unit are not separated).</t>
        </r>
      </text>
    </comment>
    <comment ref="G20" authorId="0" shapeId="0" xr:uid="{00000000-0006-0000-0200-000032000000}">
      <text>
        <r>
          <rPr>
            <sz val="10"/>
            <rFont val="Arial"/>
            <family val="2"/>
          </rPr>
          <t>Registered off-plan sales value ÷ number of off-plan sales.</t>
        </r>
      </text>
    </comment>
    <comment ref="F21" authorId="0" shapeId="0" xr:uid="{00000000-0006-0000-0200-000013000000}">
      <text>
        <r>
          <rPr>
            <sz val="10"/>
            <rFont val="Arial"/>
            <family val="2"/>
          </rPr>
          <t>Registered off-plan sales, capped at units (resales of the same unit are not separated).</t>
        </r>
      </text>
    </comment>
    <comment ref="G21" authorId="0" shapeId="0" xr:uid="{00000000-0006-0000-0200-000033000000}">
      <text>
        <r>
          <rPr>
            <sz val="10"/>
            <rFont val="Arial"/>
            <family val="2"/>
          </rPr>
          <t>Registered off-plan sales value ÷ number of off-plan sales.</t>
        </r>
      </text>
    </comment>
    <comment ref="F22" authorId="0" shapeId="0" xr:uid="{00000000-0006-0000-0200-000014000000}">
      <text>
        <r>
          <rPr>
            <sz val="10"/>
            <rFont val="Arial"/>
            <family val="2"/>
          </rPr>
          <t>Registered off-plan sales, capped at units (resales of the same unit are not separated).</t>
        </r>
      </text>
    </comment>
    <comment ref="G22" authorId="0" shapeId="0" xr:uid="{00000000-0006-0000-0200-000034000000}">
      <text>
        <r>
          <rPr>
            <sz val="10"/>
            <rFont val="Arial"/>
            <family val="2"/>
          </rPr>
          <t>Registered off-plan sales value ÷ number of off-plan sales.</t>
        </r>
      </text>
    </comment>
    <comment ref="F23" authorId="0" shapeId="0" xr:uid="{00000000-0006-0000-0200-000015000000}">
      <text>
        <r>
          <rPr>
            <sz val="10"/>
            <rFont val="Arial"/>
            <family val="2"/>
          </rPr>
          <t>Registered off-plan sales, capped at units (resales of the same unit are not separated).</t>
        </r>
      </text>
    </comment>
    <comment ref="G23" authorId="0" shapeId="0" xr:uid="{00000000-0006-0000-0200-000035000000}">
      <text>
        <r>
          <rPr>
            <sz val="10"/>
            <rFont val="Arial"/>
            <family val="2"/>
          </rPr>
          <t>Registered off-plan sales value ÷ number of off-plan sales.</t>
        </r>
      </text>
    </comment>
    <comment ref="F24" authorId="0" shapeId="0" xr:uid="{00000000-0006-0000-0200-000016000000}">
      <text>
        <r>
          <rPr>
            <sz val="10"/>
            <rFont val="Arial"/>
            <family val="2"/>
          </rPr>
          <t>Registered off-plan sales, capped at units (resales of the same unit are not separated).</t>
        </r>
      </text>
    </comment>
    <comment ref="G24" authorId="0" shapeId="0" xr:uid="{00000000-0006-0000-0200-000036000000}">
      <text>
        <r>
          <rPr>
            <sz val="10"/>
            <rFont val="Arial"/>
            <family val="2"/>
          </rPr>
          <t>Registered off-plan sales value ÷ number of off-plan sales.</t>
        </r>
      </text>
    </comment>
    <comment ref="F25" authorId="0" shapeId="0" xr:uid="{00000000-0006-0000-0200-000017000000}">
      <text>
        <r>
          <rPr>
            <sz val="10"/>
            <rFont val="Arial"/>
            <family val="2"/>
          </rPr>
          <t>Registered off-plan sales, capped at units (resales of the same unit are not separated).</t>
        </r>
      </text>
    </comment>
    <comment ref="G25" authorId="0" shapeId="0" xr:uid="{00000000-0006-0000-0200-000037000000}">
      <text>
        <r>
          <rPr>
            <sz val="10"/>
            <rFont val="Arial"/>
            <family val="2"/>
          </rPr>
          <t>Registered off-plan sales value ÷ number of off-plan sales.</t>
        </r>
      </text>
    </comment>
    <comment ref="E26" authorId="0" shapeId="0" xr:uid="{00000000-0006-0000-0200-000002000000}">
      <text>
        <r>
          <rPr>
            <sz val="10"/>
            <rFont val="Arial"/>
            <family val="2"/>
          </rPr>
          <t>Register carries 0 units for this project; registered off-plan sales used instead.</t>
        </r>
      </text>
    </comment>
    <comment ref="F26" authorId="0" shapeId="0" xr:uid="{00000000-0006-0000-0200-000018000000}">
      <text>
        <r>
          <rPr>
            <sz val="10"/>
            <rFont val="Arial"/>
            <family val="2"/>
          </rPr>
          <t>Registered off-plan sales, capped at units (resales of the same unit are not separated).</t>
        </r>
      </text>
    </comment>
    <comment ref="G26" authorId="0" shapeId="0" xr:uid="{00000000-0006-0000-0200-000038000000}">
      <text>
        <r>
          <rPr>
            <sz val="10"/>
            <rFont val="Arial"/>
            <family val="2"/>
          </rPr>
          <t>Registered off-plan sales value ÷ number of off-plan sales.</t>
        </r>
      </text>
    </comment>
    <comment ref="F27" authorId="0" shapeId="0" xr:uid="{00000000-0006-0000-0200-000019000000}">
      <text>
        <r>
          <rPr>
            <sz val="10"/>
            <rFont val="Arial"/>
            <family val="2"/>
          </rPr>
          <t>Registered off-plan sales, capped at units (resales of the same unit are not separated).</t>
        </r>
      </text>
    </comment>
    <comment ref="G27" authorId="0" shapeId="0" xr:uid="{00000000-0006-0000-0200-000039000000}">
      <text>
        <r>
          <rPr>
            <sz val="10"/>
            <rFont val="Arial"/>
            <family val="2"/>
          </rPr>
          <t>Registered off-plan sales value ÷ number of off-plan sales.</t>
        </r>
      </text>
    </comment>
    <comment ref="F28" authorId="0" shapeId="0" xr:uid="{00000000-0006-0000-0200-00001A000000}">
      <text>
        <r>
          <rPr>
            <sz val="10"/>
            <rFont val="Arial"/>
            <family val="2"/>
          </rPr>
          <t>Registered off-plan sales, capped at units (resales of the same unit are not separated).</t>
        </r>
      </text>
    </comment>
    <comment ref="G28" authorId="0" shapeId="0" xr:uid="{00000000-0006-0000-0200-00003A000000}">
      <text>
        <r>
          <rPr>
            <sz val="10"/>
            <rFont val="Arial"/>
            <family val="2"/>
          </rPr>
          <t>Registered off-plan sales value ÷ number of off-plan sales.</t>
        </r>
      </text>
    </comment>
    <comment ref="E29" authorId="0" shapeId="0" xr:uid="{00000000-0006-0000-0200-000003000000}">
      <text>
        <r>
          <rPr>
            <sz val="10"/>
            <rFont val="Arial"/>
            <family val="2"/>
          </rPr>
          <t>Register carries 0 units for this project; registered off-plan sales used instead.</t>
        </r>
      </text>
    </comment>
    <comment ref="F29" authorId="0" shapeId="0" xr:uid="{00000000-0006-0000-0200-00001B000000}">
      <text>
        <r>
          <rPr>
            <sz val="10"/>
            <rFont val="Arial"/>
            <family val="2"/>
          </rPr>
          <t>Registered off-plan sales, capped at units (resales of the same unit are not separated).</t>
        </r>
      </text>
    </comment>
    <comment ref="G29" authorId="0" shapeId="0" xr:uid="{00000000-0006-0000-0200-00003B000000}">
      <text>
        <r>
          <rPr>
            <sz val="10"/>
            <rFont val="Arial"/>
            <family val="2"/>
          </rPr>
          <t>Registered off-plan sales value ÷ number of off-plan sales.</t>
        </r>
      </text>
    </comment>
    <comment ref="E30" authorId="0" shapeId="0" xr:uid="{00000000-0006-0000-0200-000004000000}">
      <text>
        <r>
          <rPr>
            <sz val="10"/>
            <rFont val="Arial"/>
            <family val="2"/>
          </rPr>
          <t>Register carries 0 units for this project; registered off-plan sales used instead.</t>
        </r>
      </text>
    </comment>
    <comment ref="F30" authorId="0" shapeId="0" xr:uid="{00000000-0006-0000-0200-00001C000000}">
      <text>
        <r>
          <rPr>
            <sz val="10"/>
            <rFont val="Arial"/>
            <family val="2"/>
          </rPr>
          <t>Registered off-plan sales, capped at units (resales of the same unit are not separated).</t>
        </r>
      </text>
    </comment>
    <comment ref="G30" authorId="0" shapeId="0" xr:uid="{00000000-0006-0000-0200-00003C000000}">
      <text>
        <r>
          <rPr>
            <sz val="10"/>
            <rFont val="Arial"/>
            <family val="2"/>
          </rPr>
          <t>Registered off-plan sales value ÷ number of off-plan sales.</t>
        </r>
      </text>
    </comment>
    <comment ref="E31" authorId="0" shapeId="0" xr:uid="{00000000-0006-0000-0200-000005000000}">
      <text>
        <r>
          <rPr>
            <sz val="10"/>
            <rFont val="Arial"/>
            <family val="2"/>
          </rPr>
          <t>Register carries 0 units for this project; registered off-plan sales used instead.</t>
        </r>
      </text>
    </comment>
    <comment ref="F31" authorId="0" shapeId="0" xr:uid="{00000000-0006-0000-0200-00001D000000}">
      <text>
        <r>
          <rPr>
            <sz val="10"/>
            <rFont val="Arial"/>
            <family val="2"/>
          </rPr>
          <t>Registered off-plan sales, capped at units (resales of the same unit are not separated).</t>
        </r>
      </text>
    </comment>
    <comment ref="G31" authorId="0" shapeId="0" xr:uid="{00000000-0006-0000-0200-00003D000000}">
      <text>
        <r>
          <rPr>
            <sz val="10"/>
            <rFont val="Arial"/>
            <family val="2"/>
          </rPr>
          <t>Registered off-plan sales value ÷ number of off-plan sales.</t>
        </r>
      </text>
    </comment>
    <comment ref="F32" authorId="0" shapeId="0" xr:uid="{00000000-0006-0000-0200-00001E000000}">
      <text>
        <r>
          <rPr>
            <sz val="10"/>
            <rFont val="Arial"/>
            <family val="2"/>
          </rPr>
          <t>Registered off-plan sales, capped at units (resales of the same unit are not separated).</t>
        </r>
      </text>
    </comment>
    <comment ref="G32" authorId="0" shapeId="0" xr:uid="{00000000-0006-0000-0200-00003E000000}">
      <text>
        <r>
          <rPr>
            <sz val="10"/>
            <rFont val="Arial"/>
            <family val="2"/>
          </rPr>
          <t>Registered off-plan sales value ÷ number of off-plan sales.</t>
        </r>
      </text>
    </comment>
    <comment ref="F33" authorId="0" shapeId="0" xr:uid="{00000000-0006-0000-0200-00001F000000}">
      <text>
        <r>
          <rPr>
            <sz val="10"/>
            <rFont val="Arial"/>
            <family val="2"/>
          </rPr>
          <t>Registered off-plan sales, capped at units (resales of the same unit are not separated).</t>
        </r>
      </text>
    </comment>
    <comment ref="G33" authorId="0" shapeId="0" xr:uid="{00000000-0006-0000-0200-00003F000000}">
      <text>
        <r>
          <rPr>
            <sz val="10"/>
            <rFont val="Arial"/>
            <family val="2"/>
          </rPr>
          <t>Registered off-plan sales value ÷ number of off-plan sales.</t>
        </r>
      </text>
    </comment>
    <comment ref="F34" authorId="0" shapeId="0" xr:uid="{00000000-0006-0000-0200-000020000000}">
      <text>
        <r>
          <rPr>
            <sz val="10"/>
            <rFont val="Arial"/>
            <family val="2"/>
          </rPr>
          <t>Registered off-plan sales, capped at units (resales of the same unit are not separated).</t>
        </r>
      </text>
    </comment>
    <comment ref="G34" authorId="0" shapeId="0" xr:uid="{00000000-0006-0000-0200-000040000000}">
      <text>
        <r>
          <rPr>
            <sz val="10"/>
            <rFont val="Arial"/>
            <family val="2"/>
          </rPr>
          <t>Registered off-plan sales value ÷ number of off-plan sales.</t>
        </r>
      </text>
    </comment>
    <comment ref="F35" authorId="0" shapeId="0" xr:uid="{00000000-0006-0000-0200-000021000000}">
      <text>
        <r>
          <rPr>
            <sz val="10"/>
            <rFont val="Arial"/>
            <family val="2"/>
          </rPr>
          <t>Registered off-plan sales, capped at units (resales of the same unit are not separated).</t>
        </r>
      </text>
    </comment>
    <comment ref="G35" authorId="0" shapeId="0" xr:uid="{00000000-0006-0000-0200-000041000000}">
      <text>
        <r>
          <rPr>
            <sz val="10"/>
            <rFont val="Arial"/>
            <family val="2"/>
          </rPr>
          <t>Registered off-plan sales value ÷ number of off-plan sales.</t>
        </r>
      </text>
    </comment>
    <comment ref="F36" authorId="0" shapeId="0" xr:uid="{00000000-0006-0000-0200-000022000000}">
      <text>
        <r>
          <rPr>
            <sz val="10"/>
            <rFont val="Arial"/>
            <family val="2"/>
          </rPr>
          <t>Registered off-plan sales, capped at units (resales of the same unit are not separated).</t>
        </r>
      </text>
    </comment>
    <comment ref="G36" authorId="0" shapeId="0" xr:uid="{00000000-0006-0000-0200-000042000000}">
      <text>
        <r>
          <rPr>
            <sz val="10"/>
            <rFont val="Arial"/>
            <family val="2"/>
          </rPr>
          <t>Registered off-plan sales value ÷ number of off-plan sales.</t>
        </r>
      </text>
    </comment>
    <comment ref="F37" authorId="0" shapeId="0" xr:uid="{00000000-0006-0000-0200-000023000000}">
      <text>
        <r>
          <rPr>
            <sz val="10"/>
            <rFont val="Arial"/>
            <family val="2"/>
          </rPr>
          <t>Registered off-plan sales, capped at units (resales of the same unit are not separated).</t>
        </r>
      </text>
    </comment>
    <comment ref="G37" authorId="0" shapeId="0" xr:uid="{00000000-0006-0000-0200-000043000000}">
      <text>
        <r>
          <rPr>
            <sz val="10"/>
            <rFont val="Arial"/>
            <family val="2"/>
          </rPr>
          <t>Registered off-plan sales value ÷ number of off-plan sales.</t>
        </r>
      </text>
    </comment>
    <comment ref="F38" authorId="0" shapeId="0" xr:uid="{00000000-0006-0000-0200-000024000000}">
      <text>
        <r>
          <rPr>
            <sz val="10"/>
            <rFont val="Arial"/>
            <family val="2"/>
          </rPr>
          <t>Registered off-plan sales, capped at units (resales of the same unit are not separated).</t>
        </r>
      </text>
    </comment>
    <comment ref="G38" authorId="0" shapeId="0" xr:uid="{00000000-0006-0000-0200-000044000000}">
      <text>
        <r>
          <rPr>
            <sz val="10"/>
            <rFont val="Arial"/>
            <family val="2"/>
          </rPr>
          <t>Registered off-plan sales value ÷ number of off-plan sales.</t>
        </r>
      </text>
    </comment>
    <comment ref="F39" authorId="0" shapeId="0" xr:uid="{00000000-0006-0000-0200-000025000000}">
      <text>
        <r>
          <rPr>
            <sz val="10"/>
            <rFont val="Arial"/>
            <family val="2"/>
          </rPr>
          <t>Registered off-plan sales, capped at units (resales of the same unit are not separated).</t>
        </r>
      </text>
    </comment>
    <comment ref="G39" authorId="0" shapeId="0" xr:uid="{00000000-0006-0000-0200-000045000000}">
      <text>
        <r>
          <rPr>
            <sz val="10"/>
            <rFont val="Arial"/>
            <family val="2"/>
          </rPr>
          <t>Registered off-plan sales value ÷ number of off-plan sales.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400-000001000000}">
      <text>
        <r>
          <rPr>
            <sz val="10"/>
            <rFont val="Arial"/>
            <family val="2"/>
          </rPr>
          <t>From the 30 Jun 2026 interim accounts: current portion of borrowings including the Feb-2027 sukuk. Change if you read it differently.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500-000001000000}">
      <text>
        <r>
          <rPr>
            <sz val="10"/>
            <rFont val="Arial"/>
            <family val="2"/>
          </rPr>
          <t>Enter the risk-free yield you want the spread measured against. One cell for all four for simplicity — replace per line if you prefer.</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<sst xmlns="http://schemas.openxmlformats.org/spreadsheetml/2006/main" count="1696" uniqueCount="1163">
  <si>
    <t>Binghatti Holding — liquidity against maturities, from the register</t>
  </si>
  <si>
    <t>Can the escrow release from towers under construction, plus the cash the company holds outside escrow, meet the debt falling due? Every number below is a register fact, a filed figure, or arithmetic on the scenario inputs. DPI expresses no view.</t>
  </si>
  <si>
    <t>As of</t>
  </si>
  <si>
    <t>Active scenario</t>
  </si>
  <si>
    <t>change on the Scenarios sheet, cell B3</t>
  </si>
  <si>
    <t>Cash outside escrow, AED m (30 Jun 2026)</t>
  </si>
  <si>
    <t>Legend</t>
  </si>
  <si>
    <t>blue = input you can change</t>
  </si>
  <si>
    <t>green = pulled from another sheet</t>
  </si>
  <si>
    <t>Date</t>
  </si>
  <si>
    <t>Debt due by then (AED m)</t>
  </si>
  <si>
    <t>Cash outside escrow + received</t>
  </si>
  <si>
    <t>Scenario</t>
  </si>
  <si>
    <t>Modelled escrow release by then</t>
  </si>
  <si>
    <t>Shortfall (AED m)</t>
  </si>
  <si>
    <t>28 Feb 2027 — 9.625% sukuk</t>
  </si>
  <si>
    <t>Base</t>
  </si>
  <si>
    <t>Delayed handovers</t>
  </si>
  <si>
    <t>Cancellation spike</t>
  </si>
  <si>
    <t>Price cut</t>
  </si>
  <si>
    <t>31 Dec 2027</t>
  </si>
  <si>
    <t>31 Dec 2028</t>
  </si>
  <si>
    <t>2. Monthly escrow release, active scenario (AED m)</t>
  </si>
  <si>
    <t>Month</t>
  </si>
  <si>
    <t>Cumulative release</t>
  </si>
  <si>
    <t>In the month</t>
  </si>
  <si>
    <t>Debt falling due in the month</t>
  </si>
  <si>
    <t>Running cash after debt (from free cash)</t>
  </si>
  <si>
    <t>Running cash assumes no other operating inflow or outflow — no land purchases, no construction spend outside escrow, no new borrowing. It isolates one question: do handovers alone cover maturities?</t>
  </si>
  <si>
    <t>3. The towers that matter most before 28 Feb 2027 — largest modelled release, active scenario</t>
  </si>
  <si>
    <t>Project</t>
  </si>
  <si>
    <t>Status</t>
  </si>
  <si>
    <t>Certified %</t>
  </si>
  <si>
    <t>Registered completion</t>
  </si>
  <si>
    <t>Projected completion</t>
  </si>
  <si>
    <t>Sold %</t>
  </si>
  <si>
    <t>Release by 28 Feb 2027 (AED m)</t>
  </si>
  <si>
    <t>Set the certified % against the date: a tower at 30% with its registered date passed will not hand over before February whatever the plan says; one at 99% is paperwork. The ten towers the issuer itself names as funding the maturity are the ones to check here first.</t>
  </si>
  <si>
    <t>4. Register facts, issuer level, and one calibration check</t>
  </si>
  <si>
    <t>Projects on the register</t>
  </si>
  <si>
    <t xml:space="preserve">  of which live (active, pending, not started)</t>
  </si>
  <si>
    <t>Registered units, live projects</t>
  </si>
  <si>
    <t>Sold units, live projects</t>
  </si>
  <si>
    <t>Contracted value, live projects (AED m)</t>
  </si>
  <si>
    <t>Estimated collected to date (AED m)</t>
  </si>
  <si>
    <t>Estimated released from escrow to date (AED m)</t>
  </si>
  <si>
    <t xml:space="preserve">  implied still held in escrow — model</t>
  </si>
  <si>
    <t xml:space="preserve">  reported in escrow, 30 Jun 2026 — accounts</t>
  </si>
  <si>
    <t>Live projects past their registered completion date</t>
  </si>
  <si>
    <t>The model holds less in escrow than the accounts report: certified % is the June register reading for most towers, so collections since then are not yet in it, and the accounts include finished towers awaiting release. Read the release figures as conservative by roughly that gap.</t>
  </si>
  <si>
    <t>Units in those projects</t>
  </si>
  <si>
    <t>Registered sales, last 12 months</t>
  </si>
  <si>
    <t xml:space="preserve">  value (AED m)</t>
  </si>
  <si>
    <t xml:space="preserve">  share of all Dubai sales</t>
  </si>
  <si>
    <t>Dubai registered 187,123 sales in the twelve months to the as-of date (register).</t>
  </si>
  <si>
    <t>Resales in Binghatti buildings, 24 months</t>
  </si>
  <si>
    <t xml:space="preserve">  of which at a loss</t>
  </si>
  <si>
    <t>Sources: Dubai Land Department transactions and project registers (open data, read daily; attribution: DLD / data.dubai); Binghatti Holding audited FY2025 and reviewed H1 2026 accounts; offering circulars; Moody's and Fitch public releases; indicative bank price run 4 Sep 2026. Prepared by Dubai Property Intelligence. General information about a developer's published finances and its projects on the public register; not a recommendation to buy, sell or hold any security.</t>
  </si>
  <si>
    <t>Scenario inputs — the only cells the escrow model reads</t>
  </si>
  <si>
    <t>Blue cells are yours to change. Column F is the scenario currently driving the Simulator and the Dashboard. Nothing here is a forecast by DPI: the base column is the register plus the issuer's own disclosed payment terms.</t>
  </si>
  <si>
    <t>Active scenario (1–4)</t>
  </si>
  <si>
    <t>Input</t>
  </si>
  <si>
    <t>Active</t>
  </si>
  <si>
    <t>What it does</t>
  </si>
  <si>
    <t>Handover delay added to every registered completion date (months)</t>
  </si>
  <si>
    <t>The register date is what the developer filed. Base takes it at face value; "delayed" pushes every tower back by this many months.</t>
  </si>
  <si>
    <t>Months to completion for projects already past their registered date</t>
  </si>
  <si>
    <t>A tower whose date has passed has no useful date in the register. This is how long the model gives it from today.</t>
  </si>
  <si>
    <t>Months to completion for projects with no registered date</t>
  </si>
  <si>
    <t>Four active towers carry no completion date at all.</t>
  </si>
  <si>
    <t>Cancellation rate — share of contracted value that is never collected</t>
  </si>
  <si>
    <t>Buyers who default on instalments. Applied to the remaining collections on every project.</t>
  </si>
  <si>
    <t>Sell-through of unsold units before completion</t>
  </si>
  <si>
    <t>Share of currently unsold units that sell (and start paying) before handover.</t>
  </si>
  <si>
    <t>Price change on those future sales</t>
  </si>
  <si>
    <t>Applied to the average ticket of each project for units still to be sold.</t>
  </si>
  <si>
    <t>Share of price collected at sale (booking)</t>
  </si>
  <si>
    <t>Issuer discloses ~70% collected during construction including booking; 10/60/30 is the plan shape used here. Change it to the plan you know.</t>
  </si>
  <si>
    <t>Share of price collected at handover</t>
  </si>
  <si>
    <t>The final instalment. Between booking and handover, collections track certified progress.</t>
  </si>
  <si>
    <t>RERA escrow retention held until one year after completion</t>
  </si>
  <si>
    <t>Not released within the model horizon; treated as unavailable cash.</t>
  </si>
  <si>
    <t>Maximum certified progress per month (percentage points)</t>
  </si>
  <si>
    <t>A tower cannot be certified faster than it can be built. Caps the pace the model implies from the completion date.</t>
  </si>
  <si>
    <t>How the model turns these into cash</t>
  </si>
  <si>
    <t>For each live project: collected-to-date = contracted value × (booking + (1 − booking − handover) × certified %). Future months: certified % rises at the pace implied by the projected completion date (capped), collections follow, and at 100% the handover share is paid. Escrow does not hand the developer what has been collected: RERA releases collections in step with certified progress, so released = collected × certified %, less the retention — which is why the company reports AED 10.2 bn still sitting in escrow. Monthly release = the change in that cumulative figure. Contracted value = sold units × average registered ticket, plus future sales of unsold units at the sell-through and price change above.</t>
  </si>
  <si>
    <t>Escrow release simulator — live projects</t>
  </si>
  <si>
    <t>Register facts in blue (change them if you know better); everything to the right is arithmetic on the active scenario. AED millions unless stated.</t>
  </si>
  <si>
    <t>Register readings: certified % and dates are the latest observation per project (DLD register 15 Jun 2026, updated by the 30 Aug 2026 register extract where available). Units and sales are from the DLD transactions register to the as-of date.</t>
  </si>
  <si>
    <t>Cumulative future escrow release under the active scenario, AED m (month index in the row below)</t>
  </si>
  <si>
    <t>Scenario 1: Base</t>
  </si>
  <si>
    <t>Scenario 2: Delayed handovers</t>
  </si>
  <si>
    <t>Scenario 3: Cancellation spike</t>
  </si>
  <si>
    <t>Scenario 4: Price cut</t>
  </si>
  <si>
    <t>Project no.</t>
  </si>
  <si>
    <t>Last read</t>
  </si>
  <si>
    <t>Units</t>
  </si>
  <si>
    <t>Sold units</t>
  </si>
  <si>
    <t>Avg ticket (AED)</t>
  </si>
  <si>
    <t>Contracted value</t>
  </si>
  <si>
    <t>Unsold units</t>
  </si>
  <si>
    <t>Months to go</t>
  </si>
  <si>
    <t>Pace %/mo</t>
  </si>
  <si>
    <t>Effective contracted value</t>
  </si>
  <si>
    <t>Released from escrow to date (est.)</t>
  </si>
  <si>
    <t>Release by 28 Feb 2027</t>
  </si>
  <si>
    <t>Release by 31 Dec 2027</t>
  </si>
  <si>
    <t>Release by 31 Dec 2028</t>
  </si>
  <si>
    <t>Collected to date (est.)</t>
  </si>
  <si>
    <t>Months</t>
  </si>
  <si>
    <t>Pace</t>
  </si>
  <si>
    <t>Eff. value</t>
  </si>
  <si>
    <t>Released to date</t>
  </si>
  <si>
    <t>By Feb-27</t>
  </si>
  <si>
    <t>By Dec-27</t>
  </si>
  <si>
    <t>By Dec-28</t>
  </si>
  <si>
    <t>rank key</t>
  </si>
  <si>
    <t>3165</t>
  </si>
  <si>
    <t>Binghatti Aurora</t>
  </si>
  <si>
    <t>3264</t>
  </si>
  <si>
    <t>Binghatti Ivory</t>
  </si>
  <si>
    <t>2547</t>
  </si>
  <si>
    <t>Bugatti Residences by Binghatti</t>
  </si>
  <si>
    <t>3552</t>
  </si>
  <si>
    <t>Binghatti Amberhall</t>
  </si>
  <si>
    <t>3533</t>
  </si>
  <si>
    <t>Binghatti Ruby</t>
  </si>
  <si>
    <t>3192</t>
  </si>
  <si>
    <t>Binghatti Ghost</t>
  </si>
  <si>
    <t>3314</t>
  </si>
  <si>
    <t>Binghatti Grove</t>
  </si>
  <si>
    <t>3442</t>
  </si>
  <si>
    <t>Binghatti Haven</t>
  </si>
  <si>
    <t>3195</t>
  </si>
  <si>
    <t>Binghatti Starlight</t>
  </si>
  <si>
    <t>3321</t>
  </si>
  <si>
    <t>Binghatti Hillviews</t>
  </si>
  <si>
    <t>3397</t>
  </si>
  <si>
    <t>Binghatti Twilight</t>
  </si>
  <si>
    <t>3107</t>
  </si>
  <si>
    <t>One by Binghatti</t>
  </si>
  <si>
    <t>3722</t>
  </si>
  <si>
    <t>Binghatti Moonlight</t>
  </si>
  <si>
    <t>3341</t>
  </si>
  <si>
    <t>Binghatti Elite</t>
  </si>
  <si>
    <t>3481</t>
  </si>
  <si>
    <t>Binghatti Hillside</t>
  </si>
  <si>
    <t>2480</t>
  </si>
  <si>
    <t>Burj Binghatti Jacob &amp; Co. Residences</t>
  </si>
  <si>
    <t>3504</t>
  </si>
  <si>
    <t>Binghatti Skyhall</t>
  </si>
  <si>
    <t>3585</t>
  </si>
  <si>
    <t>Binghatti Aquarise</t>
  </si>
  <si>
    <t>4105</t>
  </si>
  <si>
    <t>Binghatti Hillcrest</t>
  </si>
  <si>
    <t>3349</t>
  </si>
  <si>
    <t>Binghatti Skyrise</t>
  </si>
  <si>
    <t>2545</t>
  </si>
  <si>
    <t>Mercedes-Benz Places | Binghatti</t>
  </si>
  <si>
    <t>4104</t>
  </si>
  <si>
    <t>Binghatti Titania</t>
  </si>
  <si>
    <t>Pending</t>
  </si>
  <si>
    <t>4102</t>
  </si>
  <si>
    <t>Binghatti Vintage</t>
  </si>
  <si>
    <t>4043</t>
  </si>
  <si>
    <t>بالم 01 من بن غاطي</t>
  </si>
  <si>
    <t>3819</t>
  </si>
  <si>
    <t>Binghatti Circle</t>
  </si>
  <si>
    <t>Not Started</t>
  </si>
  <si>
    <t>4008</t>
  </si>
  <si>
    <t>Binghatti Flare 02</t>
  </si>
  <si>
    <t>4006</t>
  </si>
  <si>
    <t>Binghatti Flare 01</t>
  </si>
  <si>
    <t>3725</t>
  </si>
  <si>
    <t>Binghatti Skyblade</t>
  </si>
  <si>
    <t>3053</t>
  </si>
  <si>
    <t>Binghatti Hills</t>
  </si>
  <si>
    <t>2958</t>
  </si>
  <si>
    <t>Binghatti Phantom</t>
  </si>
  <si>
    <t>3009</t>
  </si>
  <si>
    <t>Binghatti Phoenix</t>
  </si>
  <si>
    <t>2961</t>
  </si>
  <si>
    <t>Binghatti Royale</t>
  </si>
  <si>
    <t>Total, all live projects</t>
  </si>
  <si>
    <t>Monthly release (change in cumulative)</t>
  </si>
  <si>
    <t>Reading the row: a tower at 30% certified with a registered date already passed is given the "past due" months; its pace is (100 − 30) ÷ months, capped. Release is what collections exceed what has already been released. Retention is never released inside the horizon. A project with sold units above register units is capped at 100% sold.</t>
  </si>
  <si>
    <t>Debt and covenants</t>
  </si>
  <si>
    <t>Sukuk from the offering circulars and exchange listings; bank debt from the H1 2026 accounts and rating reports. Bank maturity dates within a year are assumptions (blue) — the accounts give amounts by period, not dates.</t>
  </si>
  <si>
    <t>AED per USD</t>
  </si>
  <si>
    <t>Instrument</t>
  </si>
  <si>
    <t>ISIN</t>
  </si>
  <si>
    <t>Type</t>
  </si>
  <si>
    <t>Size (USD m)</t>
  </si>
  <si>
    <t>Size (AED m)</t>
  </si>
  <si>
    <t>Coupon</t>
  </si>
  <si>
    <t>Issued</t>
  </si>
  <si>
    <t>Maturity</t>
  </si>
  <si>
    <t>Listing</t>
  </si>
  <si>
    <t>Ranking / security</t>
  </si>
  <si>
    <t>Notes</t>
  </si>
  <si>
    <t>9.625% sukuk due 28 Feb 2027</t>
  </si>
  <si>
    <t>XS2753304349</t>
  </si>
  <si>
    <t>Sukuk</t>
  </si>
  <si>
    <t>Feb 2024 + Jul 2024 tap</t>
  </si>
  <si>
    <t>Nasdaq Dubai · LSE</t>
  </si>
  <si>
    <t>Senior unsecured (trust certificates)</t>
  </si>
  <si>
    <t>Bullet; no call.</t>
  </si>
  <si>
    <t>7.75% green sukuk due 2 Jul 2029</t>
  </si>
  <si>
    <t>XS3187728277</t>
  </si>
  <si>
    <t>Oct 2025</t>
  </si>
  <si>
    <t>Nasdaq Dubai · LSE ISM</t>
  </si>
  <si>
    <t>Senior unsecured</t>
  </si>
  <si>
    <t>8.125% sukuk due 7 Aug 2030</t>
  </si>
  <si>
    <t>XS3145700491</t>
  </si>
  <si>
    <t>Aug 2025</t>
  </si>
  <si>
    <t>5x covered at issue.</t>
  </si>
  <si>
    <t>8.375% sukuk due 12 Aug 2031</t>
  </si>
  <si>
    <t>XS3289056395</t>
  </si>
  <si>
    <t>Feb 2026</t>
  </si>
  <si>
    <t>Longest tenor by a UAE private developer.</t>
  </si>
  <si>
    <t>Secured bank debt — due H2 2026</t>
  </si>
  <si>
    <t>Bank</t>
  </si>
  <si>
    <t>various</t>
  </si>
  <si>
    <t>—</t>
  </si>
  <si>
    <t>Secured on land (AED 3.7 bn of mortgages), shareholder guarantees</t>
  </si>
  <si>
    <t>Date assumed: end of the period the accounts give. 3M EIBOR + 2.0–2.75%.</t>
  </si>
  <si>
    <t>Secured bank debt — due H1 2027</t>
  </si>
  <si>
    <t>Secured on land, shareholder guarantees</t>
  </si>
  <si>
    <t>Split assumed. H2 2026 + H1 2027 bank debt + the Feb-2027 sukuk = AED 3,56x m, the current portion of borrowings in the 30 Jun 2026 accounts.</t>
  </si>
  <si>
    <t>Secured bank debt — due H2 2027</t>
  </si>
  <si>
    <t>Balance of the USD 510m the rating reports place in 2027. Date assumed.</t>
  </si>
  <si>
    <t>Secured bank debt — due 2028</t>
  </si>
  <si>
    <t>Date assumed mid-year.</t>
  </si>
  <si>
    <t>Total</t>
  </si>
  <si>
    <t>Accounts, 30 Jun 2026: gross debt AED 11,521m (sukuk ~7.2bn, bank ~4.3bn); current portion AED 3,560m. The instrument list reconciles to USD 3,165m ≈ AED 11.6bn (FX and accrued profit explain the difference), and the lines dated up to 30 Jun 2027 sum to the current portion.</t>
  </si>
  <si>
    <t>Due within 12 months of the accounts (to 30 Jun 2027), from the schedule</t>
  </si>
  <si>
    <t>vs 3,560 reported</t>
  </si>
  <si>
    <t>Maturity wall (AED m)</t>
  </si>
  <si>
    <t>Year</t>
  </si>
  <si>
    <t>2026</t>
  </si>
  <si>
    <t>2027</t>
  </si>
  <si>
    <t>2028</t>
  </si>
  <si>
    <t>2029</t>
  </si>
  <si>
    <t>2030</t>
  </si>
  <si>
    <t>2031</t>
  </si>
  <si>
    <t>Bank covenants (from the financing notes) against reported figures</t>
  </si>
  <si>
    <t>Covenant</t>
  </si>
  <si>
    <t>Threshold</t>
  </si>
  <si>
    <t>Reported / computed, H1 2026</t>
  </si>
  <si>
    <t>Headroom</t>
  </si>
  <si>
    <t>Basis</t>
  </si>
  <si>
    <t>Note</t>
  </si>
  <si>
    <t>Net debt / equity</t>
  </si>
  <si>
    <t>Computed with ALL escrow counted as cash. The company counts only the releasable part and reports 0.35x; with no escrow counted it is 1.14x (Financials row 27). The covenant is tested on the company's definition.</t>
  </si>
  <si>
    <t>Net debt / EBITDA</t>
  </si>
  <si>
    <t>Same three bases: all escrow 0.1x here; company (releasable escrow) 0.56x; no escrow 1.5x (row 25). H1 annualised.</t>
  </si>
  <si>
    <t>EBITDA / interest</t>
  </si>
  <si>
    <t>H1 annualised on both sides.</t>
  </si>
  <si>
    <t>Dividends</t>
  </si>
  <si>
    <t>None permitted</t>
  </si>
  <si>
    <t>None paid</t>
  </si>
  <si>
    <t>Under the sukuk and bank terms.</t>
  </si>
  <si>
    <t>Financial statements, standardised (AED m)</t>
  </si>
  <si>
    <t>FY2024 and FY2025 audited (Deloitte); H1 2026 reviewed interim. Ratios are computed here from these lines, not copied from the company presentation.</t>
  </si>
  <si>
    <t>Line</t>
  </si>
  <si>
    <t>FY2024</t>
  </si>
  <si>
    <t>FY2025</t>
  </si>
  <si>
    <t>H1 2026</t>
  </si>
  <si>
    <t>Revenue</t>
  </si>
  <si>
    <t>Gross profit</t>
  </si>
  <si>
    <t>EBITDA</t>
  </si>
  <si>
    <t>EBITDA includes AED 324m non-cash fair-value gain on units in related real-estate funds; ex-gain AED 3,506m</t>
  </si>
  <si>
    <t>Net profit</t>
  </si>
  <si>
    <t>Total assets</t>
  </si>
  <si>
    <t>Cash and bank balances</t>
  </si>
  <si>
    <t xml:space="preserve">  of which in RERA escrow</t>
  </si>
  <si>
    <t>Gross debt</t>
  </si>
  <si>
    <t>Equity</t>
  </si>
  <si>
    <t>Customer advances (contract liabilities)</t>
  </si>
  <si>
    <t>Revenue backlog</t>
  </si>
  <si>
    <t>Presales in the period</t>
  </si>
  <si>
    <t>Cash from operations</t>
  </si>
  <si>
    <t>Finance cost</t>
  </si>
  <si>
    <t>Cash outside escrow</t>
  </si>
  <si>
    <t>Moody's "unrestricted cash". The only cash that can repay a bond; escrow belongs to the projects.</t>
  </si>
  <si>
    <t>Debt due within 12 months</t>
  </si>
  <si>
    <t>EBITDA, annualised for H1</t>
  </si>
  <si>
    <t>H1 doubled. The company reports LTM; doubling a strong half flatters the ratio slightly — read the H1 column with that in mind.</t>
  </si>
  <si>
    <t>Finance cost, annualised for H1</t>
  </si>
  <si>
    <t>Ratios (computed)</t>
  </si>
  <si>
    <t>Gross debt / EBITDA</t>
  </si>
  <si>
    <t>Bank covenant ≤ 2.5x on the company's net basis.</t>
  </si>
  <si>
    <t>Net debt (ex-escrow cash) / EBITDA</t>
  </si>
  <si>
    <t>Company-basis net debt / EBITDA (escrow counted as cash)</t>
  </si>
  <si>
    <t>Net debt (ex-escrow cash) / equity</t>
  </si>
  <si>
    <t>Bank covenant ≤ 1.25x on the company's basis.</t>
  </si>
  <si>
    <t>EBITDA / finance cost</t>
  </si>
  <si>
    <t>Bank covenant ≥ 2.0x. H1 finance cost is annualised to match annualised EBITDA.</t>
  </si>
  <si>
    <t>Cash outside escrow / debt due within 12 months</t>
  </si>
  <si>
    <t>The liquidity test. Below 1.0x the company needs handovers or new money to pay what is due — the number that triggered Moody's review.</t>
  </si>
  <si>
    <t>Escrow as share of reported cash</t>
  </si>
  <si>
    <t>Gross debt / equity</t>
  </si>
  <si>
    <t>Company-basis net debt / equity (escrow counted as cash)</t>
  </si>
  <si>
    <t>Sources</t>
  </si>
  <si>
    <t>Sukuk pricing — enter the prices you see</t>
  </si>
  <si>
    <t>Prices are yours to paste (blue). Defaults are indicative bank quotes from 4 Sep 2026, NOT traded prices, and will be stale by the time you open this. Yield uses semi-annual profit distributions, 30/360.</t>
  </si>
  <si>
    <t>Settlement / as of</t>
  </si>
  <si>
    <t>Benchmark yield for spread (e.g. UST of matching tenor)</t>
  </si>
  <si>
    <t>Price (bid)</t>
  </si>
  <si>
    <t>Price (ask)</t>
  </si>
  <si>
    <t>YTM at bid</t>
  </si>
  <si>
    <t>YTM at ask</t>
  </si>
  <si>
    <t>Spread at bid (bp)</t>
  </si>
  <si>
    <t>Price if yield +100bp</t>
  </si>
  <si>
    <t>Years to maturity</t>
  </si>
  <si>
    <t>Indicative source</t>
  </si>
  <si>
    <t>DIB indicative run, 4 Sep 2026 — replace</t>
  </si>
  <si>
    <t>A price far below par with a yield well above the coupon is the market saying the issuer cannot refinance at the old rate; the Feb-2027 line near par says the market expects that one to be paid. Spread is a simple difference to the benchmark cell, not a Z-spread — swap in your own curve if you need one.</t>
  </si>
  <si>
    <t>Every Binghatti project on the Dubai Land Department register</t>
  </si>
  <si>
    <t>Developer no. 1051. Register read 10 Sep 2026. Sales are registered transactions; "12m" is the twelve months to the as-of date; resales are matched pairs of the same unit sold twice in the last 24 months.</t>
  </si>
  <si>
    <t>Area</t>
  </si>
  <si>
    <t>First-seen completion</t>
  </si>
  <si>
    <t>Off-plan sales (all time)</t>
  </si>
  <si>
    <t>Off-plan value (AED m)</t>
  </si>
  <si>
    <t>All sales (all time)</t>
  </si>
  <si>
    <t>Sales 12m</t>
  </si>
  <si>
    <t>Value 12m (AED m)</t>
  </si>
  <si>
    <t>Sales prior 12m</t>
  </si>
  <si>
    <t>Sales 90d</t>
  </si>
  <si>
    <t>Avg AED/sqm 12m</t>
  </si>
  <si>
    <t>Mortgages 12m</t>
  </si>
  <si>
    <t>Resales 24m</t>
  </si>
  <si>
    <t>Resales at a loss</t>
  </si>
  <si>
    <t>Avg resale change %</t>
  </si>
  <si>
    <t>Avg hold (days)</t>
  </si>
  <si>
    <t>Escrow agent</t>
  </si>
  <si>
    <t>First sale</t>
  </si>
  <si>
    <t>Last sale</t>
  </si>
  <si>
    <t>Project start</t>
  </si>
  <si>
    <t>Al Jadaf</t>
  </si>
  <si>
    <t>Emirates NBD</t>
  </si>
  <si>
    <t>Business Bay</t>
  </si>
  <si>
    <t>Sharjah Islamic Bank</t>
  </si>
  <si>
    <t>Al Barsha South Fourth</t>
  </si>
  <si>
    <t>مصرف ابوظبى الاسلامى</t>
  </si>
  <si>
    <t>National Bank of Fujairah</t>
  </si>
  <si>
    <t>Arab Bank</t>
  </si>
  <si>
    <t>Al Hebiah Fourth</t>
  </si>
  <si>
    <t>Al Barshaa South Second</t>
  </si>
  <si>
    <t>Dubai Islamic Bank</t>
  </si>
  <si>
    <t>Me'Aisem First</t>
  </si>
  <si>
    <t>First Abu Dhabi Bank</t>
  </si>
  <si>
    <t>Burj Khalifa</t>
  </si>
  <si>
    <t>Al Barshaa South Third</t>
  </si>
  <si>
    <t>Wadi Al Safa 3</t>
  </si>
  <si>
    <t>Palm Jumeirah</t>
  </si>
  <si>
    <t>Al Barsha South Fifth</t>
  </si>
  <si>
    <t>1630</t>
  </si>
  <si>
    <t>BINGHATTI APARTMENTS</t>
  </si>
  <si>
    <t>Nadd Hessa</t>
  </si>
  <si>
    <t>Finished</t>
  </si>
  <si>
    <t>1689</t>
  </si>
  <si>
    <t>BINGHATTI VIEWS</t>
  </si>
  <si>
    <t>1933</t>
  </si>
  <si>
    <t>BINGHATTI STARS</t>
  </si>
  <si>
    <t>2014</t>
  </si>
  <si>
    <t>Millennium Binghatti Residences Business Bay</t>
  </si>
  <si>
    <t>2117</t>
  </si>
  <si>
    <t>Binghatti Gateway</t>
  </si>
  <si>
    <t>2232</t>
  </si>
  <si>
    <t>Binghatti Gate</t>
  </si>
  <si>
    <t>2203</t>
  </si>
  <si>
    <t>Binghatti Point</t>
  </si>
  <si>
    <t>2185</t>
  </si>
  <si>
    <t>Binghatti Avenue</t>
  </si>
  <si>
    <t>2326</t>
  </si>
  <si>
    <t>Binghatti Rose</t>
  </si>
  <si>
    <t>2233</t>
  </si>
  <si>
    <t>Binghatti Mirage</t>
  </si>
  <si>
    <t>2271</t>
  </si>
  <si>
    <t>Binghatti Gems</t>
  </si>
  <si>
    <t>2386</t>
  </si>
  <si>
    <t>Binghatti Jasmine</t>
  </si>
  <si>
    <t>2361</t>
  </si>
  <si>
    <t>Binghatti Creek</t>
  </si>
  <si>
    <t>2366</t>
  </si>
  <si>
    <t>Binghatti Canal</t>
  </si>
  <si>
    <t>2415</t>
  </si>
  <si>
    <t>Binghatti Heights</t>
  </si>
  <si>
    <t>2535</t>
  </si>
  <si>
    <t>Binghatti Crescent</t>
  </si>
  <si>
    <t>2441</t>
  </si>
  <si>
    <t>Binghatti Luna</t>
  </si>
  <si>
    <t>2494</t>
  </si>
  <si>
    <t>Binghatti Nova</t>
  </si>
  <si>
    <t>2473</t>
  </si>
  <si>
    <t>Binghatti Crest</t>
  </si>
  <si>
    <t>2571</t>
  </si>
  <si>
    <t>Binghatti Emerald</t>
  </si>
  <si>
    <t>2478</t>
  </si>
  <si>
    <t>Binghatti Corner</t>
  </si>
  <si>
    <t>2643</t>
  </si>
  <si>
    <t>Trillionaire Residences by Binghatti</t>
  </si>
  <si>
    <t>2662</t>
  </si>
  <si>
    <t>Binghatti Gardenia</t>
  </si>
  <si>
    <t>2670</t>
  </si>
  <si>
    <t>Binghatti House</t>
  </si>
  <si>
    <t>2671</t>
  </si>
  <si>
    <t>Binghatti Venus</t>
  </si>
  <si>
    <t>2610</t>
  </si>
  <si>
    <t>Binghatti Onyx</t>
  </si>
  <si>
    <t>2825</t>
  </si>
  <si>
    <t>Binghatti Lavender</t>
  </si>
  <si>
    <t>2673</t>
  </si>
  <si>
    <t>Binghatti Amber</t>
  </si>
  <si>
    <t>3023</t>
  </si>
  <si>
    <t>Dawn by Binghatti</t>
  </si>
  <si>
    <t>3024</t>
  </si>
  <si>
    <t>Dusk by Binghatti</t>
  </si>
  <si>
    <t>2862</t>
  </si>
  <si>
    <t>Binghatti Azure</t>
  </si>
  <si>
    <t>3066</t>
  </si>
  <si>
    <t>Binghatti Apex</t>
  </si>
  <si>
    <t>3256</t>
  </si>
  <si>
    <t>Binghatti Pinnacle</t>
  </si>
  <si>
    <t>2765</t>
  </si>
  <si>
    <t>Binghatti Tulip</t>
  </si>
  <si>
    <t>2914</t>
  </si>
  <si>
    <t>Binghatti Galaxy</t>
  </si>
  <si>
    <t>2672</t>
  </si>
  <si>
    <t>Binghatti Orchid</t>
  </si>
  <si>
    <t>Certified % and dates are the register's own (DLD project register, 15 Jun 2026 dump; 30 Aug 2026 register extract where a later reading exists). A finished building can read below 100% until its certificate is issued. Resale change is before costs.</t>
  </si>
  <si>
    <t>Ratings, filings and links</t>
  </si>
  <si>
    <t>Public rating actions with the agencies' own rationale. Full rating reports sit behind Moody's and Fitch subscriptions and are linked, not reproduced.</t>
  </si>
  <si>
    <t>Agency</t>
  </si>
  <si>
    <t>Action</t>
  </si>
  <si>
    <t>Agency rationale (summarised)</t>
  </si>
  <si>
    <t>2026-08-11</t>
  </si>
  <si>
    <t>Moody's</t>
  </si>
  <si>
    <t>Ba3 placed on review for downgrade</t>
  </si>
  <si>
    <t>Unrestricted cash fell to ~AED 393m; ~AED 1.5 bn free cash outflow in H1; timing of cash flows uncertain against the Feb 2027 maturity</t>
  </si>
  <si>
    <t>2026-03</t>
  </si>
  <si>
    <t>Fitch</t>
  </si>
  <si>
    <t>BB- placed on Rating Watch Negative</t>
  </si>
  <si>
    <t>Sector-wide action on the regional conflict: demand, cancellations, construction costs, working capital</t>
  </si>
  <si>
    <t>Ba3 affirmed, stable</t>
  </si>
  <si>
    <t>Liquidity then judged adequate: AED 3.1 bn sources vs 2.4 bn uses through June 2027</t>
  </si>
  <si>
    <t>2025-03</t>
  </si>
  <si>
    <t>Upgraded to BB-</t>
  </si>
  <si>
    <t>100% pre-sold completions, net debt/EBITDA 0.8x</t>
  </si>
  <si>
    <t>Current: Moody's Ba3 (review for downgrade, 11 Aug 2026) · Fitch BB- (Rating Watch Negative, Mar 2026) · S&amp;P not rated</t>
  </si>
  <si>
    <t>Filings and documents</t>
  </si>
  <si>
    <t>2026-07</t>
  </si>
  <si>
    <t>2026-07-28</t>
  </si>
  <si>
    <t>2026-01-29</t>
  </si>
  <si>
    <t>2026-04-01</t>
  </si>
  <si>
    <t>2026-08</t>
  </si>
  <si>
    <t>2025-04-01</t>
  </si>
  <si>
    <t>2026-03-27</t>
  </si>
  <si>
    <t>2026-09-04</t>
  </si>
  <si>
    <t>Where to look</t>
  </si>
  <si>
    <t>Issuer investor relations</t>
  </si>
  <si>
    <t>Moody's — issuer search</t>
  </si>
  <si>
    <t>Fitch Ratings — issuer search</t>
  </si>
  <si>
    <t>Nasdaq Dubai — listed sukuk</t>
  </si>
  <si>
    <t>London Stock Exchange — RNS and ISM listings</t>
  </si>
  <si>
    <t>Dubai Land Department — project register (open data)</t>
  </si>
  <si>
    <t>Dubai Pulse — DLD datasets</t>
  </si>
  <si>
    <t>Gaps we could not close</t>
  </si>
  <si>
    <t>• Moody's August 2026 and Fitch March 2026 releases read through press coverage, not the agencies' own texts</t>
  </si>
  <si>
    <t>• Sukuk offering circulars not reviewed: call, change-of-control and cross-default terms unverified</t>
  </si>
  <si>
    <t>• Nature of the 'multibillion-dollar pact' reported by Bloomberg on 1 September 2026 unknown</t>
  </si>
  <si>
    <t>• Bank quotes are indicative levels, not traded prices</t>
  </si>
  <si>
    <t>Dubai registered sales, all developers, 12m</t>
  </si>
  <si>
    <t>BINGHATTI HOLDING</t>
  </si>
  <si>
    <t>Escrow release against debt maturities — a register-based liquidity model</t>
  </si>
  <si>
    <t>Prepared by</t>
  </si>
  <si>
    <t>DPI</t>
  </si>
  <si>
    <t>Register read date</t>
  </si>
  <si>
    <t>Financials as at</t>
  </si>
  <si>
    <t>30 June 2026 (interim), FY2025 audited</t>
  </si>
  <si>
    <t>Currency and units</t>
  </si>
  <si>
    <t>AED millions, unless a cell says otherwise</t>
  </si>
  <si>
    <t>THE QUESTION</t>
  </si>
  <si>
    <t>Debt due by 28 Feb 2027</t>
  </si>
  <si>
    <t>AED m</t>
  </si>
  <si>
    <t>Coverage</t>
  </si>
  <si>
    <t>Shortfall</t>
  </si>
  <si>
    <t>CONTENTS</t>
  </si>
  <si>
    <t>How to use</t>
  </si>
  <si>
    <t>Start here. What you may change, what to read, how to interpret coverage.</t>
  </si>
  <si>
    <t>Model map</t>
  </si>
  <si>
    <t>Dashboard</t>
  </si>
  <si>
    <t>Break-even</t>
  </si>
  <si>
    <t>Scenarios</t>
  </si>
  <si>
    <t>Simulator</t>
  </si>
  <si>
    <t>Debt</t>
  </si>
  <si>
    <t>Financials</t>
  </si>
  <si>
    <t>Bonds</t>
  </si>
  <si>
    <t>Sukuk pricing, yield and spread at indicative bank quotes.</t>
  </si>
  <si>
    <t>Projects</t>
  </si>
  <si>
    <t>The full Dubai Land Department register extract, all 68 projects.</t>
  </si>
  <si>
    <t>Ratings &amp; sources</t>
  </si>
  <si>
    <t>Rating actions, filings, links, and the gaps we could not close.</t>
  </si>
  <si>
    <t>WHAT THIS MODEL IS — AND IS NOT</t>
  </si>
  <si>
    <t>It is</t>
  </si>
  <si>
    <t>Arithmetic on the Dubai Land Department project register and the issuer's own filed figures and disclosed payment terms. Every number is a register fact, a filed figure, or a formula you can trace to one of those.</t>
  </si>
  <si>
    <t>It is not</t>
  </si>
  <si>
    <t>A forecast, a rating, a recommendation, or a view on the credit. DPI expresses no opinion on Binghatti Holding or its securities.</t>
  </si>
  <si>
    <t>The payment-plan shape is an assumption, not a disclosure. The issuer discloses roughly 70% collected during construction; the 10 / 60 / 30 booking / progress / handover split used here is a reasonable reading of that, not a filed term. Change it on Scenarios if you know the actual plans.</t>
  </si>
  <si>
    <t>PRIMARY SOURCES</t>
  </si>
  <si>
    <t>Project data</t>
  </si>
  <si>
    <t>Dubai Land Department project register and transactions register. Certified progress and completion dates read 15 Jun 2026, updated by the 30 Aug 2026 extract where available. Units and sales to the register read date.</t>
  </si>
  <si>
    <t>Binghatti Holding interim consolidated FS 30 June 2026; FY2025 audited FS (LSE RNS 9968Q); H1 2026 results presentation.</t>
  </si>
  <si>
    <t>Debt and pricing</t>
  </si>
  <si>
    <t>Issuer filings and presentations; DIB indicative sukuk price list (4 Sep 2026). Bank quotes are indicative levels, not traded prices.</t>
  </si>
  <si>
    <t>Ratings</t>
  </si>
  <si>
    <t>Moody's Ba3, on review for downgrade (11 Aug 2026). Fitch BB-, Rating Watch Negative (Mar 2026). S&amp;P not rated.</t>
  </si>
  <si>
    <t>Full list and links</t>
  </si>
  <si>
    <t>Ratings &amp; sources tab, including four gaps we could not close.</t>
  </si>
  <si>
    <t>KNOWN DATA GAPS IN THIS BUILD</t>
  </si>
  <si>
    <t>•  Project 4043 (بالم 01 من بن غاطي) carries zero units, zero sales and zero ticket on the register, so it contributes nothing to modelled release. Coverage is understated to that extent.</t>
  </si>
  <si>
    <t>•  FY2024 finance cost is not in the data, so FY2024 interest cover reads "n/a" on the Financials sheet.</t>
  </si>
  <si>
    <t>•  Debt falling due within twelve months is not broken out for FY2024 or FY2025, so that liquidity ratio is blank for both years.</t>
  </si>
  <si>
    <t>•  Sukuk offering circulars not reviewed: call, change-of-control and cross-default terms are unverified.</t>
  </si>
  <si>
    <t>This workbook is provided for information only. It is not investment advice, not an offer, and not a recommendation. Figures derived from a public register are subject to that register's own accuracy and update lag. Recipients should form their own view and verify every figure against primary sources before acting.</t>
  </si>
  <si>
    <t>HOW TO USE THIS MODEL</t>
  </si>
  <si>
    <t>Five minutes to the answer, then everything you may change and how to read the output.</t>
  </si>
  <si>
    <t>Step</t>
  </si>
  <si>
    <t>Where</t>
  </si>
  <si>
    <t>What to do</t>
  </si>
  <si>
    <t>Scenarios, cell B3</t>
  </si>
  <si>
    <t>2.  EVERY CELL YOU MAY CHANGE</t>
  </si>
  <si>
    <t>Blue text means an input. Black means a formula. Green means it is pulled from another sheet. If a cell is not listed here, changing it will break something.</t>
  </si>
  <si>
    <t>Sheet</t>
  </si>
  <si>
    <t>Cell</t>
  </si>
  <si>
    <t>Current</t>
  </si>
  <si>
    <t>B3</t>
  </si>
  <si>
    <t>The master switch. 1 Base, 2 Delayed handovers, 3 Cancellation spike, 4 Price cut.</t>
  </si>
  <si>
    <t>D5</t>
  </si>
  <si>
    <t>Cash received since balance sheet date</t>
  </si>
  <si>
    <t>C3</t>
  </si>
  <si>
    <t>D8:I39</t>
  </si>
  <si>
    <t>Per-project register facts</t>
  </si>
  <si>
    <t>Units, sold units, average ticket, certified %, registered completion date. Change these if you have a better read than the register.</t>
  </si>
  <si>
    <t>Grid axis ranges</t>
  </si>
  <si>
    <t>Assumption</t>
  </si>
  <si>
    <t>Sensitivity</t>
  </si>
  <si>
    <t>Why it matters</t>
  </si>
  <si>
    <t>High</t>
  </si>
  <si>
    <t>The single most powerful input. Every month of delay pushes certified progress, and therefore released cash, to the right. Switching to the Delayed scenario cuts the February release by roughly 45%.</t>
  </si>
  <si>
    <t>Applies to towers whose registered date has already passed, so the register gives no usable date. Several large towers sit here.</t>
  </si>
  <si>
    <t>Low</t>
  </si>
  <si>
    <t>Only four active towers carry no date at all, and at 24 months out they contribute almost nothing before February 2027.</t>
  </si>
  <si>
    <t>Medium</t>
  </si>
  <si>
    <t>Scales the remaining collections on every project linearly. Material, but less violent than delay because it does not change timing.</t>
  </si>
  <si>
    <t>Only 1,429 of 23,645 registered units are unsold, so future sales are a rounding item over this horizon.</t>
  </si>
  <si>
    <t>Applies only to those same 1,429 unsold units.</t>
  </si>
  <si>
    <t>Booking cash is already collected on sold units, so a higher booking share front-loads release. This is an assumption, not a filed term.</t>
  </si>
  <si>
    <t>The handover instalment only lands at completion. A large handover share means cash arrives after February for any tower not finishing first.</t>
  </si>
  <si>
    <t>A flat 5% haircut on everything released.</t>
  </si>
  <si>
    <t>Binds on towers the model would otherwise certify implausibly fast. Lowering it slows release on the low-progress towers.</t>
  </si>
  <si>
    <t>5.  THINGS TO CHECK BEFORE YOU TRUST A NUMBER</t>
  </si>
  <si>
    <t>•  Certified % against registered date, tower by tower. This is the assumption the whole model rests on, and it is observable.</t>
  </si>
  <si>
    <t>•  The payment-plan split on Scenarios rows 11 and 12 against actual sale-and-purchase agreements, if you can see them.</t>
  </si>
  <si>
    <t>HOW THE WORKBOOK HANGS TOGETHER</t>
  </si>
  <si>
    <t>Data flows in one direction. There are no circular references and no macros.</t>
  </si>
  <si>
    <t>1.  THE CHAIN</t>
  </si>
  <si>
    <t>Stage</t>
  </si>
  <si>
    <t>What it holds</t>
  </si>
  <si>
    <t>Feeds</t>
  </si>
  <si>
    <t>Source data</t>
  </si>
  <si>
    <t>The full Dubai Land Department register extract: 68 projects, status, units, sold units, sales value, certified progress, completion dates, resale history. Row 73 totals it.</t>
  </si>
  <si>
    <t>Simulator (32 live projects), Dashboard section 4</t>
  </si>
  <si>
    <t>Assumptions</t>
  </si>
  <si>
    <t>Engine</t>
  </si>
  <si>
    <t>One row per live project. Columns E–I are register facts; J–U derive contracted value, collections and release to date; V–AW run 28 monthly columns; AY–BZ recompute all four scenarios at three checkpoint dates; CA is a rank key.</t>
  </si>
  <si>
    <t>Dashboard, Break-even</t>
  </si>
  <si>
    <t>Liabilities</t>
  </si>
  <si>
    <t>Eight instruments with amounts and maturity dates, plus the maturity wall by year and covenant headroom.</t>
  </si>
  <si>
    <t>Dashboard (debt due by each date)</t>
  </si>
  <si>
    <t>Balance sheet</t>
  </si>
  <si>
    <t>FY2024, FY2025 and H1 2026 filed figures, and leverage computed three ways depending on how much escrow you count as cash.</t>
  </si>
  <si>
    <t>Dashboard (free cash), Debt (covenant tests)</t>
  </si>
  <si>
    <t>Market</t>
  </si>
  <si>
    <t>Sukuk price, yield and spread at indicative bank quotes.</t>
  </si>
  <si>
    <t>Reference only — nothing downstream depends on it</t>
  </si>
  <si>
    <t>Stress</t>
  </si>
  <si>
    <t>Recomputes February 2027 coverage across a grid of handover delay against cancellation rate, independently of the active scenario.</t>
  </si>
  <si>
    <t>Cover (the 1.0x delay threshold)</t>
  </si>
  <si>
    <t>Provenance</t>
  </si>
  <si>
    <t>Rating actions with agency rationale, filings with links, and four gaps we could not close.</t>
  </si>
  <si>
    <t>Nothing — documentation only</t>
  </si>
  <si>
    <t>2.  THE ARITHMETIC, STEP BY STEP</t>
  </si>
  <si>
    <t>Size the contract</t>
  </si>
  <si>
    <t>J</t>
  </si>
  <si>
    <t>sold units  ×  average registered ticket</t>
  </si>
  <si>
    <t>Average ticket is registered off-plan sales value divided by number of sales. Resales of the same unit are not separated out.</t>
  </si>
  <si>
    <t>Adjust for cancellations and future sales</t>
  </si>
  <si>
    <t>P</t>
  </si>
  <si>
    <t>J × (1 − cancellation)  +  unsold units × ticket × sell-through × (1 + price change)</t>
  </si>
  <si>
    <t>Higher than J on the Base scenario because 1,429 unsold units are credited at a 60% sell-through and no cancellations.</t>
  </si>
  <si>
    <t>Apply the payment plan</t>
  </si>
  <si>
    <t>U</t>
  </si>
  <si>
    <t>J × [ booking%  +  (1 − booking% − handover%) × certified% ]</t>
  </si>
  <si>
    <t>Collected from buyers to date. Booking cash is in regardless of progress; the middle slice tracks certified construction; the handover slice only lands at completion.</t>
  </si>
  <si>
    <t>Convert collections to released cash</t>
  </si>
  <si>
    <t>Q</t>
  </si>
  <si>
    <t>U  ×  min(1, certified% )  ×  (1 − retention)</t>
  </si>
  <si>
    <t>This is the heart of the model. Escrow does not hand over what buyers paid: RERA releases funds in step with certified progress, less a 5% retention. Multiplying by progress a second time is why collections of AED 10.6 bn have released only AED 4.2 bn — and why roughly AED 10.2 bn is still sitting in escrow.</t>
  </si>
  <si>
    <t>Date the completion</t>
  </si>
  <si>
    <t>M</t>
  </si>
  <si>
    <t>registered date + delay;  if the date has passed, today + 6 months;  if there is no date, today + 24 months</t>
  </si>
  <si>
    <t>A registered date in the past tells you nothing, so the model substitutes a fixed runway. Four active towers carry no date at all.</t>
  </si>
  <si>
    <t>Derive the build pace</t>
  </si>
  <si>
    <t>O</t>
  </si>
  <si>
    <t>min( cap,  (100 − certified%)  ÷  months to completion )</t>
  </si>
  <si>
    <t>Percentage points of certification per month. The cap stops the model certifying a tower faster than it could physically be built.</t>
  </si>
  <si>
    <t>Run it forward 28 months</t>
  </si>
  <si>
    <t>V:AW</t>
  </si>
  <si>
    <t>re-run steps 3 and 4 at  certified% + pace × month,  then subtract release to date; floored at zero</t>
  </si>
  <si>
    <t>Oct 2026 to Jan 2029. Row 40 totals across projects, row 41 differences it into a monthly figure. The total shown here is cumulative release by Dec 2028.</t>
  </si>
  <si>
    <t>Snapshot the checkpoints</t>
  </si>
  <si>
    <t>R, S, T</t>
  </si>
  <si>
    <t>months 5, 15 and 27 of the grid</t>
  </si>
  <si>
    <t>Feb 2027, Dec 2027, Dec 2028. The figure shown is the February 2027 release — the number the coverage ratio turns on.</t>
  </si>
  <si>
    <t>( free cash  +  release by the date )  ÷  debt due by the date</t>
  </si>
  <si>
    <t>3.  CONVENTIONS</t>
  </si>
  <si>
    <t>Blue text</t>
  </si>
  <si>
    <t>An input. Yours to change.</t>
  </si>
  <si>
    <t>Black text</t>
  </si>
  <si>
    <t>A formula calculated on the same sheet.</t>
  </si>
  <si>
    <t>Green text</t>
  </si>
  <si>
    <t>Pulled from another sheet in this workbook.</t>
  </si>
  <si>
    <t>Yellow fill</t>
  </si>
  <si>
    <t>A key assumption that deserves your attention.</t>
  </si>
  <si>
    <t>Orange fill</t>
  </si>
  <si>
    <t>A caveat or a threshold breach.</t>
  </si>
  <si>
    <t>Grouped columns</t>
  </si>
  <si>
    <t>Simulator columns AY to BZ carry the four-scenario engine. They are grouped, not hidden: use the plus and minus toggle above the column letters.</t>
  </si>
  <si>
    <t>AED millions throughout, except average ticket (AED) and certified progress (percentage points, 0–100 not 0–1).</t>
  </si>
  <si>
    <t>Dates</t>
  </si>
  <si>
    <t>Real Excel dates, displayed dd mmm yyyy. The register read date on Simulator C3 anchors everything.</t>
  </si>
  <si>
    <t>4.  WHAT DEPENDS ON WHAT — IF YOU CHANGE ONE THING</t>
  </si>
  <si>
    <t>If you change</t>
  </si>
  <si>
    <t>These recalculate</t>
  </si>
  <si>
    <t>Scenarios B3 (active scenario)</t>
  </si>
  <si>
    <t>A per-project register fact</t>
  </si>
  <si>
    <t>Simulator C3 (read date)</t>
  </si>
  <si>
    <t>Dashboard D5 (cash received)</t>
  </si>
  <si>
    <t>Break-even axis ranges</t>
  </si>
  <si>
    <t>1.  WHAT THIS SHEET DOES</t>
  </si>
  <si>
    <t>It re-runs the escrow model from first principles for every combination of two variables, and reports the resulting coverage of the 28 February 2027 maturity. Everything else is held at the Base column of the Scenarios sheet, so switching the active scenario does not move this grid.</t>
  </si>
  <si>
    <t>One difference from the Scenarios delay input: there, delay shifts only registered completion dates, so towers whose date has already passed are unaffected. Here delay shifts every tower, including those on the fallback runway. That makes the axis a genuine stress rather than one that leaves part of the portfolio immune.</t>
  </si>
  <si>
    <t>Value</t>
  </si>
  <si>
    <t>Source</t>
  </si>
  <si>
    <t>Sell-through of unsold units</t>
  </si>
  <si>
    <t>Scenarios, Base column</t>
  </si>
  <si>
    <t>Price change on future sales</t>
  </si>
  <si>
    <t>Share collected at booking</t>
  </si>
  <si>
    <t>Share collected at handover</t>
  </si>
  <si>
    <t>RERA escrow retention</t>
  </si>
  <si>
    <t>Maximum certified progress per month (pts)</t>
  </si>
  <si>
    <t>Runway for towers past their registered date (months)</t>
  </si>
  <si>
    <t>Runway for towers with no registered date (months)</t>
  </si>
  <si>
    <t>Checkpoint — months after read date</t>
  </si>
  <si>
    <t>Month 5 of the grid is February 2027</t>
  </si>
  <si>
    <t>Cash outside escrow, plus any received</t>
  </si>
  <si>
    <t>Debt, instruments dated on or before 28 Feb 2027</t>
  </si>
  <si>
    <t>Delay (months)  \  Cancellation rate</t>
  </si>
  <si>
    <t>6.  WORKING — ONE ROW PER LIVE PROJECT</t>
  </si>
  <si>
    <t>Release factor is the share of effective contracted value that escrow has released by the checkpoint, net of retention. Contracted value, future sales value and release to date are taken from the Simulator; the release factors are recomputed here at each delay on the axis.</t>
  </si>
  <si>
    <t>Future sales value</t>
  </si>
  <si>
    <t>Total, 32 live projects</t>
  </si>
  <si>
    <t>Check — contracted value against Simulator</t>
  </si>
  <si>
    <t>Must be zero.</t>
  </si>
  <si>
    <t>Check — release to date against Simulator</t>
  </si>
  <si>
    <t>Check — live projects included</t>
  </si>
  <si>
    <t>Must equal 32, the count of live projects on the Simulator.</t>
  </si>
  <si>
    <t>1.00x or below — modelled shortfall</t>
  </si>
  <si>
    <t>1.00x to 1.50x — tight</t>
  </si>
  <si>
    <t>above 1.50x — headroom</t>
  </si>
  <si>
    <t>Escrow release</t>
  </si>
  <si>
    <t>Coverage credits the whole modelled escrow release against debt</t>
  </si>
  <si>
    <t>Cash RERA releases to a developer funds construction; it is not earmarked for bondholders. A tower that releases AED 500m still has to be built. Treat coverage as headroom, and anything under about 1.5x as tight.</t>
  </si>
  <si>
    <t>Sources not modelled</t>
  </si>
  <si>
    <t>New borrowing, refinancing, asset or land sales, shareholder support, the "multibillion-dollar pact" reported 1 Sep 2026, and cash from the already-completed portfolio. All could help; none are counted.</t>
  </si>
  <si>
    <t>The payment-plan split is an assumption</t>
  </si>
  <si>
    <t>The issuer discloses roughly 70% collected during construction. The 10 / 60 / 30 booking / progress / handover shape is a reading of that, not a filed term. Change it on Scenarios rows 11 and 12.</t>
  </si>
  <si>
    <t>Handover timing drives everything</t>
  </si>
  <si>
    <t>A tower at 30% certified whose registered date has passed will not hand over by February. Check certified % against date on rows 66–76 before trusting any coverage figure.</t>
  </si>
  <si>
    <t>Project 4043 contributes nothing</t>
  </si>
  <si>
    <t>بالم 01 من بن غاطي carries zero units, zero sales and zero average ticket on the register, so it releases nothing in the model. Coverage is understated to that extent.</t>
  </si>
  <si>
    <t>Two Financials ratios are blank</t>
  </si>
  <si>
    <t>FY2024 finance cost is not in the data, so FY2024 interest cover reads "n/a"; debt due within twelve months is not broken out for FY2024 or FY2025, so that liquidity ratio is blank for both.</t>
  </si>
  <si>
    <t>Prices are indicative</t>
  </si>
  <si>
    <t>Sukuk levels on the Bonds sheet are bank indications from 4 Sep 2026, not traded prices. Offering circulars were not reviewed, so call, change-of-control and cross-default terms are unverified.</t>
  </si>
  <si>
    <t>CHART DATA — formulas only, no new inputs</t>
  </si>
  <si>
    <t>Coverage at 28 Feb 2027</t>
  </si>
  <si>
    <t>Delay (months)</t>
  </si>
  <si>
    <t>No cancellations</t>
  </si>
  <si>
    <t>15% cancellations</t>
  </si>
  <si>
    <t>Cumulative escrow release</t>
  </si>
  <si>
    <t>Cumulative debt due</t>
  </si>
  <si>
    <t>Zero while the active scenario shares the Base booking, handover and retention shares — true of all four scenarios as shipped. A non-zero figure means someone changed those terms in the active column, not that this sheet is wrong.</t>
  </si>
  <si>
    <t>plus received since, AED m:</t>
  </si>
  <si>
    <t>6.  CHARTS</t>
  </si>
  <si>
    <t>Cost to complete, share of contracted value</t>
  </si>
  <si>
    <t>CONFIRM THIS. Derived, not disclosed: reported gross margin runs 45% FY24, 44% FY25, 45% H1-26, implying cost at about 55% of contracted value. Spent in step with certified progress. Override if you have cost-to-complete data.</t>
  </si>
  <si>
    <t>3M EIBOR assumption for bank debt</t>
  </si>
  <si>
    <t>CONFIRM THIS. Not taken from a rate source. Bank debt prices at 3M EIBOR plus a margin per the Debt sheet; the margin is the next row.</t>
  </si>
  <si>
    <t>Bank margin over EIBOR</t>
  </si>
  <si>
    <t>Midpoint of the 2.00-2.75% range the Debt sheet cites from the financing notes.</t>
  </si>
  <si>
    <t>Refinance sukuk at maturity instead of repaying cash</t>
  </si>
  <si>
    <t>No</t>
  </si>
  <si>
    <t>Type Yes or No. No is the hard test: every maturity must be met from cash. Yes rolls each sukuk at maturity at the spread below, so only profit payments stay a cash cost.</t>
  </si>
  <si>
    <t>Refinancing spread over the maturing coupon</t>
  </si>
  <si>
    <t>Only used when the row above is Yes. Added to the maturing instrument's coupon to price the replacement.</t>
  </si>
  <si>
    <t>CASH FLOW AGAINST THE FULL MATURITY STACK</t>
  </si>
  <si>
    <t>Every sukuk and bank maturity to 2031, against escrow release from the delivery schedule, net of construction cost and debt service. Sixty-four months, October 2026 to January 2032.</t>
  </si>
  <si>
    <t>1.  WHY THIS SHEET EXISTS</t>
  </si>
  <si>
    <t>The Dashboard answers one question: can the 28 February 2027 sukuk be met? It can. But that maturity is AED 1,836m of a 2027 total of AED 3,709m, and three more sukuk of AED 1,836m each fall due in 2029, 2030 and 2031. The escrow engine on the Simulator runs only 28 months, so it cannot see them. This sheet rebuilds the release profile over 64 months and sets it against the whole stack.</t>
  </si>
  <si>
    <t>Two things the Dashboard leaves out are added here. Construction cost: escrow money is released to build, not to repay bondholders, so cost to complete is deducted as it is incurred. Debt service: the four sukuk carry coupons of 9.625%, 7.75%, 8.125% and 8.375% on AED 1,836m each, and bank debt prices over EIBOR. Neither appears anywhere else in the workbook.</t>
  </si>
  <si>
    <t>Retention is also recovered here. The Simulator writes off the 5% RERA retention because it releases a year after completion, beyond its horizon. Over 64 months most of it comes back, and it is credited in the month it is due.</t>
  </si>
  <si>
    <t>2.  INPUTS, ALL PULLED LIVE</t>
  </si>
  <si>
    <t>As of date</t>
  </si>
  <si>
    <t>Simulator, register read date</t>
  </si>
  <si>
    <t>Opening cash outside escrow</t>
  </si>
  <si>
    <t>Scenarios, active column</t>
  </si>
  <si>
    <t>Refinance sukuk at maturity</t>
  </si>
  <si>
    <t>Refinancing spread over maturing coupon</t>
  </si>
  <si>
    <t>RERA retention share</t>
  </si>
  <si>
    <t>Months after completion until retention releases</t>
  </si>
  <si>
    <t>RERA rule, one year after completion</t>
  </si>
  <si>
    <t>Horizon, months</t>
  </si>
  <si>
    <t>Oct 2026 to Jan 2032, covering the 2031 sukuk</t>
  </si>
  <si>
    <t>3.  DEBT SERVICE, INSTRUMENT BY INSTRUMENT</t>
  </si>
  <si>
    <t>Amounts, coupons and maturity dates pulled from the Debt sheet. Bank tranches carry no stated coupon in the accounts, so they price at EIBOR plus margin. Month index counts from the as-of date; month 1 is October 2026.</t>
  </si>
  <si>
    <t>Amount</t>
  </si>
  <si>
    <t>Rate</t>
  </si>
  <si>
    <t>Annual profit</t>
  </si>
  <si>
    <t>Maturity month</t>
  </si>
  <si>
    <t>4.  MONTHLY ENGINE, OCTOBER 2026 TO JANUARY 2032</t>
  </si>
  <si>
    <t>Month index</t>
  </si>
  <si>
    <t>Cumulative escrow release, net of retention</t>
  </si>
  <si>
    <t>Escrow release in month</t>
  </si>
  <si>
    <t>Cumulative retention released</t>
  </si>
  <si>
    <t>Retention released in month</t>
  </si>
  <si>
    <t>Cumulative cost to complete incurred</t>
  </si>
  <si>
    <t>Construction cost in month</t>
  </si>
  <si>
    <t>Net project cash in month</t>
  </si>
  <si>
    <t>Sukuk profit paid</t>
  </si>
  <si>
    <t>Bank interest paid</t>
  </si>
  <si>
    <t>Principal repaid at maturity</t>
  </si>
  <si>
    <t>Refinancing proceeds</t>
  </si>
  <si>
    <t>Net cash flow in month</t>
  </si>
  <si>
    <t>Closing cash outside escrow</t>
  </si>
  <si>
    <t>Towers completing in month</t>
  </si>
  <si>
    <t>5.  ANNUAL SUMMARY (AED m)</t>
  </si>
  <si>
    <t>2026 is the fourth quarter only; 2032 is January only. Closing cash is at the end of the period shown.</t>
  </si>
  <si>
    <t>Retention released</t>
  </si>
  <si>
    <t>Construction cost to complete</t>
  </si>
  <si>
    <t>Net project cash</t>
  </si>
  <si>
    <t>Principal repaid</t>
  </si>
  <si>
    <t>Net cash flow</t>
  </si>
  <si>
    <t>Lowest cash point during the year</t>
  </si>
  <si>
    <t>Debt maturing in the year</t>
  </si>
  <si>
    <t>Towers completing</t>
  </si>
  <si>
    <t>6.  EVERY MATURITY, COVERED OR NOT</t>
  </si>
  <si>
    <t>Cash available is the closing balance in the maturity month before that principal is paid. Coverage below 1.00x means the maturity cannot be met from modelled cash alone and needs a refinancing, an asset sale, or new presales the register cannot yet see.</t>
  </si>
  <si>
    <t>Cash available</t>
  </si>
  <si>
    <t>THE ANSWER — WHICH MATURITIES ARE ACTUALLY COVERED</t>
  </si>
  <si>
    <t>Deepest cash shortfall</t>
  </si>
  <si>
    <t>AED m, lowest point on the whole path</t>
  </si>
  <si>
    <t>Month it happens</t>
  </si>
  <si>
    <t>The window Moody's placed the ratings on review over</t>
  </si>
  <si>
    <t>Cash once the 2027 handovers land</t>
  </si>
  <si>
    <t>7.  TIE-OUT CHECKS</t>
  </si>
  <si>
    <t>Check — month 28 escrow release against the Simulator</t>
  </si>
  <si>
    <t>Must be zero. Proves the 64-month engine reproduces the Simulator over its own 28 months before extending past it.</t>
  </si>
  <si>
    <t>Check — debt stack against the Debt sheet</t>
  </si>
  <si>
    <t>Check — towers completing against live project count</t>
  </si>
  <si>
    <t>Must be zero. Every live project completes within the horizon.</t>
  </si>
  <si>
    <t>Check — closing cash against opening plus net flows</t>
  </si>
  <si>
    <t>Must be zero. Confirms the cash waterfall does not leak.</t>
  </si>
  <si>
    <t>Check — principal repaid against the full stack</t>
  </si>
  <si>
    <t>Must be zero. Every instrument repaid exactly once within the horizon.</t>
  </si>
  <si>
    <t>One column per month. Escrow release uses the same arithmetic as the Simulator, extended past its 28-month limit; the check in section 7 confirms month 28 ties to the Simulator exactly. Retention releases twelve months after each tower completes. Construction cost is incurred in step with certified progress. Months 1 to 7 are shown; months 8 to 64 are grouped behind the plus sign above column J, since columns C to I also carry the annual summary and maturity tables below.</t>
  </si>
  <si>
    <t>Binghatti has AED 11,623m of sukuk and bank debt maturing between now and 2031. Can cash released from construction escrow, net of the cost of building the towers and of servicing the debt, meet each maturity as it falls?</t>
  </si>
  <si>
    <t>Deepest cash point on the path</t>
  </si>
  <si>
    <t>Cash at end 2027, once the handovers land</t>
  </si>
  <si>
    <t>How the sheets connect and the arithmetic step by step.</t>
  </si>
  <si>
    <t>Escrow release against each maturity date, all four scenarios, with charts.</t>
  </si>
  <si>
    <t>How far handovers must slip, or cancellations rise, before coverage fails.</t>
  </si>
  <si>
    <t>Cash flow</t>
  </si>
  <si>
    <t>The full maturity stack to 2031 after construction cost and debt service. Read this one.</t>
  </si>
  <si>
    <t>The only inputs the model reads. Four columns; pick one in cell B3.</t>
  </si>
  <si>
    <t>The escrow engine. One row per live project, 28 months across.</t>
  </si>
  <si>
    <t>Every instrument, the maturity wall, and the bank covenants.</t>
  </si>
  <si>
    <t>Standardised statements and the ratios computed from them.</t>
  </si>
  <si>
    <t>INCOME STATEMENT (AED m)</t>
  </si>
  <si>
    <t>Cost of sales</t>
  </si>
  <si>
    <t>Derived: revenue less gross profit</t>
  </si>
  <si>
    <t xml:space="preserve">  gross margin</t>
  </si>
  <si>
    <t xml:space="preserve">  EBITDA margin</t>
  </si>
  <si>
    <t>FY2024 not in the source data</t>
  </si>
  <si>
    <t xml:space="preserve">  net margin</t>
  </si>
  <si>
    <t>BALANCE SHEET (AED m)</t>
  </si>
  <si>
    <t xml:space="preserve">  of which outside escrow</t>
  </si>
  <si>
    <t>All other assets</t>
  </si>
  <si>
    <t>Derived: total assets less cash. Mostly development property.</t>
  </si>
  <si>
    <t>Other liabilities (balancing)</t>
  </si>
  <si>
    <t>Plug. The source data gives total assets, debt, advances and equity but not the remaining liability detail, so this line is the residual and is not a disclosed figure.</t>
  </si>
  <si>
    <t>Total liabilities</t>
  </si>
  <si>
    <t>Check: assets less liabilities and equity</t>
  </si>
  <si>
    <t>Zero by construction, since other liabilities is the residual. This is not an independent proof that the balance sheet balances.</t>
  </si>
  <si>
    <t xml:space="preserve">  net debt, escrow not counted as cash</t>
  </si>
  <si>
    <t xml:space="preserve">  net debt, all escrow counted as cash</t>
  </si>
  <si>
    <t>CASH FLOW SUMMARY (AED m)</t>
  </si>
  <si>
    <t>A full indirect cash flow statement cannot be built from this source data: it carries cash from operations but no depreciation, amortisation or working-capital detail. What follows is therefore a reconciliation, not a statement, and the investing-and-financing line is a residual rather than a disclosed figure. FY2024 has no prior-year cash balance in the data, so its movement cannot be computed.</t>
  </si>
  <si>
    <t>Opening cash and bank</t>
  </si>
  <si>
    <t>n/a</t>
  </si>
  <si>
    <t>FY2023 closing cash is not in the source data</t>
  </si>
  <si>
    <t>As reported. Negative in FY2024 and H1 2026 as cash builds inside escrow rather than reaching the company.</t>
  </si>
  <si>
    <t>Change in gross debt</t>
  </si>
  <si>
    <t>Derived. Net new borrowing in the period.</t>
  </si>
  <si>
    <t>All other investing and financing</t>
  </si>
  <si>
    <t>Residual, not disclosed. Capital expenditure, land purchases, equity movements and any escrow reclassification all sit in here.</t>
  </si>
  <si>
    <t>Change in cash and bank</t>
  </si>
  <si>
    <t>Closing cash and bank</t>
  </si>
  <si>
    <t xml:space="preserve">  of which reached cash outside escrow</t>
  </si>
  <si>
    <t>The line that matters for debt service. H1 2026 shows outside-escrow cash falling while total cash rose.</t>
  </si>
  <si>
    <t>OPERATING METRICS (AED m)</t>
  </si>
  <si>
    <t>Contracted revenue not yet recognised. The pipeline behind future escrow release.</t>
  </si>
  <si>
    <t>H1 2026 annualises to about AED 19bn, ahead of FY2025. New presales are what would fund the 2029-31 maturities, and the register cannot yet see them.</t>
  </si>
  <si>
    <t>3b.  THE BANK RATE, BACKED OUT OF REPORTED FINANCE COST</t>
  </si>
  <si>
    <t>The four sukuk above use their actual coupons, taken from the offering circulars via the Debt sheet, so nothing is assumed for them. The bank tranches are the only debt without a stated rate: the accounts give amounts by period, not pricing. Rather than assume one, the rate is backed out of the finance cost the company actually reported — total finance cost less the sukuk profit run rate, over the bank debt outstanding.</t>
  </si>
  <si>
    <t>H1 2026, annualised</t>
  </si>
  <si>
    <t>Reported finance cost</t>
  </si>
  <si>
    <t>Financials, H1 finance cost doubled. Covers all debt, sukuk and bank together.</t>
  </si>
  <si>
    <t>less sukuk profit at actual coupons</t>
  </si>
  <si>
    <t>Implied bank finance cost</t>
  </si>
  <si>
    <t>Bank debt outstanding</t>
  </si>
  <si>
    <t>Implied bank all-in rate</t>
  </si>
  <si>
    <t>Above EIBOR plus the quoted margin, because reported finance cost also carries issue-cost amortisation and fees, and because debt grew through the period so the closing balance understates the average. Treat as an upper bound.</t>
  </si>
  <si>
    <t>Cross-check: EIBOR plus quoted margin</t>
  </si>
  <si>
    <t>From the financing notes on the Debt sheet. A lower bound.</t>
  </si>
  <si>
    <t>Bank rate used in this model</t>
  </si>
  <si>
    <t>Switch between the two with the Bank rate basis input in section 2.</t>
  </si>
  <si>
    <t>Bank rate, EIBOR plus quoted margin</t>
  </si>
  <si>
    <t>Bank rate basis</t>
  </si>
  <si>
    <t>Implied</t>
  </si>
  <si>
    <t>Type Implied to use the rate backed out of reported finance cost in section 3b, or Quoted to use EIBOR plus the margin from the financing notes.</t>
  </si>
  <si>
    <t>Run rate of the four sukuk at their stated coupons. Restricted to the sukuk rows deliberately: summing the whole profit column would make the bank rate depend on itself.</t>
  </si>
  <si>
    <t>Rate source</t>
  </si>
  <si>
    <t>Maturities covered, of eight</t>
  </si>
  <si>
    <t>HOW TO READ THIS</t>
  </si>
  <si>
    <t>Read the table above as</t>
  </si>
  <si>
    <t>The cash test, and the binding answer. The Dashboard's coverage ratio is a headroom indicator only: it credits the whole escrow release against debt and deducts neither construction cost nor debt service.</t>
  </si>
  <si>
    <t>The answer is driven by handover timing. A tower at 30% certified whose registered completion date has already passed will not hand over before February whatever the plan says, and 24 of the 32 live towers are modelled to complete during 2027. The delay assumption is where this model lives or dies. See Break-even.</t>
  </si>
  <si>
    <t>No new presales are assumed after the register read date. Escrow release is nil from 2029 because the present pipeline is finished, so the 2029, 2030 and 2031 sukuk are met entirely from cash accumulated in 2027 and 2028. Real developers keep launching, so the back end is conservative on this point rather than aggressive.</t>
  </si>
  <si>
    <t>Cover, rows 15 to 24</t>
  </si>
  <si>
    <t>Read the maturity table. Eight instruments to 2031, ordered by date, with coverage and shortfall on each. Anything below 1.00x cannot be met from modelled cash. This is the answer; everything else explains it.</t>
  </si>
  <si>
    <t>Cash flow, rows 64 to 77</t>
  </si>
  <si>
    <t>Read the annual summary. Escrow release, retention, construction cost, debt service and closing cash by year to 2031. The lowest-cash row shows the trough inside each year, which the year-end balance hides.</t>
  </si>
  <si>
    <t>Read how much handover delay or cancellation it takes to push coverage to 1.0x. This is the number to argue about.</t>
  </si>
  <si>
    <t>Dashboard, rows 16 to 28</t>
  </si>
  <si>
    <t>Read escrow coverage by maturity date across all four scenarios. Treat it as headroom before construction cost and debt service, not as the cash test; the caveat under the verdict band says so.</t>
  </si>
  <si>
    <t>Dashboard, rows 66 to 76</t>
  </si>
  <si>
    <t>Look at the ten towers doing the most work. Check certified % against registered date: a tower at 30% with its date already passed is not handing over in February.</t>
  </si>
  <si>
    <t>Type 1, 2, 3 or 4 to switch the active scenario. Everything on the Simulator, Dashboard and Cash flow follows that one cell. Break-even deliberately does not.</t>
  </si>
  <si>
    <t>1.  THE SIX-MINUTE PATH</t>
  </si>
  <si>
    <t>B5:E19</t>
  </si>
  <si>
    <t>The fourteen assumptions, four columns</t>
  </si>
  <si>
    <t>Overwrite any column with your own view. Column F resolves whichever is active; do not edit column F. Rows 15 to 19 are the newer inputs: cost to complete, EIBOR, bank margin, the refinancing toggle and the refinancing spread.</t>
  </si>
  <si>
    <t>B97</t>
  </si>
  <si>
    <t>Denominator for the market-share calibration check only. Does not affect coverage or the cash flow.</t>
  </si>
  <si>
    <t>B28:B34, C27:I27</t>
  </si>
  <si>
    <t>Widen or narrow the delay and cancellation axes without touching the arithmetic. The working block below the grid re-derives itself.</t>
  </si>
  <si>
    <t>Active scenario, 1 to 4</t>
  </si>
  <si>
    <t>Month 1 of the monthly grids is the month after this date. Changing it re-dates the whole projection, on both the Simulator and the Cash flow sheet.</t>
  </si>
  <si>
    <t>Instrument rows 6 to 13</t>
  </si>
  <si>
    <t>Amounts, coupons and maturity dates</t>
  </si>
  <si>
    <t>Sukuk coupons are real and are used directly. Bank rows carry no coupon, so they take the derived rate. Adding a facility here flows through to the Dashboard, the Cash flow schedule and the coverage table.</t>
  </si>
  <si>
    <t>B22</t>
  </si>
  <si>
    <t>Type Implied to use the rate backed out of reported finance cost, or Quoted to use EIBOR plus the margin from the financing notes. The derivation is visible in section 3b of that sheet.</t>
  </si>
  <si>
    <t>B25 and B26</t>
  </si>
  <si>
    <t>Retention lag and horizon</t>
  </si>
  <si>
    <t>Months after completion until RERA retention releases, and how many months the engine runs. The horizon is 64 so the 2031 sukuk falls inside it; shortening it will cut maturities off the end of the coverage table.</t>
  </si>
  <si>
    <t>3.  THE FOURTEEN ASSUMPTIONS, AND WHICH ONES ACTUALLY MOVE THE ANSWER</t>
  </si>
  <si>
    <t>New, and now one of the two most powerful inputs. Escrow release is gross; this is what the towers cost to finish, deducted as certified progress is earned. The whole near-term shortfall moves with it. Derived from the reported gross margin, not disclosed.</t>
  </si>
  <si>
    <t>Only used when the bank rate basis on the Cash flow sheet is set to Quoted. On the default Implied basis the bank rate is backed out of reported finance cost and this input is ignored.</t>
  </si>
  <si>
    <t>As above: the quoted-basis alternative only. Midpoint of the 2.00 to 2.75 per cent range in the financing notes.</t>
  </si>
  <si>
    <t>Refinance sukuk at maturity, and the refinancing spread</t>
  </si>
  <si>
    <t>No is the hard test: every maturity must be met from cash. Switching to Yes rolls each sukuk instead of repaying it, which lifts February 2027 coverage above 1.0x and leaves only the December 2026 bank maturity short. The spread on the row below prices the replacement.</t>
  </si>
  <si>
    <t>4.  HOW TO READ THE TWO COVERAGE MEASURES</t>
  </si>
  <si>
    <t>There are two, they answer different questions, and they disagree. Measure A, on the Dashboard:  ( cash outside escrow  +  modelled escrow release by the date )  ÷  debt falling due by that date.        Measure B, on the Cash flow sheet and the Cover:  modelled cash in the maturity month, after construction cost and all debt service  ÷  the principal then due.</t>
  </si>
  <si>
    <t>Measure A, headroom</t>
  </si>
  <si>
    <t>Measure B, the cash test</t>
  </si>
  <si>
    <t>Why they differ</t>
  </si>
  <si>
    <t>What both exclude</t>
  </si>
  <si>
    <t>New borrowing, asset sales, shareholder support, land sales, the reported multibillion-dollar pact, and any presales launched after the register read date. All of these could help; none are modelled.</t>
  </si>
  <si>
    <t>•  Whether the ten towers the issuer itself names as funding the February maturity are the same ten the model picks out on Dashboard rows 66 to 76.</t>
  </si>
  <si>
    <t>•  The cost-to-complete ratio on Scenarios row 15 against any real construction-cost data you hold. It is inferred from the gross margin and it drives the entire near-term shortfall.</t>
  </si>
  <si>
    <t>•  The 24 towers the model has completing during 2027. That single wave funds every maturity from mid-2027 onward, so its timing is the main concentration risk in the credit.</t>
  </si>
  <si>
    <t>Projects  →  Simulator  →  Dashboard  →  Cash flow  →  Cover        with Scenarios feeding the Simulator and the Cash flow sheet, Debt and Financials supplying the liability and cash side, and Break-even stress-testing the whole thing independently of the active scenario</t>
  </si>
  <si>
    <t>Fourteen assumptions in four named columns. Cell B3 selects which column is active; column F resolves it. Rows 15 to 19 are the cost, rate and refinancing inputs added for the cash flow build.</t>
  </si>
  <si>
    <t>Every formula on the Simulator and the Cash flow sheet</t>
  </si>
  <si>
    <t>Cash test</t>
  </si>
  <si>
    <t>A second escrow engine running 64 months instead of 28, so the 2029, 2030 and 2031 sukuk fall inside the horizon. Adds the two things the Dashboard leaves out: cost to complete, and debt service at each instrument's own rate. Section 3b backs the bank rate out of reported finance cost. Section 6 is the coverage table for all eight maturities.</t>
  </si>
  <si>
    <t>Cover (the maturity table and every headline figure on it)</t>
  </si>
  <si>
    <t>Escrow coverage by maturity date across all four scenarios, the monthly release and running-cash path, the towers doing the most work, register-level calibration checks, and three charts. Coverage here is before construction cost and debt service.</t>
  </si>
  <si>
    <t>Cash flow (opening cash), Break-even (tie-out check)</t>
  </si>
  <si>
    <t>Test headroom</t>
  </si>
  <si>
    <t>Measure A. Above 1.0x means modelled sources exceed the debt due on these assumptions. It deducts no construction cost and no debt service, so it is a headroom indicator, not a repayment test.</t>
  </si>
  <si>
    <t>Extend the horizon</t>
  </si>
  <si>
    <t>Cash flow C57:BN59</t>
  </si>
  <si>
    <t>re-run the release arithmetic for 64 months instead of 28</t>
  </si>
  <si>
    <t>Oct 2026 to Jan 2032, so the 2029, 2030 and 2031 sukuk fall inside the model. The figure shown is the tie-out check: at month 28 this engine and the Simulator agree to zero.</t>
  </si>
  <si>
    <t>Recover the retention</t>
  </si>
  <si>
    <t>Cash flow row 61</t>
  </si>
  <si>
    <t>retention  ×  effective contracted value, credited 12 months after each tower completes</t>
  </si>
  <si>
    <t>The Simulator writes this off because it releases beyond its 28-month horizon. Over 64 months most of it comes back.</t>
  </si>
  <si>
    <t>Deduct the cost of building</t>
  </si>
  <si>
    <t>Cash flow row 63</t>
  </si>
  <si>
    <t>effective contracted value  ×  cost ratio  ×  ( certified% now − certified% then )</t>
  </si>
  <si>
    <t>Incurred in step with certified progress, because that is what escrow releases against. Past cost is sunk and is not charged again. This is the deduction that reverses the near-term answer.</t>
  </si>
  <si>
    <t>Deduct debt service</t>
  </si>
  <si>
    <t>Cash flow rows 65 to 68</t>
  </si>
  <si>
    <t>sukuk profit at actual coupons  +  bank interest at the derived rate  +  principal at each maturity</t>
  </si>
  <si>
    <t>The figure shown is annual profit and interest, which ties exactly to the finance cost the company reported. Principal is repaid gross, with refinancing proceeds shown separately when the toggle is on.</t>
  </si>
  <si>
    <t>Test the cash</t>
  </si>
  <si>
    <t>Cash flow F94:F101</t>
  </si>
  <si>
    <t>modelled cash in the maturity month, before that principal is paid  ÷  the principal then due</t>
  </si>
  <si>
    <t>Measure B, and the binding answer. The figure shown is the total modelled shortfall in AED m, all of it falling before March 2027. This is what the Cover reports.</t>
  </si>
  <si>
    <t>Steps 1 to 8 are the escrow engine on the Simulator: one column each, applied to all 32 live projects. Steps 9 to 14 are the cash test on the Cash flow sheet, which extends the same arithmetic to 64 months and then deducts what the Dashboard leaves out. The figures in the fourth column are live.</t>
  </si>
  <si>
    <t>Simulator columns J through AW and CA, the Cash flow monthly engine and its coverage table, the Cover maturity table, and every Dashboard section except section 1 rows 17 to 28, which always show all four scenarios regardless. Break-even deliberately does not move.</t>
  </si>
  <si>
    <t>Any of the fourteen assumptions</t>
  </si>
  <si>
    <t>The same, plus the matching scenario block on Simulator AY to BZ and the Dashboard's all-scenario table. Cost to complete, the rate inputs and the refinancing toggle affect the Cash flow sheet and the Cover but not the Simulator or the Dashboard.</t>
  </si>
  <si>
    <t>That project's whole row, the totals on Simulator row 40, all four scenario blocks, every Dashboard figure, the whole Cash flow engine and coverage table, the Cover, and the Break-even grid.</t>
  </si>
  <si>
    <t>A Debt instrument, rate or date</t>
  </si>
  <si>
    <t>Debt due by each checkpoint, all coverage ratios, the monthly debt column, the Cash flow debt service schedule and both coverage measures, the Cover maturity table, and the Break-even grid.</t>
  </si>
  <si>
    <t>The Break-even grid and its three readouts. The Cover's 1.0x delay threshold reads from those readouts, so it moves too.</t>
  </si>
  <si>
    <t>Cash flow B22 (bank rate basis)</t>
  </si>
  <si>
    <t>The four bank tranche rates, all debt service, both the annual summary and the coverage table, and every headline figure on the Cover. Nothing on the Simulator, Dashboard or Break-even changes.</t>
  </si>
  <si>
    <t>The month headers on both monthly grids, every projected completion date, the retention release timing, and therefore the entire projection on the Simulator and the Cash flow sheet.</t>
  </si>
  <si>
    <t>The free-cash side of every coverage ratio, the Dashboard running-cash path, and the opening cash balance the Cash flow sheet starts from, which shifts every closing balance and every coverage figure on the Cover.</t>
  </si>
  <si>
    <t>Dashboard, cash outside escrow plus any received since the balance sheet date</t>
  </si>
  <si>
    <t>Dashboard F17</t>
  </si>
  <si>
    <t>THE VERDICT — CAN EACH MATURITY BE MET FROM CASH?</t>
  </si>
  <si>
    <t>Principal due 28 Feb 2027</t>
  </si>
  <si>
    <t>Cash available then</t>
  </si>
  <si>
    <t>Coverage, cash test</t>
  </si>
  <si>
    <t>Shortfall on that sukuk</t>
  </si>
  <si>
    <t>Maturities short, of eight</t>
  </si>
  <si>
    <t>Total shortfall to 2031</t>
  </si>
  <si>
    <t>1.  ESCROW HEADROOM BY MATURITY DATE, ALL FOUR SCENARIOS — BEFORE CONSTRUCTION COST AND DEBT SERVICE</t>
  </si>
  <si>
    <t>Headroom (x)</t>
  </si>
  <si>
    <t>Gap on this measure (AED m)</t>
  </si>
  <si>
    <t>2.  THE CASH TEST — READ THIS BEFORE THE GRID BELOW</t>
  </si>
  <si>
    <t>This sheet measures escrow headroom: escrow release plus free cash against debt due, before the cost of building the towers and before debt service. On that measure the February 2027 sukuk does not fail until handovers slip a long way. On the cash test, which deducts both and is the binding answer on the Cover and the Cash flow sheet, it is already short today. Both numbers are shown here so the sheet cannot be read in isolation.</t>
  </si>
  <si>
    <t>Measure</t>
  </si>
  <si>
    <t>Escrow headroom, 28 Feb 2027 (this sheet, base corner)</t>
  </si>
  <si>
    <t>The top-left cell of the grid below. Ties to Dashboard section 1.</t>
  </si>
  <si>
    <t>Cash-test coverage, 28 Feb 2027</t>
  </si>
  <si>
    <t>After construction cost and debt service. This is the binding measure.</t>
  </si>
  <si>
    <t>Cash-test shortfall on that sukuk</t>
  </si>
  <si>
    <t>AED m. New money, an asset sale or a refinancing of this size closes it.</t>
  </si>
  <si>
    <t>Cost to complete that would bring the cash test to 1.00x</t>
  </si>
  <si>
    <t>Handover delay that breaks the headroom measure</t>
  </si>
  <si>
    <t>Months. This is the grid's answer, on the weaker measure. It does not mean the February sukuk is safe for that long.</t>
  </si>
  <si>
    <t>BREAK-EVEN — HOW FAR CAN HANDOVERS SLIP BEFORE ESCROW HEADROOM FAILS?</t>
  </si>
  <si>
    <t>February 2027 escrow headroom across a grid of handover delay against cancellation rate, independent of whichever scenario is active. Headroom is escrow release plus free cash against debt due, before construction cost and debt service. For whether the maturity can actually be paid, see the cash test above and the Cash flow sheet.</t>
  </si>
  <si>
    <t>3.  HELD FIXED</t>
  </si>
  <si>
    <t>4.  FEBRUARY 2027 ESCROW HEADROOM GRID</t>
  </si>
  <si>
    <t>Escrow headroom on the 28 February 2027 maturity. Cells at or below 1.00x mean escrow release plus free cash no longer covers the debt due even before construction cost. The top-left cell is the Base case and ties exactly to Dashboard section 1. Remember that on the cash test this maturity is already below 1.00x at zero delay.</t>
  </si>
  <si>
    <t>5.  BREAK-EVEN AND TIE-OUT CHECKS</t>
  </si>
  <si>
    <t>Handover delay that brings escrow headroom to 1.00x, with no cancellations (months)</t>
  </si>
  <si>
    <t>Cancellation rate that brings escrow headroom to 1.00x, with no delay</t>
  </si>
  <si>
    <t>Handover delay that brings escrow headroom to 1.00x if cancellations run at 15% (months)</t>
  </si>
  <si>
    <t>8.  CROSS-SHEET AGREEMENT — EVERY HEADLINE MUST MATCH</t>
  </si>
  <si>
    <t>The workbook carries two coverage measures and they give different answers, which is legitimate only if every sheet is explicit about which one it is reporting. These checks confirm the cash test agrees wherever it appears, and that the headroom measure agrees wherever that appears. All must be zero.</t>
  </si>
  <si>
    <t>Check</t>
  </si>
  <si>
    <t>Difference</t>
  </si>
  <si>
    <t>What it proves</t>
  </si>
  <si>
    <t>Cash test, Feb 2027: Dashboard verdict against this sheet</t>
  </si>
  <si>
    <t>The Dashboard headline now reports the cash test, not the headroom ratio.</t>
  </si>
  <si>
    <t>Cash test, Feb 2027: Cover table against this sheet</t>
  </si>
  <si>
    <t>The Cover maturity table and this sheet agree on the February sukuk.</t>
  </si>
  <si>
    <t>Cash test, Feb 2027: Break-even reference block against this sheet</t>
  </si>
  <si>
    <t>Break-even now shows the cash test alongside its own headroom grid.</t>
  </si>
  <si>
    <t>Total shortfall: Dashboard against Cover against this sheet</t>
  </si>
  <si>
    <t>All three report the same total modelled shortfall to 2031.</t>
  </si>
  <si>
    <t>Headroom measure: Dashboard section 1 against the Break-even grid</t>
  </si>
  <si>
    <t>The weaker measure is internally consistent too, where it is reported.</t>
  </si>
  <si>
    <t>Count of maturities short: Dashboard against Cover</t>
  </si>
  <si>
    <t>Both sheets count the same number of uncovered maturities.</t>
  </si>
  <si>
    <t>Debt stack: Cover total against this sheet</t>
  </si>
  <si>
    <t>The Cover table covers the whole stack, nothing dropped or double counted.</t>
  </si>
  <si>
    <t>Check — base corner against Dashboard section 1 headroom</t>
  </si>
  <si>
    <t>Must be zero. Confirms this sheet reproduces the Dashboard headroom measure independently, from first principles.</t>
  </si>
  <si>
    <t>Cash net</t>
  </si>
  <si>
    <t>Defaults to zero. Fills the gap between the 30 Jun 2026 opening cash and the 10 Sep 2026 register date, which neither figure covers. The AED 1.8 bn attributed to three handovers is UNSOURCED in this workbook — see the gaps list on Ratings &amp; sources — and entering it removes the entire modelled shortfall. Verify before use, and remember gross receipts are not all free cash.</t>
  </si>
  <si>
    <t>Handover check: what has actually been delivered since 30 June 2026</t>
  </si>
  <si>
    <t>The company states that AED 1.8bn came in from three handovers after the balance sheet date. This tab tests that claim against the DLD register. Project status read 30 Aug 2026; transactions read 9 Sep 2026. Nothing here is an opinion - it is what the register does and does not record.</t>
  </si>
  <si>
    <t>1. Every Binghatti tower that could plausibly have handed over since 30 June</t>
  </si>
  <si>
    <t>Sold</t>
  </si>
  <si>
    <t>Contracted AED m</t>
  </si>
  <si>
    <t>Register status</t>
  </si>
  <si>
    <t>Ready sales since 30 Jun</t>
  </si>
  <si>
    <t>Mortgages since 30 Jun</t>
  </si>
  <si>
    <t>Gross escrow release if complete</t>
  </si>
  <si>
    <t>Already released at certified %</t>
  </si>
  <si>
    <t>Incremental cash on handover</t>
  </si>
  <si>
    <t>What the register shows</t>
  </si>
  <si>
    <t>FINISHED</t>
  </si>
  <si>
    <t>ACTIVE</t>
  </si>
  <si>
    <t>Mercedes-Benz Places</t>
  </si>
  <si>
    <t>Handed over BEFORE the balance sheet date - its escrow release is already inside the 30 June cash</t>
  </si>
  <si>
    <t>CONFIRMED handover after 30 June. The only one.</t>
  </si>
  <si>
    <t>Past due since 31 March, 99% certified - the likeliest candidate, but the register has not marked it finished and no ready market has opened</t>
  </si>
  <si>
    <t>Past due since 31 March. No handover recorded, no ready market</t>
  </si>
  <si>
    <t>Past due since 30 June. No handover recorded</t>
  </si>
  <si>
    <t>Past due since 31 March. No handover recorded</t>
  </si>
  <si>
    <t>Not due until Dec 2026. Note the contracted value is almost exactly the AED 1.8bn claimed - worth ruling out as a coincidence</t>
  </si>
  <si>
    <t>2. Calibration: what a real handover looks like in the transaction register</t>
  </si>
  <si>
    <t>Ready (Existing Properties) sales registered per month. A tower that hands over starts trading on the secondary market within weeks, and mortgages follow.</t>
  </si>
  <si>
    <t>Mar</t>
  </si>
  <si>
    <t>Apr</t>
  </si>
  <si>
    <t>May</t>
  </si>
  <si>
    <t>Jun</t>
  </si>
  <si>
    <t>Jul</t>
  </si>
  <si>
    <t>Aug</t>
  </si>
  <si>
    <t>Sep (to 9th)</t>
  </si>
  <si>
    <t>Mortgages since May</t>
  </si>
  <si>
    <t>Binghatti Apex (completed 23 Apr)</t>
  </si>
  <si>
    <t>Binghatti Pinnacle (completed 30 Jul)</t>
  </si>
  <si>
    <t>Binghatti Ghost (99% certified)</t>
  </si>
  <si>
    <t>Grove / Haven / Starlight / Hillside</t>
  </si>
  <si>
    <t>Read it this way: Apex produced 14 ready sales within five weeks of handover and 46 mortgages since. Ghost is a larger tower at 99% certified; if it had handed over in July there would be a ready market by now. There is none, in any of the candidates.</t>
  </si>
  <si>
    <t>Double-counting warning</t>
  </si>
  <si>
    <t>Three towers of roughly AED 1.9bn contracted value releasing full escrow would produce about AED 1.8bn. So the claim is arithmetically plausible - but two of those three are still ACTIVE in the register with no ready market.</t>
  </si>
  <si>
    <t>3. What the register supports, and what it does not (AED m)</t>
  </si>
  <si>
    <t>Certified % of Pinnacle at 30 June 2026 - CHANGE ME</t>
  </si>
  <si>
    <t>Gross escrow release on completion, Pinnacle</t>
  </si>
  <si>
    <t xml:space="preserve">  less: released to the developer before 30 June at that certified %</t>
  </si>
  <si>
    <t>CASH ARRIVING AFTER 30 JUNE THAT THE REGISTER SUPPORTS</t>
  </si>
  <si>
    <t>Claimed by the company</t>
  </si>
  <si>
    <t>Unverified gap</t>
  </si>
  <si>
    <t>For reference: Ghost + Haven + Pinnacle at full escrow release</t>
  </si>
  <si>
    <t>The 15 June register reading, and it is not trustworthy: the same dump showed Apex at 45% two months after Apex had completed. If Pinnacle was in fact near completion at 30 June, more of its escrow had already been released and the figure in B28 falls. Try 80 to see the low end.</t>
  </si>
  <si>
    <t>Contracted value less the 5% RERA retention held for a year after completion.</t>
  </si>
  <si>
    <t>This is what feeds the Dashboard. Pinnacle is marked FINISHED so the Simulator no longer models it - counting it here is not double counting.</t>
  </si>
  <si>
    <t>Company statement reported in the Moody's August review. Not traceable to any filing, and not attributed to named towers.</t>
  </si>
  <si>
    <t>Three towers of roughly AED 1.9bn contracted value releasing full escrow would produce about AED 1.8bn, so the claim is arithmetically plausible. But Ghost and Haven are still ACTIVE in the register and show no ready market.</t>
  </si>
  <si>
    <t>Ghost, Grove, Haven, Starlight and Hillside remain live in the Simulator, which already models their escrow releasing forward. Adding their handover cash to the Dashboard as well would count it twice.</t>
  </si>
  <si>
    <t>4. What the answer is worth: the February 2027 sukuk under each assumption</t>
  </si>
  <si>
    <t>Cash counted as received since 30 June (AED m)</t>
  </si>
  <si>
    <t>Cash available at 28 Feb 2027</t>
  </si>
  <si>
    <t>Coverage on the cash test</t>
  </si>
  <si>
    <t>Verdict</t>
  </si>
  <si>
    <t>This single number decides the question. On the register's evidence the 9.625% sukuk due 28 February 2027 is not covered from modelled cash; on the company's unverified claim it is covered 1.6 times. Everything between those two lines is the gap between what Binghatti says it has collected and what the Dubai Land Department records show has been delivered.</t>
  </si>
  <si>
    <t>5. The one test that would settle it</t>
  </si>
  <si>
    <t>A handover shows up in the transaction register within weeks and cannot be hidden: units begin trading as Existing Properties and mortgages are registered against them. Apex produced 14 ready sales inside five weeks and 46 mortgages since. Watch Ghost, Grove and Haven in the daily refresh - the first ready sale in any of them is the confirmation that a handover has actually happened. As of 9 September there is not one.</t>
  </si>
  <si>
    <t>Change log</t>
  </si>
  <si>
    <t>Every change made to this workbook, what it was for, and how to reverse it. Added so that anyone opening the model can see what is original, what is ours, and what is the company's own claim.</t>
  </si>
  <si>
    <t>When</t>
  </si>
  <si>
    <t>What changed</t>
  </si>
  <si>
    <t>Why</t>
  </si>
  <si>
    <t>How to reverse it</t>
  </si>
  <si>
    <t>New tab: Handover check</t>
  </si>
  <si>
    <t>Added. Lists every Binghatti tower that could plausibly have handed over since 30 June 2026, with units, sold units, contracted value, certified progress, registered completion date, register status, and the ready-sale and mortgage counts since 30 June. Then a calibration block, the escrow arithmetic, and a sensitivity on the February sukuk.</t>
  </si>
  <si>
    <t>To test the company's statement that AED 1.8bn was received from three handovers after the balance sheet date. The statement is quoted in the Moody's August review and is not traceable to any filing.</t>
  </si>
  <si>
    <t>Delete the tab. Dashboard D5 will then show a reference error - put 0 back in it.</t>
  </si>
  <si>
    <t>Dashboard D5</t>
  </si>
  <si>
    <t>Was a blue input cell containing 0. Now contains ='Handover check'!B28, which evaluates to AED 293m.</t>
  </si>
  <si>
    <t>So the cash counted as received since the balance sheet date is traceable to named towers in the register rather than typed in. The figure is Binghatti Pinnacle only - the single tower confirmed complete after 30 June.</t>
  </si>
  <si>
    <t>Type any number over it. It is still an input cell; the link is a default, not a lock.</t>
  </si>
  <si>
    <t>Dashboard C5 and E5</t>
  </si>
  <si>
    <t>Note text replaced, explaining where D5 now comes from.</t>
  </si>
  <si>
    <t>So the tile reads correctly against the new source.</t>
  </si>
  <si>
    <t>Overwrite the text.</t>
  </si>
  <si>
    <t>Handover check B25</t>
  </si>
  <si>
    <t>New yellow input: Pinnacle's certified progress at 30 June, set to 30.46.</t>
  </si>
  <si>
    <t>It decides how much of Pinnacle's escrow had already been released before the balance sheet date, and therefore how much arrives after it. The 15 June register reading is unreliable, so this is deliberately a lever rather than a fact.</t>
  </si>
  <si>
    <t>Change the number. At 30.46 the verified cash is AED 293m; at 80 it is about AED 170m.</t>
  </si>
  <si>
    <t>The finding in one paragraph</t>
  </si>
  <si>
    <t>The company says AED 1.8bn came in from three handovers since June. The Dubai Land Department register records one tower completing after 30 June 2026: Binghatti Pinnacle, 178 units, completed 30 July, releasing AED 320m gross of which AED 28m had already been released during construction - so AED 293m of new cash. Binghatti Apex completed on 23 April, before the balance sheet date, so its release is already inside the 30 June cash and cannot be counted again. No third tower is recorded. The towers that would have to be the other two - Ghost, Grove and Haven, all past due since March and between 76% and 99% certified - are still ACTIVE in the register and, more tellingly, show no secondary market at all.</t>
  </si>
  <si>
    <t>Why the absence of a secondary market is evidence and not just a gap</t>
  </si>
  <si>
    <t>A handover cannot hide in the transaction register. Once a tower is delivered, owners begin selling as Existing Properties rather than off-plan, and banks register mortgages against the units. Apex, which we know completed on 23 April, produced 14 ready sales within five weeks and 46 mortgages since May. Through 9 September, Ghost, Grove, Haven, Starlight and Hillside have produced zero ready sales between them and one mortgage. Ghost is a larger building than Apex at 99% certified. If it had handed over in July there would be a market in it by now.</t>
  </si>
  <si>
    <t>Why it decides the February 2027 sukuk</t>
  </si>
  <si>
    <t>On the cash test, counting nothing since 30 June gives coverage of 0.64x and a shortfall of AED 655m. Counting the AED 293m the register supports gives 0.80x and AED 363m short. Counting the company's AED 1.8bn in full gives 1.62x and no shortfall at all. The claim is the difference between the sukuk being covered and not being covered, which is why it is worth this much work.</t>
  </si>
  <si>
    <t>One distinction to keep hold of</t>
  </si>
  <si>
    <t>Escrow release is not money earned. It is customer cash moving from restricted to unrestricted, and most of it was already sitting inside the AED 10.2bn escrow balance on the 30 June balance sheet. It still helps the sukuk, because the sukuk is repaid from unrestricted cash. But only the final instalment is genuinely new collection, and a claim of AED 1.8bn received should be read as reclassification rather than as AED 1.8bn of cash generation.</t>
  </si>
  <si>
    <t>What would settle it</t>
  </si>
  <si>
    <t>The first ready sale registered in Ghost, Grove or Haven. The site refreshes the register daily, so this will appear within a day of it happening. Until then the AED 1.8bn has no support in the public record.</t>
  </si>
  <si>
    <t>Sources: DLD project register read 15 June 2026 and 30 August 2026; DLD transactions register read to 9 September 2026; Binghatti Holding reviewed interim accounts 30 June 2026; Moody's rating action 11 August 2026. Limits: the 30 August extract covers 20 of 68 Binghatti projects, so a missing FINISHED flag is not proof; anything handed over since 30 August is not yet visible; the June API dump is demonstrably stale - it showed Apex at 45% two months after Apex completed.</t>
  </si>
  <si>
    <t>9.  THE AED 1.8 BN HANDOVER CLAIM — TESTED ON THE HANDOVER CHECK TAB</t>
  </si>
  <si>
    <t>Handover check</t>
  </si>
  <si>
    <t>Tests the AED 1.8 bn handover claim against the DLD register. Sets the figure in Dashboard D5.</t>
  </si>
  <si>
    <t>Every change made to this workbook, why, and how to reverse it.</t>
  </si>
  <si>
    <t>Check — the middle row against the live Dashboard</t>
  </si>
  <si>
    <t>Must be zero. Confirms the register-supported row reproduces what the Dashboard and Cash flow sheets actually report, rather than drifting as a hardcoded figure. An earlier version of this row added the gross escrow release instead of the net and overstated coverage; the row is now a formula.</t>
  </si>
  <si>
    <t>10.  REGISTER STALENESS — THE LARGEST SINGLE RISK TO THIS ANSWER</t>
  </si>
  <si>
    <t>The Change log records that the 15 June register dump is demonstrably stale: it showed Binghatti Apex at 45% certified two months after Apex had actually completed. That matters far beyond the handover question, because the Simulator reads certified progress straight from the register, and understated progress makes this model too pessimistic rather than too optimistic. Cost to complete is charged on the progress still to be earned, and at low certified levels that cost outweighs the extra escrow released, so a tower recorded at 30% when it is really at 45% is modelled as consuming more cash than it does.</t>
  </si>
  <si>
    <t>Live projects carrying the stale 15 June reading</t>
  </si>
  <si>
    <t>Of the 32 live projects. The other 18 were refreshed by the 30 August extract, which covers only 20 of the 68 projects on the register.</t>
  </si>
  <si>
    <t>Their share of the live project count</t>
  </si>
  <si>
    <t>Weight by contracted value rather than count for a fuller picture.</t>
  </si>
  <si>
    <t>Measured test: what happens if those 14 readings understate progress</t>
  </si>
  <si>
    <t>Certified points added to the 14 stale readings</t>
  </si>
  <si>
    <t>Feb-27 coverage</t>
  </si>
  <si>
    <t>Maturities short</t>
  </si>
  <si>
    <t>As the register stands — NOT covered</t>
  </si>
  <si>
    <t>Covered. The entire shortfall disappears.</t>
  </si>
  <si>
    <t>Covered with comfortable headroom</t>
  </si>
  <si>
    <t>How to reproduce, and why these three rows are typed rather than calculated</t>
  </si>
  <si>
    <t>The top row is live from the Dashboard. The other two were measured by adding 15 and then 30 certified points to the fourteen stale readings in Simulator column H, reading the result, and restoring the original figures. Holding all three live at once would need three parallel copies of the engine, so they are recorded as measured results rather than formulas. To repeat the test: add the points to Simulator H for the projects listed on the Projects tab with a 15 June last-read date, then undo.</t>
  </si>
  <si>
    <t>What this means for the conclusion</t>
  </si>
  <si>
    <t>This is a larger lever than the AED 1.8 bn handover claim. A fifteen-point understatement across fourteen towers is enough on its own to cover the February 2027 sukuk, and the Apex evidence shows the June dump was wrong by fifty-five points on at least one tower. The shortfall this workbook reports may therefore be an artefact of stale public data rather than a real funding gap. It cannot be resolved from the register as it stands: it needs either a refreshed extract covering all 68 projects, or progress figures from the issuer.</t>
  </si>
  <si>
    <t>THE SIX CAVEATS THAT MATTER MOST</t>
  </si>
  <si>
    <t>Handover check sensitivity table</t>
  </si>
  <si>
    <t>Section 4 rows were typed values and the middle row was wrong: it added the gross escrow release of 320 instead of the net 293, showing 0.82x and a 335 shortfall against the live model's 0.80x and 363. All twelve cells are now formulas off Cash flow E94 and C94, with the middle row keyed to B28. Verdicts are conditionals. A tie-out at B39 compares the middle row to the Dashboard and must read zero.</t>
  </si>
  <si>
    <t>A hardcoded sensitivity drifts from the model it is meant to summarise, and this one already had.</t>
  </si>
  <si>
    <t>Retype the values, though the tie-out at B39 will then stop reading zero.</t>
  </si>
  <si>
    <t>Cash flow section 9</t>
  </si>
  <si>
    <t>Replaced. My earlier version counted only the final 30% handover instalment and put Pinnacle's new cash at AED 96m. That understated it: escrow releases the whole collected amount as progress certifies, so moving Pinnacle from 30% to 100% releases most of the 70% collected during construction too. Section 9 is now a pointer to the Handover check tab, which is the authority at AED 293m.</t>
  </si>
  <si>
    <t>Two different figures for the same thing in one workbook. The Handover check method is correct; mine was not.</t>
  </si>
  <si>
    <t>Nothing to reverse; the tab carries the calculation.</t>
  </si>
  <si>
    <t>Cash flow section 10 (new)</t>
  </si>
  <si>
    <t>Added. Quantifies register staleness: counts the live towers still on the 15 June reading, and records a measured test adding 15 and 30 certified points to them.</t>
  </si>
  <si>
    <t>The Change log footnote flagged the June dump as stale. Testing it showed a fifteen-point understatement alone covers the February sukuk, which is a larger lever than the AED 1.8bn claim.</t>
  </si>
  <si>
    <t>Delete rows 124 to 140.</t>
  </si>
  <si>
    <t>Cover caveats</t>
  </si>
  <si>
    <t>Rebuilt as six caveats, with register staleness promoted to first. The section header and numbering were damaged by an insert and have been restored.</t>
  </si>
  <si>
    <t>Staleness is the largest single uncertainty and was not on the Cover at all.</t>
  </si>
  <si>
    <t>Delete row 65 and renumber.</t>
  </si>
  <si>
    <t>Ratings &amp; sources gaps</t>
  </si>
  <si>
    <t>Added a register-staleness entry, and rewrote the AED 1.8bn entry to quote the Handover check result live.</t>
  </si>
  <si>
    <t>The gap list is the provenance record and did not carry either finding.</t>
  </si>
  <si>
    <t>Delete the rows.</t>
  </si>
  <si>
    <t>Workbook formatting</t>
  </si>
  <si>
    <t>Standardised across all 15 sheets: Arial only, font sizes limited to 9/10/11/12/16/18, navy title bands spanning each sheet's content width, section bands spanning full width, grey table headers, gridlines off, tab colours by function, dates as dd mmm yyyy, no cell left on General number format.</t>
  </si>
  <si>
    <t>Repeated inconsistencies were being found one at a time. An audit script now checks all of it in one pass.</t>
  </si>
  <si>
    <t>Formatting only; no figures affected.</t>
  </si>
  <si>
    <t>WHAT THE PUBLIC REGISTER CURRENTLY SUPPORTS — A CONDITIONAL FINDING, NOT A VERDICT</t>
  </si>
  <si>
    <t>THE THREE ASSUMPTIONS THAT EACH REVERSE THIS ON THEIR OWN</t>
  </si>
  <si>
    <t>Not three combined. Any one of them, moved alone within a range the evidence allows, covers every maturity and removes the shortfall entirely. None is a disclosed figure.</t>
  </si>
  <si>
    <t>Used here</t>
  </si>
  <si>
    <t>Reverses at</t>
  </si>
  <si>
    <t>Where it comes from, and what would settle it</t>
  </si>
  <si>
    <t>Register progress readings</t>
  </si>
  <si>
    <t>+15 points</t>
  </si>
  <si>
    <t>The June dump showed Binghatti Apex at 45% certified two months after it had completed. Understated progress makes this model too pessimistic. A refreshed extract covering all 68 projects settles it and costs nothing but time.</t>
  </si>
  <si>
    <t>Cost to complete</t>
  </si>
  <si>
    <t>Inferred from the reported gross margin of 44 to 45 per cent, not disclosed. Any real cost-to-complete data from the issuer replaces it.</t>
  </si>
  <si>
    <t>Cash received since 30 June</t>
  </si>
  <si>
    <t>AED 1,800 m as claimed</t>
  </si>
  <si>
    <t>The company's own figure, unsourced and untraceable to any filing. The register confirms one handover, not three. An investor relations enquiry settles it.</t>
  </si>
  <si>
    <t>Cover, Dashboard and Cash flow headlines</t>
  </si>
  <si>
    <t>Reframed from a verdict to a conditional finding. The Cover header now reads 'What the public register currently supports — a conditional finding, not a verdict', and a new box lists the three derived assumptions that each reverse the result on their own: register progress readings, cost to complete, and cash received since 30 June. The Dashboard and Cash flow verdict sentences carry the same qualification. Figures are unchanged.</t>
  </si>
  <si>
    <t>The conclusion is not robust: any one of three unverified inputs, moved alone within a plausible range, covers every maturity. Stating a AED 551m shortfall as a finding overstated the confidence the evidence supports.</t>
  </si>
  <si>
    <t>Restore the previous wording in Cover A13 and A14, delete rows 31 to 36, and revert the verdict formulas in Dashboard A9 and Cash flow A9.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</si>
</sst>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dd\ mmm\ yyyy"/>
    <numFmt numFmtId="165" formatCode="#,##0;\(#,##0\);\-"/>
    <numFmt numFmtId="166" formatCode="0.0\x;\(0.0&quot;x)&quot;;\-"/>
    <numFmt numFmtId="167" formatCode="mmm\ yyyy"/>
    <numFmt numFmtId="168" formatCode="#,##0.0;\(#,##0.0\);\-"/>
    <numFmt numFmtId="169" formatCode="0%;\(0%\);\-"/>
    <numFmt numFmtId="170" formatCode="0.0%;\(0.0%\);\-"/>
    <numFmt numFmtId="171" formatCode="mmm\ yy"/>
    <numFmt numFmtId="172" formatCode="#,##0.00;\(#,##0.00\);\-"/>
    <numFmt numFmtId="173" formatCode="0.00\x"/>
    <numFmt numFmtId="174" formatCode="0.0"/>
    <numFmt numFmtId="175" formatCode="0.0%"/>
    <numFmt numFmtId="176" formatCode="0.000000"/>
    <numFmt numFmtId="177" formatCode="0&quot; m delay&quot;"/>
    <numFmt numFmtId="178" formatCode="0&quot; m&quot;"/>
    <numFmt numFmtId="179" formatCode="0.000"/>
    <numFmt numFmtId="180" formatCode="0.000%"/>
    <numFmt numFmtId="181" formatCode="0;\(0\);\-"/>
    <numFmt numFmtId="182" formatCode="0.0000"/>
  </numFmts>
  <fonts count="48" x14ac:knownFonts="1">
    <font>
      <sz val="11"/>
      <color theme="1"/>
      <name val="Calibri"/>
      <family val="2"/>
      <charset val="1"/>
    </font>
    <font>
      <sz val="10"/>
      <name val="Arial"/>
      <family val="2"/>
    </font>
    <font>
      <sz val="10"/>
      <name val="Arial"/>
      <family val="2"/>
    </font>
    <font>
      <i/>
      <sz val="9"/>
      <color rgb="FF555555"/>
      <name val="Arial"/>
      <family val="2"/>
    </font>
    <font>
      <sz val="10"/>
      <color rgb="FF008000"/>
      <name val="Arial"/>
      <family val="2"/>
    </font>
    <font>
      <sz val="10"/>
      <color rgb="FF0000FF"/>
      <name val="Arial"/>
      <family val="2"/>
    </font>
    <font>
      <b/>
      <sz val="10"/>
      <name val="Arial"/>
      <family val="2"/>
    </font>
    <font>
      <b/>
      <sz val="10"/>
      <color rgb="FFFFFFFF"/>
      <name val="Arial"/>
      <family val="2"/>
    </font>
    <font>
      <u/>
      <sz val="10"/>
      <color rgb="FF0563C1"/>
      <name val="Arial"/>
      <family val="2"/>
    </font>
    <font>
      <sz val="10"/>
      <color rgb="FF000000"/>
      <name val="Arial"/>
      <family val="2"/>
    </font>
    <font>
      <sz val="10"/>
      <color rgb="FF000000"/>
      <name val="Tahoma"/>
      <family val="2"/>
    </font>
    <font>
      <b/>
      <sz val="10"/>
      <color rgb="FF000000"/>
      <name val="Tahoma"/>
      <family val="2"/>
    </font>
    <font>
      <sz val="11"/>
      <color theme="1"/>
      <name val="Arial"/>
      <family val="2"/>
    </font>
    <font>
      <sz val="10"/>
      <color theme="1"/>
      <name val="Arial"/>
      <family val="2"/>
    </font>
    <font>
      <sz val="10"/>
      <color rgb="FFFFFFFF"/>
      <name val="Arial"/>
      <family val="2"/>
    </font>
    <font>
      <b/>
      <sz val="18"/>
      <color rgb="FFFFFFFF"/>
      <name val="Arial"/>
      <family val="2"/>
    </font>
    <font>
      <sz val="11"/>
      <color rgb="FFFFFFFF"/>
      <name val="Arial"/>
      <family val="2"/>
    </font>
    <font>
      <b/>
      <sz val="10"/>
      <color theme="1"/>
      <name val="Arial"/>
      <family val="2"/>
    </font>
    <font>
      <b/>
      <sz val="10"/>
      <color rgb="FF1F3864"/>
      <name val="Arial"/>
      <family val="2"/>
    </font>
    <font>
      <b/>
      <sz val="11"/>
      <color rgb="FFFFFFFF"/>
      <name val="Arial"/>
      <family val="2"/>
    </font>
    <font>
      <b/>
      <sz val="10"/>
      <color rgb="FFE36C0A"/>
      <name val="Arial"/>
      <family val="2"/>
    </font>
    <font>
      <i/>
      <sz val="10"/>
      <color theme="1"/>
      <name val="Arial"/>
      <family val="2"/>
    </font>
    <font>
      <i/>
      <sz val="9"/>
      <color theme="1"/>
      <name val="Arial"/>
      <family val="2"/>
    </font>
    <font>
      <b/>
      <sz val="16"/>
      <color rgb="FFFFFFFF"/>
      <name val="Arial"/>
      <family val="2"/>
    </font>
    <font>
      <b/>
      <sz val="11"/>
      <color rgb="FF1F3864"/>
      <name val="Arial"/>
      <family val="2"/>
    </font>
    <font>
      <b/>
      <sz val="11"/>
      <color rgb="FFC55A11"/>
      <name val="Arial"/>
      <family val="2"/>
    </font>
    <font>
      <i/>
      <sz val="10"/>
      <color rgb="FF555555"/>
      <name val="Arial"/>
      <family val="2"/>
    </font>
    <font>
      <sz val="9"/>
      <color theme="1"/>
      <name val="Arial"/>
      <family val="2"/>
    </font>
    <font>
      <b/>
      <sz val="12"/>
      <color rgb="FFE36C0A"/>
      <name val="Arial"/>
      <family val="2"/>
    </font>
    <font>
      <b/>
      <sz val="12"/>
      <color rgb="FFFFFFFF"/>
      <name val="Arial"/>
      <family val="2"/>
    </font>
    <font>
      <b/>
      <sz val="9"/>
      <color rgb="FFFFFFFF"/>
      <name val="Arial"/>
      <family val="2"/>
    </font>
    <font>
      <b/>
      <sz val="11"/>
      <color theme="1"/>
      <name val="Arial"/>
      <family val="2"/>
    </font>
    <font>
      <i/>
      <sz val="9"/>
      <color rgb="FFC55A11"/>
      <name val="Arial"/>
      <family val="2"/>
    </font>
    <font>
      <i/>
      <sz val="10"/>
      <color rgb="FFFFFFFF"/>
      <name val="Arial"/>
      <family val="2"/>
    </font>
    <font>
      <b/>
      <i/>
      <sz val="10"/>
      <color rgb="FFFFFFFF"/>
      <name val="Arial"/>
      <family val="2"/>
    </font>
    <font>
      <b/>
      <i/>
      <sz val="11"/>
      <color rgb="FFFFFFFF"/>
      <name val="Arial"/>
      <family val="2"/>
    </font>
    <font>
      <b/>
      <i/>
      <sz val="9"/>
      <color rgb="FF555555"/>
      <name val="Arial"/>
      <family val="2"/>
    </font>
    <font>
      <b/>
      <sz val="9"/>
      <color rgb="FF1F3864"/>
      <name val="Arial"/>
      <family val="2"/>
    </font>
    <font>
      <i/>
      <sz val="10"/>
      <color rgb="FF000000"/>
      <name val="Arial"/>
      <family val="2"/>
    </font>
    <font>
      <sz val="9"/>
      <color rgb="FF555555"/>
      <name val="Arial"/>
      <family val="2"/>
    </font>
    <font>
      <b/>
      <sz val="10"/>
      <color rgb="FFC00000"/>
      <name val="Arial"/>
      <family val="2"/>
    </font>
    <font>
      <b/>
      <i/>
      <sz val="10"/>
      <color rgb="FFC00000"/>
      <name val="Arial"/>
      <family val="2"/>
    </font>
    <font>
      <i/>
      <sz val="10"/>
      <color rgb="FFC00000"/>
      <name val="Arial"/>
      <family val="2"/>
    </font>
    <font>
      <i/>
      <sz val="9"/>
      <color rgb="FFC00000"/>
      <name val="Arial"/>
      <family val="2"/>
    </font>
    <font>
      <b/>
      <sz val="12"/>
      <color rgb="FF1F3864"/>
      <name val="Arial"/>
      <family val="2"/>
    </font>
    <font>
      <b/>
      <sz val="10"/>
      <color rgb="FF0000FF"/>
      <name val="Arial"/>
      <family val="2"/>
    </font>
    <font>
      <b/>
      <i/>
      <sz val="10"/>
      <color rgb="FF1F3864"/>
      <name val="Arial"/>
      <family val="2"/>
    </font>
    <font>
      <b/>
      <sz val="10"/>
      <color rgb="FF008000"/>
      <name val="Arial"/>
      <family val="2"/>
    </font>
  </fonts>
  <fills count="17">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9E1F2"/>
        <bgColor rgb="FFF2F2F2"/>
      </patternFill>
    </fill>
    <fill>
      <patternFill patternType="solid">
        <fgColor rgb="FFF2F2F2"/>
        <bgColor rgb="FFFFFFFF"/>
      </patternFill>
    </fill>
    <fill>
      <patternFill patternType="solid">
        <fgColor rgb="FF1F3864"/>
        <bgColor indexed="64"/>
      </patternFill>
    </fill>
    <fill>
      <patternFill patternType="solid">
        <fgColor rgb="FF2E5C8A"/>
        <bgColor indexed="64"/>
      </patternFill>
    </fill>
    <fill>
      <patternFill patternType="solid">
        <fgColor rgb="FFF2F2F2"/>
        <bgColor indexed="64"/>
      </patternFill>
    </fill>
    <fill>
      <patternFill patternType="solid">
        <fgColor rgb="FFE36C0A"/>
        <bgColor indexed="64"/>
      </patternFill>
    </fill>
    <fill>
      <patternFill patternType="solid">
        <fgColor rgb="FFFDE9D9"/>
        <bgColor indexed="64"/>
      </patternFill>
    </fill>
    <fill>
      <patternFill patternType="solid">
        <fgColor rgb="FFFFF2CC"/>
        <bgColor indexed="64"/>
      </patternFill>
    </fill>
    <fill>
      <patternFill patternType="solid">
        <fgColor rgb="FFDCE6F1"/>
        <bgColor indexed="64"/>
      </patternFill>
    </fill>
    <fill>
      <patternFill patternType="solid">
        <fgColor rgb="FFFFFF00"/>
        <bgColor indexed="64"/>
      </patternFill>
    </fill>
    <fill>
      <patternFill patternType="solid">
        <fgColor rgb="FFF7F9FC"/>
        <bgColor indexed="64"/>
      </patternFill>
    </fill>
    <fill>
      <patternFill patternType="solid">
        <fgColor rgb="FFD6E2F2"/>
        <bgColor indexed="64"/>
      </patternFill>
    </fill>
    <fill>
      <patternFill patternType="solid">
        <fgColor rgb="FFFFE2E2"/>
        <bgColor indexed="64"/>
      </patternFill>
    </fill>
  </fills>
  <borders count="34">
    <border>
      <left/>
      <right/>
      <top/>
      <bottom/>
      <diagonal/>
    </border>
    <border>
      <left style="thin">
        <color rgb="FFBFBFBF"/>
      </left>
      <right style="thin">
        <color rgb="FFBFBFBF"/>
      </right>
      <top style="thin">
        <color rgb="FFBFBFBF"/>
      </top>
      <bottom style="thin">
        <color rgb="FFBFBFBF"/>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BFBFBF"/>
      </right>
      <top style="thin">
        <color rgb="FFBFBFBF"/>
      </top>
      <bottom style="thin">
        <color auto="1"/>
      </bottom>
      <diagonal/>
    </border>
    <border>
      <left style="thin">
        <color rgb="FFBFBFBF"/>
      </left>
      <right style="thin">
        <color rgb="FFBFBFBF"/>
      </right>
      <top style="thin">
        <color rgb="FFBFBFBF"/>
      </top>
      <bottom style="thin">
        <color auto="1"/>
      </bottom>
      <diagonal/>
    </border>
    <border>
      <left style="thin">
        <color rgb="FFBFBFBF"/>
      </left>
      <right style="thin">
        <color auto="1"/>
      </right>
      <top/>
      <bottom style="thin">
        <color rgb="FFBFBFBF"/>
      </bottom>
      <diagonal/>
    </border>
    <border>
      <left style="thin">
        <color rgb="FFBFBFBF"/>
      </left>
      <right style="thin">
        <color auto="1"/>
      </right>
      <top style="thin">
        <color rgb="FFBFBFBF"/>
      </top>
      <bottom style="thin">
        <color rgb="FFBFBFBF"/>
      </bottom>
      <diagonal/>
    </border>
    <border>
      <left style="thin">
        <color rgb="FFBFBFBF"/>
      </left>
      <right style="thin">
        <color auto="1"/>
      </right>
      <top style="thin">
        <color rgb="FFBFBFBF"/>
      </top>
      <bottom style="thin">
        <color auto="1"/>
      </bottom>
      <diagonal/>
    </border>
    <border>
      <left/>
      <right/>
      <top style="thin">
        <color rgb="FFD9D9D9"/>
      </top>
      <bottom style="thin">
        <color rgb="FFD9D9D9"/>
      </bottom>
      <diagonal/>
    </border>
    <border>
      <left style="thin">
        <color rgb="FFBFBFBF"/>
      </left>
      <right style="thin">
        <color rgb="FFD9D9D9"/>
      </right>
      <top style="thin">
        <color rgb="FFBFBFBF"/>
      </top>
      <bottom style="thin">
        <color rgb="FFD9D9D9"/>
      </bottom>
      <diagonal/>
    </border>
    <border>
      <left style="thin">
        <color rgb="FFD9D9D9"/>
      </left>
      <right style="thin">
        <color rgb="FFD9D9D9"/>
      </right>
      <top style="thin">
        <color rgb="FFBFBFBF"/>
      </top>
      <bottom style="thin">
        <color rgb="FFD9D9D9"/>
      </bottom>
      <diagonal/>
    </border>
    <border>
      <left style="thin">
        <color rgb="FFD9D9D9"/>
      </left>
      <right style="thin">
        <color rgb="FFBFBFBF"/>
      </right>
      <top style="thin">
        <color rgb="FFBFBFBF"/>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BFBFBF"/>
      </left>
      <right style="thin">
        <color rgb="FFD9D9D9"/>
      </right>
      <top style="thin">
        <color rgb="FFD9D9D9"/>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BFBFBF"/>
      </right>
      <top style="thin">
        <color rgb="FFD9D9D9"/>
      </top>
      <bottom style="thin">
        <color rgb="FFD9D9D9"/>
      </bottom>
      <diagonal/>
    </border>
    <border>
      <left style="thin">
        <color rgb="FFD9D9D9"/>
      </left>
      <right/>
      <top/>
      <bottom/>
      <diagonal/>
    </border>
    <border>
      <left/>
      <right/>
      <top/>
      <bottom style="thin">
        <color rgb="FFEDEDED"/>
      </bottom>
      <diagonal/>
    </border>
    <border>
      <left/>
      <right/>
      <top style="thin">
        <color rgb="FFEDEDED"/>
      </top>
      <bottom style="thin">
        <color rgb="FFEDEDED"/>
      </bottom>
      <diagonal/>
    </border>
    <border>
      <left/>
      <right/>
      <top style="thin">
        <color rgb="FFEDEDED"/>
      </top>
      <bottom/>
      <diagonal/>
    </border>
  </borders>
  <cellStyleXfs count="1">
    <xf numFmtId="0" fontId="0" fillId="0" borderId="0"/>
  </cellStyleXfs>
  <cellXfs count="443">
    <xf numFmtId="0" fontId="0" fillId="0" borderId="0" xfId="0"/>
    <xf numFmtId="0" fontId="3" fillId="0" borderId="0" xfId="0" applyFont="1" applyAlignment="1">
      <alignment vertical="top" wrapText="1"/>
    </xf>
    <xf numFmtId="0" fontId="2" fillId="0" borderId="0" xfId="0" applyFont="1"/>
    <xf numFmtId="0" fontId="3" fillId="0" borderId="0" xfId="0" applyFont="1"/>
    <xf numFmtId="164" fontId="4" fillId="0" borderId="0" xfId="0" applyNumberFormat="1" applyFont="1"/>
    <xf numFmtId="0" fontId="4" fillId="0" borderId="0" xfId="0" applyFont="1"/>
    <xf numFmtId="165" fontId="4" fillId="0" borderId="0" xfId="0" applyNumberFormat="1" applyFont="1"/>
    <xf numFmtId="165" fontId="5" fillId="2" borderId="0" xfId="0" applyNumberFormat="1" applyFont="1" applyFill="1"/>
    <xf numFmtId="0" fontId="6" fillId="0" borderId="0" xfId="0" applyFont="1"/>
    <xf numFmtId="0" fontId="5" fillId="0" borderId="0" xfId="0" applyFont="1"/>
    <xf numFmtId="0" fontId="7" fillId="3" borderId="1" xfId="0" applyFont="1" applyFill="1" applyBorder="1" applyAlignment="1">
      <alignment vertical="center" wrapText="1"/>
    </xf>
    <xf numFmtId="0" fontId="6" fillId="4" borderId="0" xfId="0" applyFont="1" applyFill="1"/>
    <xf numFmtId="165" fontId="4" fillId="4" borderId="0" xfId="0" applyNumberFormat="1" applyFont="1" applyFill="1"/>
    <xf numFmtId="165" fontId="2" fillId="4" borderId="0" xfId="0" applyNumberFormat="1" applyFont="1" applyFill="1"/>
    <xf numFmtId="0" fontId="2" fillId="4" borderId="0" xfId="0" applyFont="1" applyFill="1"/>
    <xf numFmtId="166" fontId="6" fillId="4" borderId="0" xfId="0" applyNumberFormat="1" applyFont="1" applyFill="1"/>
    <xf numFmtId="165" fontId="2" fillId="0" borderId="0" xfId="0" applyNumberFormat="1" applyFont="1"/>
    <xf numFmtId="166" fontId="6" fillId="0" borderId="0" xfId="0" applyNumberFormat="1" applyFont="1"/>
    <xf numFmtId="0" fontId="3" fillId="0" borderId="0" xfId="0" applyFont="1" applyAlignment="1">
      <alignment vertical="top" wrapText="1"/>
    </xf>
    <xf numFmtId="167" fontId="2" fillId="0" borderId="0" xfId="0" applyNumberFormat="1" applyFont="1"/>
    <xf numFmtId="168" fontId="4" fillId="0" borderId="0" xfId="0" applyNumberFormat="1" applyFont="1"/>
    <xf numFmtId="169" fontId="4" fillId="0" borderId="0" xfId="0" applyNumberFormat="1" applyFont="1"/>
    <xf numFmtId="170" fontId="4" fillId="0" borderId="0" xfId="0" applyNumberFormat="1" applyFont="1"/>
    <xf numFmtId="165" fontId="5" fillId="0" borderId="0" xfId="0" applyNumberFormat="1" applyFont="1"/>
    <xf numFmtId="164" fontId="5" fillId="2" borderId="0" xfId="0" applyNumberFormat="1" applyFont="1" applyFill="1"/>
    <xf numFmtId="172" fontId="5" fillId="2" borderId="0" xfId="0" applyNumberFormat="1" applyFont="1" applyFill="1"/>
    <xf numFmtId="170" fontId="5" fillId="2" borderId="0" xfId="0" applyNumberFormat="1" applyFont="1" applyFill="1"/>
    <xf numFmtId="0" fontId="9" fillId="0" borderId="0" xfId="0" applyFont="1"/>
    <xf numFmtId="0" fontId="12" fillId="0" borderId="0" xfId="0" applyFont="1"/>
    <xf numFmtId="0" fontId="13" fillId="0" borderId="0" xfId="0" applyFont="1"/>
    <xf numFmtId="0" fontId="7" fillId="6" borderId="0" xfId="0" applyFont="1" applyFill="1"/>
    <xf numFmtId="0" fontId="17" fillId="0" borderId="0" xfId="0" applyFont="1"/>
    <xf numFmtId="0" fontId="17" fillId="8" borderId="0" xfId="0" applyFont="1" applyFill="1"/>
    <xf numFmtId="0" fontId="13" fillId="8" borderId="0" xfId="0" applyFont="1" applyFill="1"/>
    <xf numFmtId="0" fontId="16" fillId="6" borderId="0" xfId="0" applyFont="1" applyFill="1" applyAlignment="1">
      <alignment vertical="top"/>
    </xf>
    <xf numFmtId="0" fontId="13" fillId="0" borderId="0" xfId="0" applyFont="1" applyAlignment="1">
      <alignment vertical="top"/>
    </xf>
    <xf numFmtId="0" fontId="18" fillId="0" borderId="0" xfId="0" applyFont="1" applyAlignment="1">
      <alignment vertical="top"/>
    </xf>
    <xf numFmtId="0" fontId="5" fillId="0" borderId="0" xfId="0" applyFont="1" applyAlignment="1">
      <alignment vertical="top"/>
    </xf>
    <xf numFmtId="164" fontId="4" fillId="0" borderId="0" xfId="0" applyNumberFormat="1" applyFont="1" applyAlignment="1">
      <alignment vertical="top"/>
    </xf>
    <xf numFmtId="0" fontId="4" fillId="0" borderId="0" xfId="0" applyFont="1" applyAlignment="1">
      <alignment vertical="top"/>
    </xf>
    <xf numFmtId="0" fontId="19" fillId="7" borderId="0" xfId="0" applyFont="1" applyFill="1" applyAlignment="1">
      <alignment vertical="top"/>
    </xf>
    <xf numFmtId="0" fontId="13" fillId="0" borderId="0" xfId="0" applyFont="1" applyAlignment="1">
      <alignment vertical="top" wrapText="1"/>
    </xf>
    <xf numFmtId="0" fontId="13" fillId="8" borderId="0" xfId="0" applyFont="1" applyFill="1" applyAlignment="1">
      <alignment vertical="top"/>
    </xf>
    <xf numFmtId="0" fontId="3" fillId="0" borderId="0" xfId="0" applyFont="1" applyAlignment="1">
      <alignment vertical="top"/>
    </xf>
    <xf numFmtId="0" fontId="18" fillId="8" borderId="0" xfId="0" applyFont="1" applyFill="1"/>
    <xf numFmtId="0" fontId="19" fillId="7" borderId="0" xfId="0" applyFont="1" applyFill="1" applyAlignment="1">
      <alignment vertical="top" wrapText="1"/>
    </xf>
    <xf numFmtId="0" fontId="18" fillId="8" borderId="2" xfId="0" applyFont="1" applyFill="1" applyBorder="1" applyAlignment="1">
      <alignment vertical="top" wrapText="1"/>
    </xf>
    <xf numFmtId="0" fontId="20" fillId="0" borderId="0" xfId="0" applyFont="1" applyAlignment="1">
      <alignment horizontal="center" vertical="top" wrapText="1"/>
    </xf>
    <xf numFmtId="0" fontId="18" fillId="0" borderId="0" xfId="0" applyFont="1" applyAlignment="1">
      <alignment vertical="top" wrapText="1"/>
    </xf>
    <xf numFmtId="0" fontId="4" fillId="0" borderId="0" xfId="0" applyFont="1" applyAlignment="1">
      <alignment horizontal="right" vertical="top" wrapText="1"/>
    </xf>
    <xf numFmtId="3" fontId="4" fillId="0" borderId="0" xfId="0" applyNumberFormat="1" applyFont="1" applyAlignment="1">
      <alignment horizontal="right" vertical="top" wrapText="1"/>
    </xf>
    <xf numFmtId="164" fontId="4" fillId="0" borderId="0" xfId="0" applyNumberFormat="1" applyFont="1" applyAlignment="1">
      <alignment horizontal="right" vertical="top" wrapText="1"/>
    </xf>
    <xf numFmtId="0" fontId="17" fillId="0" borderId="0" xfId="0" applyFont="1" applyAlignment="1">
      <alignment horizontal="center" vertical="top" wrapText="1"/>
    </xf>
    <xf numFmtId="0" fontId="18" fillId="10" borderId="0" xfId="0" applyFont="1" applyFill="1" applyAlignment="1">
      <alignment vertical="top" wrapText="1"/>
    </xf>
    <xf numFmtId="0" fontId="20" fillId="0" borderId="0" xfId="0" applyFont="1" applyAlignment="1">
      <alignment vertical="top" wrapText="1"/>
    </xf>
    <xf numFmtId="165" fontId="4" fillId="0" borderId="0" xfId="0" applyNumberFormat="1" applyFont="1" applyAlignment="1">
      <alignment horizontal="right" vertical="top" wrapText="1"/>
    </xf>
    <xf numFmtId="0" fontId="18" fillId="11" borderId="0" xfId="0" applyFont="1" applyFill="1" applyAlignment="1">
      <alignment vertical="top" wrapText="1"/>
    </xf>
    <xf numFmtId="0" fontId="20" fillId="11" borderId="0" xfId="0" applyFont="1" applyFill="1" applyAlignment="1">
      <alignment horizontal="center" vertical="top" wrapText="1"/>
    </xf>
    <xf numFmtId="0" fontId="13" fillId="11" borderId="0" xfId="0" applyFont="1" applyFill="1" applyAlignment="1">
      <alignment vertical="top" wrapText="1"/>
    </xf>
    <xf numFmtId="165" fontId="4" fillId="11" borderId="0" xfId="0" applyNumberFormat="1" applyFont="1" applyFill="1" applyAlignment="1">
      <alignment horizontal="right" vertical="top" wrapText="1"/>
    </xf>
    <xf numFmtId="49" fontId="4" fillId="0" borderId="0" xfId="0" applyNumberFormat="1" applyFont="1" applyAlignment="1">
      <alignment horizontal="right" vertical="top" wrapText="1"/>
    </xf>
    <xf numFmtId="173" fontId="4" fillId="0" borderId="0" xfId="0" applyNumberFormat="1" applyFont="1" applyAlignment="1">
      <alignment horizontal="right" vertical="top" wrapText="1"/>
    </xf>
    <xf numFmtId="0" fontId="17" fillId="8" borderId="0" xfId="0" applyFont="1" applyFill="1" applyAlignment="1">
      <alignment vertical="top" wrapText="1"/>
    </xf>
    <xf numFmtId="0" fontId="5" fillId="0" borderId="0" xfId="0" applyFont="1" applyAlignment="1">
      <alignment horizontal="right"/>
    </xf>
    <xf numFmtId="0" fontId="27" fillId="0" borderId="0" xfId="0" applyFont="1"/>
    <xf numFmtId="0" fontId="18" fillId="8" borderId="0" xfId="0" applyFont="1" applyFill="1" applyAlignment="1">
      <alignment vertical="top"/>
    </xf>
    <xf numFmtId="0" fontId="17" fillId="0" borderId="0" xfId="0" applyFont="1" applyAlignment="1">
      <alignment vertical="top" wrapText="1"/>
    </xf>
    <xf numFmtId="175" fontId="4" fillId="0" borderId="0" xfId="0" applyNumberFormat="1" applyFont="1" applyAlignment="1">
      <alignment horizontal="right" vertical="top"/>
    </xf>
    <xf numFmtId="174" fontId="4" fillId="0" borderId="0" xfId="0" applyNumberFormat="1" applyFont="1" applyAlignment="1">
      <alignment horizontal="right" vertical="top"/>
    </xf>
    <xf numFmtId="1" fontId="4" fillId="0" borderId="0" xfId="0" applyNumberFormat="1" applyFont="1" applyAlignment="1">
      <alignment horizontal="right" vertical="top"/>
    </xf>
    <xf numFmtId="164" fontId="4" fillId="0" borderId="0" xfId="0" applyNumberFormat="1" applyFont="1" applyAlignment="1">
      <alignment horizontal="right" vertical="top"/>
    </xf>
    <xf numFmtId="1" fontId="5" fillId="0" borderId="0" xfId="0" applyNumberFormat="1" applyFont="1" applyAlignment="1">
      <alignment horizontal="right" vertical="top"/>
    </xf>
    <xf numFmtId="165" fontId="4" fillId="0" borderId="0" xfId="0" applyNumberFormat="1" applyFont="1" applyAlignment="1">
      <alignment horizontal="right" vertical="top"/>
    </xf>
    <xf numFmtId="0" fontId="7" fillId="6" borderId="0" xfId="0" applyFont="1" applyFill="1" applyAlignment="1">
      <alignment vertical="top" wrapText="1"/>
    </xf>
    <xf numFmtId="9" fontId="7" fillId="6" borderId="0" xfId="0" applyNumberFormat="1" applyFont="1" applyFill="1" applyAlignment="1">
      <alignment horizontal="center" vertical="top"/>
    </xf>
    <xf numFmtId="1" fontId="7" fillId="6" borderId="0" xfId="0" applyNumberFormat="1" applyFont="1" applyFill="1" applyAlignment="1">
      <alignment horizontal="center" vertical="top"/>
    </xf>
    <xf numFmtId="0" fontId="13" fillId="9" borderId="0" xfId="0" applyFont="1" applyFill="1" applyAlignment="1">
      <alignment vertical="top"/>
    </xf>
    <xf numFmtId="0" fontId="22" fillId="0" borderId="0" xfId="0" applyFont="1" applyAlignment="1">
      <alignment vertical="top"/>
    </xf>
    <xf numFmtId="0" fontId="13" fillId="10" borderId="0" xfId="0" applyFont="1" applyFill="1" applyAlignment="1">
      <alignment vertical="top"/>
    </xf>
    <xf numFmtId="0" fontId="13" fillId="12" borderId="0" xfId="0" applyFont="1" applyFill="1" applyAlignment="1">
      <alignment vertical="top"/>
    </xf>
    <xf numFmtId="174" fontId="28" fillId="8" borderId="0" xfId="0" applyNumberFormat="1" applyFont="1" applyFill="1" applyAlignment="1">
      <alignment horizontal="right" vertical="top"/>
    </xf>
    <xf numFmtId="176" fontId="13" fillId="0" borderId="0" xfId="0" applyNumberFormat="1" applyFont="1" applyAlignment="1">
      <alignment horizontal="right" vertical="top"/>
    </xf>
    <xf numFmtId="1" fontId="13" fillId="0" borderId="0" xfId="0" applyNumberFormat="1" applyFont="1" applyAlignment="1">
      <alignment horizontal="right" vertical="top"/>
    </xf>
    <xf numFmtId="177" fontId="18" fillId="8" borderId="2" xfId="0" applyNumberFormat="1" applyFont="1" applyFill="1" applyBorder="1" applyAlignment="1">
      <alignment horizontal="center" vertical="top" wrapText="1"/>
    </xf>
    <xf numFmtId="178" fontId="18" fillId="8" borderId="2" xfId="0" applyNumberFormat="1" applyFont="1" applyFill="1" applyBorder="1" applyAlignment="1">
      <alignment horizontal="center" vertical="top" wrapText="1"/>
    </xf>
    <xf numFmtId="168" fontId="13" fillId="0" borderId="0" xfId="0" applyNumberFormat="1" applyFont="1" applyAlignment="1">
      <alignment vertical="top"/>
    </xf>
    <xf numFmtId="179" fontId="13" fillId="0" borderId="0" xfId="0" applyNumberFormat="1" applyFont="1" applyAlignment="1">
      <alignment vertical="top"/>
    </xf>
    <xf numFmtId="0" fontId="17" fillId="0" borderId="4" xfId="0" applyFont="1" applyBorder="1" applyAlignment="1">
      <alignment vertical="top"/>
    </xf>
    <xf numFmtId="168" fontId="17" fillId="0" borderId="4" xfId="0" applyNumberFormat="1" applyFont="1" applyBorder="1" applyAlignment="1">
      <alignment vertical="top"/>
    </xf>
    <xf numFmtId="173" fontId="13" fillId="0" borderId="6" xfId="0" applyNumberFormat="1" applyFont="1" applyBorder="1" applyAlignment="1">
      <alignment horizontal="center" vertical="center"/>
    </xf>
    <xf numFmtId="173" fontId="13" fillId="0" borderId="7" xfId="0" applyNumberFormat="1" applyFont="1" applyBorder="1" applyAlignment="1">
      <alignment horizontal="center" vertical="center"/>
    </xf>
    <xf numFmtId="173" fontId="13" fillId="0" borderId="11" xfId="0" applyNumberFormat="1" applyFont="1" applyBorder="1" applyAlignment="1">
      <alignment horizontal="center" vertical="center"/>
    </xf>
    <xf numFmtId="173" fontId="13" fillId="0" borderId="8" xfId="0" applyNumberFormat="1" applyFont="1" applyBorder="1" applyAlignment="1">
      <alignment horizontal="center" vertical="center"/>
    </xf>
    <xf numFmtId="173" fontId="13" fillId="0" borderId="1" xfId="0" applyNumberFormat="1" applyFont="1" applyBorder="1" applyAlignment="1">
      <alignment horizontal="center" vertical="center"/>
    </xf>
    <xf numFmtId="173" fontId="13" fillId="0" borderId="12" xfId="0" applyNumberFormat="1" applyFont="1" applyBorder="1" applyAlignment="1">
      <alignment horizontal="center" vertical="center"/>
    </xf>
    <xf numFmtId="173" fontId="13" fillId="0" borderId="9" xfId="0" applyNumberFormat="1" applyFont="1" applyBorder="1" applyAlignment="1">
      <alignment horizontal="center" vertical="center"/>
    </xf>
    <xf numFmtId="173" fontId="13" fillId="0" borderId="10" xfId="0" applyNumberFormat="1" applyFont="1" applyBorder="1" applyAlignment="1">
      <alignment horizontal="center" vertical="center"/>
    </xf>
    <xf numFmtId="173" fontId="13" fillId="0" borderId="13" xfId="0" applyNumberFormat="1" applyFont="1" applyBorder="1" applyAlignment="1">
      <alignment horizontal="center" vertical="center"/>
    </xf>
    <xf numFmtId="0" fontId="1" fillId="0" borderId="0" xfId="0" applyFont="1"/>
    <xf numFmtId="0" fontId="29" fillId="7" borderId="0" xfId="0" applyFont="1" applyFill="1"/>
    <xf numFmtId="0" fontId="30" fillId="6" borderId="0" xfId="0" applyFont="1" applyFill="1" applyAlignment="1">
      <alignment horizontal="center" wrapText="1"/>
    </xf>
    <xf numFmtId="0" fontId="35" fillId="7" borderId="0" xfId="0" applyFont="1" applyFill="1" applyAlignment="1">
      <alignment vertical="top" wrapText="1"/>
    </xf>
    <xf numFmtId="0" fontId="13" fillId="0" borderId="0" xfId="0" applyFont="1" applyAlignment="1">
      <alignment vertical="top" wrapText="1"/>
    </xf>
    <xf numFmtId="0" fontId="36" fillId="8" borderId="0" xfId="0" applyFont="1" applyFill="1"/>
    <xf numFmtId="0" fontId="27" fillId="8" borderId="0" xfId="0" applyFont="1" applyFill="1"/>
    <xf numFmtId="0" fontId="37" fillId="0" borderId="2" xfId="0" applyFont="1" applyBorder="1" applyAlignment="1">
      <alignment wrapText="1"/>
    </xf>
    <xf numFmtId="173" fontId="27" fillId="0" borderId="0" xfId="0" applyNumberFormat="1" applyFont="1"/>
    <xf numFmtId="1" fontId="27" fillId="0" borderId="0" xfId="0" applyNumberFormat="1" applyFont="1"/>
    <xf numFmtId="171" fontId="27" fillId="0" borderId="0" xfId="0" applyNumberFormat="1" applyFont="1"/>
    <xf numFmtId="165" fontId="27" fillId="0" borderId="0" xfId="0" applyNumberFormat="1" applyFont="1"/>
    <xf numFmtId="0" fontId="3" fillId="0" borderId="0" xfId="0" applyFont="1" applyAlignment="1">
      <alignment horizontal="center" vertical="top" wrapText="1"/>
    </xf>
    <xf numFmtId="0" fontId="13" fillId="0" borderId="3" xfId="0" applyFont="1" applyBorder="1" applyAlignment="1">
      <alignment vertical="top" wrapText="1"/>
    </xf>
    <xf numFmtId="0" fontId="13" fillId="0" borderId="3" xfId="0" applyFont="1" applyBorder="1" applyAlignment="1">
      <alignment horizontal="left" vertical="top" wrapText="1"/>
    </xf>
    <xf numFmtId="0" fontId="13" fillId="0" borderId="0" xfId="0" applyFont="1" applyAlignment="1">
      <alignment horizontal="left" vertical="top" wrapText="1"/>
    </xf>
    <xf numFmtId="0" fontId="19" fillId="7" borderId="0" xfId="0" applyFont="1" applyFill="1" applyAlignment="1">
      <alignment horizontal="left" vertical="top" wrapText="1"/>
    </xf>
    <xf numFmtId="0" fontId="16" fillId="6" borderId="0" xfId="0" applyFont="1" applyFill="1" applyAlignment="1">
      <alignment vertical="top" wrapText="1"/>
    </xf>
    <xf numFmtId="0" fontId="14" fillId="6" borderId="0" xfId="0" applyFont="1" applyFill="1" applyAlignment="1">
      <alignment vertical="top" wrapText="1"/>
    </xf>
    <xf numFmtId="0" fontId="24" fillId="8" borderId="0" xfId="0" applyFont="1" applyFill="1" applyAlignment="1">
      <alignment vertical="top" wrapText="1"/>
    </xf>
    <xf numFmtId="0" fontId="18" fillId="8" borderId="2" xfId="0" applyFont="1" applyFill="1" applyBorder="1" applyAlignment="1">
      <alignment vertical="top" wrapText="1"/>
    </xf>
    <xf numFmtId="0" fontId="13" fillId="0" borderId="4" xfId="0" applyFont="1" applyBorder="1" applyAlignment="1">
      <alignment vertical="top" wrapText="1"/>
    </xf>
    <xf numFmtId="0" fontId="13" fillId="10" borderId="0" xfId="0" applyFont="1" applyFill="1" applyAlignment="1">
      <alignment vertical="top" wrapText="1"/>
    </xf>
    <xf numFmtId="1" fontId="4" fillId="0" borderId="0" xfId="0" applyNumberFormat="1" applyFont="1" applyAlignment="1">
      <alignment horizontal="center" vertical="top" wrapText="1"/>
    </xf>
    <xf numFmtId="175" fontId="4" fillId="0" borderId="0" xfId="0" applyNumberFormat="1" applyFont="1" applyAlignment="1">
      <alignment horizontal="center" vertical="top" wrapText="1"/>
    </xf>
    <xf numFmtId="1" fontId="4" fillId="0" borderId="0" xfId="0" applyNumberFormat="1" applyFont="1" applyAlignment="1">
      <alignment horizontal="right" vertical="top" wrapText="1"/>
    </xf>
    <xf numFmtId="0" fontId="25" fillId="10" borderId="0" xfId="0" applyFont="1" applyFill="1" applyAlignment="1">
      <alignment vertical="top" wrapText="1"/>
    </xf>
    <xf numFmtId="0" fontId="0" fillId="0" borderId="0" xfId="0" applyAlignment="1">
      <alignment vertical="top" wrapText="1"/>
    </xf>
    <xf numFmtId="0" fontId="38" fillId="0" borderId="0" xfId="0" applyFont="1" applyAlignment="1">
      <alignment horizontal="right"/>
    </xf>
    <xf numFmtId="0" fontId="3" fillId="0" borderId="0" xfId="0" applyFont="1" applyAlignment="1">
      <alignment vertical="center" wrapText="1"/>
    </xf>
    <xf numFmtId="0" fontId="13" fillId="0" borderId="0" xfId="0" applyFont="1" applyAlignment="1">
      <alignment vertical="center" wrapText="1"/>
    </xf>
    <xf numFmtId="0" fontId="19" fillId="7" borderId="0" xfId="0" applyFont="1" applyFill="1" applyAlignment="1">
      <alignment vertical="top" wrapText="1"/>
    </xf>
    <xf numFmtId="0" fontId="24" fillId="12" borderId="0" xfId="0" applyFont="1" applyFill="1" applyAlignment="1">
      <alignment vertical="center" wrapText="1"/>
    </xf>
    <xf numFmtId="0" fontId="32" fillId="10" borderId="0" xfId="0" applyFont="1" applyFill="1" applyAlignment="1">
      <alignment vertical="center" wrapText="1"/>
    </xf>
    <xf numFmtId="0" fontId="7" fillId="3" borderId="15" xfId="0" applyFont="1" applyFill="1" applyBorder="1" applyAlignment="1">
      <alignment vertical="center" wrapText="1"/>
    </xf>
    <xf numFmtId="0" fontId="7" fillId="3" borderId="16" xfId="0" applyFont="1" applyFill="1" applyBorder="1" applyAlignment="1">
      <alignment vertical="center" wrapText="1"/>
    </xf>
    <xf numFmtId="0" fontId="7" fillId="3" borderId="17" xfId="0" applyFont="1" applyFill="1" applyBorder="1" applyAlignment="1">
      <alignment vertical="center" wrapText="1"/>
    </xf>
    <xf numFmtId="0" fontId="2" fillId="0" borderId="18" xfId="0" applyFont="1" applyBorder="1"/>
    <xf numFmtId="165" fontId="5" fillId="0" borderId="19" xfId="0" applyNumberFormat="1" applyFont="1" applyBorder="1"/>
    <xf numFmtId="165" fontId="2" fillId="5" borderId="19" xfId="0" applyNumberFormat="1" applyFont="1" applyFill="1" applyBorder="1"/>
    <xf numFmtId="0" fontId="3" fillId="0" borderId="20" xfId="0" applyFont="1" applyBorder="1" applyAlignment="1">
      <alignment vertical="top" wrapText="1"/>
    </xf>
    <xf numFmtId="170" fontId="5" fillId="0" borderId="19" xfId="0" applyNumberFormat="1" applyFont="1" applyBorder="1"/>
    <xf numFmtId="170" fontId="2" fillId="5" borderId="19" xfId="0" applyNumberFormat="1" applyFont="1" applyFill="1" applyBorder="1"/>
    <xf numFmtId="0" fontId="2" fillId="0" borderId="21" xfId="0" applyFont="1" applyBorder="1"/>
    <xf numFmtId="168" fontId="5" fillId="0" borderId="22" xfId="0" applyNumberFormat="1" applyFont="1" applyBorder="1"/>
    <xf numFmtId="168" fontId="2" fillId="5" borderId="22" xfId="0" applyNumberFormat="1" applyFont="1" applyFill="1" applyBorder="1"/>
    <xf numFmtId="0" fontId="3" fillId="0" borderId="23" xfId="0" applyFont="1" applyBorder="1" applyAlignment="1">
      <alignment vertical="top" wrapText="1"/>
    </xf>
    <xf numFmtId="0" fontId="2" fillId="0" borderId="19" xfId="0" applyFont="1" applyBorder="1"/>
    <xf numFmtId="165" fontId="2" fillId="0" borderId="19" xfId="0" applyNumberFormat="1" applyFont="1" applyBorder="1"/>
    <xf numFmtId="164" fontId="2" fillId="0" borderId="19" xfId="0" applyNumberFormat="1" applyFont="1" applyBorder="1"/>
    <xf numFmtId="0" fontId="2" fillId="0" borderId="19" xfId="0" applyFont="1" applyBorder="1" applyAlignment="1">
      <alignment vertical="top" wrapText="1"/>
    </xf>
    <xf numFmtId="0" fontId="5" fillId="0" borderId="19" xfId="0" applyFont="1" applyBorder="1"/>
    <xf numFmtId="164" fontId="5" fillId="0" borderId="19" xfId="0" applyNumberFormat="1" applyFont="1" applyBorder="1"/>
    <xf numFmtId="0" fontId="6" fillId="0" borderId="18" xfId="0" applyFont="1" applyBorder="1"/>
    <xf numFmtId="165" fontId="6" fillId="0" borderId="19" xfId="0" applyNumberFormat="1" applyFont="1" applyBorder="1"/>
    <xf numFmtId="0" fontId="2" fillId="0" borderId="20" xfId="0" applyFont="1" applyBorder="1"/>
    <xf numFmtId="0" fontId="3" fillId="0" borderId="18" xfId="0" applyFont="1" applyBorder="1" applyAlignment="1">
      <alignment vertical="top" wrapText="1"/>
    </xf>
    <xf numFmtId="0" fontId="3" fillId="0" borderId="19" xfId="0" applyFont="1" applyBorder="1" applyAlignment="1">
      <alignment vertical="top" wrapText="1"/>
    </xf>
    <xf numFmtId="0" fontId="3" fillId="0" borderId="20" xfId="0" applyFont="1" applyBorder="1" applyAlignment="1">
      <alignment vertical="top" wrapText="1"/>
    </xf>
    <xf numFmtId="0" fontId="3" fillId="0" borderId="19" xfId="0" applyFont="1" applyBorder="1"/>
    <xf numFmtId="0" fontId="7" fillId="3" borderId="24" xfId="0" applyFont="1" applyFill="1" applyBorder="1" applyAlignment="1">
      <alignment vertical="center" wrapText="1"/>
    </xf>
    <xf numFmtId="0" fontId="7" fillId="3" borderId="19" xfId="0" applyFont="1" applyFill="1" applyBorder="1" applyAlignment="1">
      <alignment vertical="center" wrapText="1"/>
    </xf>
    <xf numFmtId="166" fontId="5" fillId="0" borderId="19" xfId="0" applyNumberFormat="1" applyFont="1" applyBorder="1"/>
    <xf numFmtId="166" fontId="4" fillId="0" borderId="19" xfId="0" applyNumberFormat="1" applyFont="1" applyBorder="1"/>
    <xf numFmtId="166" fontId="2" fillId="0" borderId="19" xfId="0" applyNumberFormat="1" applyFont="1" applyBorder="1"/>
    <xf numFmtId="0" fontId="3" fillId="0" borderId="19" xfId="0" applyFont="1" applyBorder="1" applyAlignment="1">
      <alignment vertical="top" wrapText="1"/>
    </xf>
    <xf numFmtId="166" fontId="5" fillId="0" borderId="22" xfId="0" applyNumberFormat="1" applyFont="1" applyBorder="1"/>
    <xf numFmtId="166" fontId="4" fillId="0" borderId="22" xfId="0" applyNumberFormat="1" applyFont="1" applyBorder="1"/>
    <xf numFmtId="166" fontId="2" fillId="0" borderId="22" xfId="0" applyNumberFormat="1" applyFont="1" applyBorder="1"/>
    <xf numFmtId="0" fontId="3" fillId="0" borderId="22" xfId="0" applyFont="1" applyBorder="1" applyAlignment="1">
      <alignment vertical="top" wrapText="1"/>
    </xf>
    <xf numFmtId="0" fontId="2" fillId="0" borderId="22" xfId="0" applyFont="1" applyBorder="1"/>
    <xf numFmtId="0" fontId="2" fillId="0" borderId="23" xfId="0" applyFont="1" applyBorder="1"/>
    <xf numFmtId="165" fontId="5" fillId="2" borderId="19" xfId="0" applyNumberFormat="1" applyFont="1" applyFill="1" applyBorder="1"/>
    <xf numFmtId="0" fontId="3" fillId="0" borderId="18" xfId="0" applyFont="1" applyBorder="1"/>
    <xf numFmtId="0" fontId="3" fillId="0" borderId="20" xfId="0" applyFont="1" applyBorder="1"/>
    <xf numFmtId="170" fontId="2" fillId="0" borderId="19" xfId="0" applyNumberFormat="1" applyFont="1" applyBorder="1"/>
    <xf numFmtId="0" fontId="8" fillId="0" borderId="18" xfId="0" applyFont="1" applyBorder="1"/>
    <xf numFmtId="0" fontId="8" fillId="0" borderId="21" xfId="0" applyFont="1" applyBorder="1"/>
    <xf numFmtId="172" fontId="5" fillId="2" borderId="19" xfId="0" applyNumberFormat="1" applyFont="1" applyFill="1" applyBorder="1"/>
    <xf numFmtId="172" fontId="2" fillId="0" borderId="19" xfId="0" applyNumberFormat="1" applyFont="1" applyBorder="1"/>
    <xf numFmtId="168" fontId="2" fillId="0" borderId="19" xfId="0" applyNumberFormat="1" applyFont="1" applyBorder="1"/>
    <xf numFmtId="0" fontId="3" fillId="0" borderId="21" xfId="0" applyFont="1" applyBorder="1" applyAlignment="1">
      <alignment vertical="top" wrapText="1"/>
    </xf>
    <xf numFmtId="0" fontId="3" fillId="0" borderId="22" xfId="0" applyFont="1" applyBorder="1" applyAlignment="1">
      <alignment vertical="top" wrapText="1"/>
    </xf>
    <xf numFmtId="0" fontId="3" fillId="0" borderId="23" xfId="0" applyFont="1" applyBorder="1" applyAlignment="1">
      <alignment vertical="top" wrapText="1"/>
    </xf>
    <xf numFmtId="0" fontId="2" fillId="0" borderId="27" xfId="0" applyFont="1" applyBorder="1"/>
    <xf numFmtId="0" fontId="2" fillId="0" borderId="28" xfId="0" applyFont="1" applyBorder="1"/>
    <xf numFmtId="0" fontId="7" fillId="3" borderId="29" xfId="0" applyFont="1" applyFill="1" applyBorder="1" applyAlignment="1">
      <alignment vertical="center" wrapText="1"/>
    </xf>
    <xf numFmtId="0" fontId="2" fillId="0" borderId="20" xfId="0" applyFont="1" applyBorder="1" applyAlignment="1">
      <alignment vertical="top" wrapText="1"/>
    </xf>
    <xf numFmtId="0" fontId="8" fillId="0" borderId="19" xfId="0" applyFont="1" applyBorder="1"/>
    <xf numFmtId="164" fontId="2" fillId="0" borderId="20" xfId="0" applyNumberFormat="1" applyFont="1" applyBorder="1"/>
    <xf numFmtId="0" fontId="6" fillId="0" borderId="22" xfId="0" applyFont="1" applyBorder="1"/>
    <xf numFmtId="165" fontId="6" fillId="4" borderId="22" xfId="0" applyNumberFormat="1" applyFont="1" applyFill="1" applyBorder="1"/>
    <xf numFmtId="168" fontId="6" fillId="4" borderId="22" xfId="0" applyNumberFormat="1" applyFont="1" applyFill="1" applyBorder="1"/>
    <xf numFmtId="168" fontId="5" fillId="0" borderId="19" xfId="0" applyNumberFormat="1" applyFont="1" applyBorder="1"/>
    <xf numFmtId="169" fontId="2" fillId="0" borderId="19" xfId="0" applyNumberFormat="1" applyFont="1" applyBorder="1"/>
    <xf numFmtId="165" fontId="2" fillId="0" borderId="20" xfId="0" applyNumberFormat="1" applyFont="1" applyBorder="1"/>
    <xf numFmtId="0" fontId="6" fillId="0" borderId="19" xfId="0" applyFont="1" applyBorder="1"/>
    <xf numFmtId="165" fontId="6" fillId="4" borderId="19" xfId="0" applyNumberFormat="1" applyFont="1" applyFill="1" applyBorder="1"/>
    <xf numFmtId="165" fontId="6" fillId="4" borderId="20" xfId="0" applyNumberFormat="1" applyFont="1" applyFill="1" applyBorder="1"/>
    <xf numFmtId="0" fontId="3" fillId="0" borderId="28" xfId="0" applyFont="1" applyBorder="1"/>
    <xf numFmtId="171" fontId="7" fillId="3" borderId="18" xfId="0" applyNumberFormat="1" applyFont="1" applyFill="1" applyBorder="1" applyAlignment="1">
      <alignment horizontal="center"/>
    </xf>
    <xf numFmtId="171" fontId="7" fillId="3" borderId="19" xfId="0" applyNumberFormat="1" applyFont="1" applyFill="1" applyBorder="1" applyAlignment="1">
      <alignment horizontal="center"/>
    </xf>
    <xf numFmtId="171" fontId="7" fillId="3" borderId="20" xfId="0" applyNumberFormat="1" applyFont="1" applyFill="1" applyBorder="1" applyAlignment="1">
      <alignment horizontal="center"/>
    </xf>
    <xf numFmtId="165" fontId="2" fillId="0" borderId="18" xfId="0" applyNumberFormat="1" applyFont="1" applyBorder="1"/>
    <xf numFmtId="165" fontId="6" fillId="4" borderId="18" xfId="0" applyNumberFormat="1" applyFont="1" applyFill="1" applyBorder="1"/>
    <xf numFmtId="165" fontId="2" fillId="0" borderId="21" xfId="0" applyNumberFormat="1" applyFont="1" applyBorder="1"/>
    <xf numFmtId="165" fontId="2" fillId="0" borderId="22" xfId="0" applyNumberFormat="1" applyFont="1" applyBorder="1"/>
    <xf numFmtId="165" fontId="2" fillId="0" borderId="23" xfId="0" applyNumberFormat="1" applyFont="1" applyBorder="1"/>
    <xf numFmtId="172" fontId="3" fillId="0" borderId="20" xfId="0" applyNumberFormat="1" applyFont="1" applyBorder="1"/>
    <xf numFmtId="0" fontId="5" fillId="0" borderId="0" xfId="0" applyFont="1"/>
    <xf numFmtId="0" fontId="4" fillId="0" borderId="0" xfId="0" applyFont="1"/>
    <xf numFmtId="0" fontId="5" fillId="13" borderId="0" xfId="0" applyFont="1" applyFill="1" applyAlignment="1">
      <alignment horizontal="right"/>
    </xf>
    <xf numFmtId="175" fontId="5" fillId="13" borderId="0" xfId="0" applyNumberFormat="1" applyFont="1" applyFill="1" applyAlignment="1">
      <alignment horizontal="right"/>
    </xf>
    <xf numFmtId="175" fontId="5" fillId="0" borderId="0" xfId="0" applyNumberFormat="1" applyFont="1" applyAlignment="1">
      <alignment horizontal="right"/>
    </xf>
    <xf numFmtId="0" fontId="9" fillId="0" borderId="0" xfId="0" applyFont="1" applyAlignment="1">
      <alignment horizontal="right"/>
    </xf>
    <xf numFmtId="175" fontId="9" fillId="0" borderId="0" xfId="0" applyNumberFormat="1" applyFont="1" applyAlignment="1">
      <alignment horizontal="right"/>
    </xf>
    <xf numFmtId="0" fontId="1" fillId="0" borderId="0" xfId="0" applyFont="1" applyFill="1" applyBorder="1"/>
    <xf numFmtId="175" fontId="5" fillId="13" borderId="0" xfId="0" applyNumberFormat="1" applyFont="1" applyFill="1" applyBorder="1" applyAlignment="1">
      <alignment horizontal="right"/>
    </xf>
    <xf numFmtId="175" fontId="5" fillId="0" borderId="0" xfId="0" applyNumberFormat="1" applyFont="1" applyFill="1" applyBorder="1" applyAlignment="1">
      <alignment horizontal="right"/>
    </xf>
    <xf numFmtId="175" fontId="9" fillId="5" borderId="0" xfId="0" applyNumberFormat="1" applyFont="1" applyFill="1" applyBorder="1" applyAlignment="1">
      <alignment horizontal="right"/>
    </xf>
    <xf numFmtId="0" fontId="26" fillId="0" borderId="0" xfId="0" applyFont="1" applyFill="1" applyBorder="1" applyAlignment="1">
      <alignment vertical="top" wrapText="1"/>
    </xf>
    <xf numFmtId="10" fontId="5" fillId="13" borderId="0" xfId="0" applyNumberFormat="1" applyFont="1" applyFill="1" applyAlignment="1">
      <alignment horizontal="right"/>
    </xf>
    <xf numFmtId="10" fontId="5" fillId="0" borderId="0" xfId="0" applyNumberFormat="1" applyFont="1" applyAlignment="1">
      <alignment horizontal="right"/>
    </xf>
    <xf numFmtId="10" fontId="9" fillId="0" borderId="0" xfId="0" applyNumberFormat="1" applyFont="1" applyAlignment="1">
      <alignment horizontal="right"/>
    </xf>
    <xf numFmtId="0" fontId="18" fillId="8" borderId="0" xfId="0" applyFont="1" applyFill="1" applyAlignment="1">
      <alignment horizontal="right"/>
    </xf>
    <xf numFmtId="0" fontId="7" fillId="6" borderId="0" xfId="0" applyFont="1" applyFill="1" applyAlignment="1">
      <alignment horizontal="right"/>
    </xf>
    <xf numFmtId="0" fontId="29" fillId="9" borderId="0" xfId="0" applyFont="1" applyFill="1"/>
    <xf numFmtId="0" fontId="1" fillId="0" borderId="18" xfId="0" applyFont="1" applyBorder="1"/>
    <xf numFmtId="165" fontId="1" fillId="0" borderId="19" xfId="0" applyNumberFormat="1" applyFont="1" applyBorder="1" applyAlignment="1">
      <alignment horizontal="right"/>
    </xf>
    <xf numFmtId="0" fontId="26" fillId="0" borderId="20" xfId="0" applyFont="1" applyBorder="1" applyAlignment="1">
      <alignment wrapText="1"/>
    </xf>
    <xf numFmtId="0" fontId="6" fillId="0" borderId="26" xfId="0" applyFont="1" applyBorder="1"/>
    <xf numFmtId="0" fontId="18" fillId="8" borderId="18" xfId="0" applyFont="1" applyFill="1" applyBorder="1"/>
    <xf numFmtId="0" fontId="18" fillId="8" borderId="19" xfId="0" applyFont="1" applyFill="1" applyBorder="1" applyAlignment="1">
      <alignment horizontal="right"/>
    </xf>
    <xf numFmtId="0" fontId="18" fillId="8" borderId="20" xfId="0" applyFont="1" applyFill="1" applyBorder="1" applyAlignment="1">
      <alignment horizontal="right" wrapText="1"/>
    </xf>
    <xf numFmtId="0" fontId="13" fillId="0" borderId="18" xfId="0" applyFont="1" applyBorder="1"/>
    <xf numFmtId="165" fontId="13" fillId="0" borderId="19" xfId="0" applyNumberFormat="1" applyFont="1" applyBorder="1" applyAlignment="1">
      <alignment horizontal="right"/>
    </xf>
    <xf numFmtId="0" fontId="13" fillId="0" borderId="20" xfId="0" applyFont="1" applyBorder="1" applyAlignment="1">
      <alignment wrapText="1"/>
    </xf>
    <xf numFmtId="0" fontId="17" fillId="0" borderId="18" xfId="0" applyFont="1" applyBorder="1"/>
    <xf numFmtId="165" fontId="17" fillId="0" borderId="19" xfId="0" applyNumberFormat="1" applyFont="1" applyBorder="1" applyAlignment="1">
      <alignment horizontal="right"/>
    </xf>
    <xf numFmtId="175" fontId="13" fillId="0" borderId="19" xfId="0" applyNumberFormat="1" applyFont="1" applyBorder="1" applyAlignment="1">
      <alignment horizontal="right"/>
    </xf>
    <xf numFmtId="0" fontId="13" fillId="0" borderId="19" xfId="0" applyFont="1" applyBorder="1"/>
    <xf numFmtId="0" fontId="18" fillId="8" borderId="20" xfId="0" applyFont="1" applyFill="1" applyBorder="1" applyAlignment="1">
      <alignment wrapText="1"/>
    </xf>
    <xf numFmtId="0" fontId="42" fillId="0" borderId="20" xfId="0" applyFont="1" applyBorder="1" applyAlignment="1">
      <alignment wrapText="1"/>
    </xf>
    <xf numFmtId="0" fontId="18" fillId="0" borderId="18" xfId="0" applyFont="1" applyBorder="1"/>
    <xf numFmtId="172" fontId="17" fillId="0" borderId="19" xfId="0" applyNumberFormat="1" applyFont="1" applyBorder="1" applyAlignment="1">
      <alignment horizontal="right"/>
    </xf>
    <xf numFmtId="172" fontId="17" fillId="12" borderId="19" xfId="0" applyNumberFormat="1" applyFont="1" applyFill="1" applyBorder="1" applyAlignment="1">
      <alignment horizontal="right"/>
    </xf>
    <xf numFmtId="0" fontId="42" fillId="0" borderId="0" xfId="0" applyFont="1" applyAlignment="1">
      <alignment vertical="top" wrapText="1"/>
    </xf>
    <xf numFmtId="0" fontId="41" fillId="8" borderId="0" xfId="0" applyFont="1" applyFill="1" applyAlignment="1">
      <alignment vertical="top" wrapText="1"/>
    </xf>
    <xf numFmtId="0" fontId="42" fillId="0" borderId="14" xfId="0" applyFont="1" applyBorder="1" applyAlignment="1">
      <alignment vertical="top" wrapText="1"/>
    </xf>
    <xf numFmtId="0" fontId="1" fillId="0" borderId="0" xfId="0" applyFont="1" applyAlignment="1">
      <alignment vertical="top" wrapText="1"/>
    </xf>
    <xf numFmtId="0" fontId="5" fillId="0" borderId="0" xfId="0" applyFont="1" applyAlignment="1">
      <alignment horizontal="right" vertical="top" wrapText="1"/>
    </xf>
    <xf numFmtId="0" fontId="36" fillId="6" borderId="0" xfId="0" applyFont="1" applyFill="1" applyAlignment="1">
      <alignment horizontal="right"/>
    </xf>
    <xf numFmtId="165" fontId="29" fillId="9" borderId="0" xfId="0" applyNumberFormat="1" applyFont="1" applyFill="1" applyAlignment="1">
      <alignment horizontal="right"/>
    </xf>
    <xf numFmtId="1" fontId="17" fillId="8" borderId="0" xfId="0" applyNumberFormat="1" applyFont="1" applyFill="1" applyAlignment="1">
      <alignment horizontal="right"/>
    </xf>
    <xf numFmtId="165" fontId="17" fillId="8" borderId="0" xfId="0" applyNumberFormat="1" applyFont="1" applyFill="1" applyAlignment="1">
      <alignment horizontal="right"/>
    </xf>
    <xf numFmtId="0" fontId="7" fillId="6" borderId="1" xfId="0" applyFont="1" applyFill="1" applyBorder="1" applyAlignment="1">
      <alignment horizontal="right"/>
    </xf>
    <xf numFmtId="165" fontId="7" fillId="7" borderId="1" xfId="0" applyNumberFormat="1" applyFont="1" applyFill="1" applyBorder="1" applyAlignment="1">
      <alignment horizontal="right"/>
    </xf>
    <xf numFmtId="10" fontId="7" fillId="7" borderId="1" xfId="0" applyNumberFormat="1" applyFont="1" applyFill="1" applyBorder="1" applyAlignment="1">
      <alignment horizontal="right"/>
    </xf>
    <xf numFmtId="0" fontId="7" fillId="6" borderId="1" xfId="0" applyFont="1" applyFill="1" applyBorder="1"/>
    <xf numFmtId="0" fontId="7" fillId="7" borderId="1" xfId="0" applyFont="1" applyFill="1" applyBorder="1"/>
    <xf numFmtId="0" fontId="29" fillId="9" borderId="0" xfId="0" applyFont="1" applyFill="1" applyAlignment="1">
      <alignment vertical="top" wrapText="1"/>
    </xf>
    <xf numFmtId="0" fontId="13" fillId="0" borderId="5" xfId="0" applyFont="1" applyBorder="1" applyAlignment="1">
      <alignment vertical="top" wrapText="1"/>
    </xf>
    <xf numFmtId="0" fontId="18" fillId="0" borderId="0" xfId="0" applyFont="1" applyAlignment="1">
      <alignment vertical="top" wrapText="1"/>
    </xf>
    <xf numFmtId="0" fontId="29" fillId="9" borderId="0" xfId="0" applyFont="1" applyFill="1" applyAlignment="1">
      <alignment wrapText="1"/>
    </xf>
    <xf numFmtId="10" fontId="4" fillId="0" borderId="0" xfId="0" applyNumberFormat="1" applyFont="1" applyAlignment="1">
      <alignment horizontal="center" vertical="top" wrapText="1"/>
    </xf>
    <xf numFmtId="2" fontId="4" fillId="0" borderId="0" xfId="0" applyNumberFormat="1" applyFont="1" applyAlignment="1">
      <alignment horizontal="right" vertical="top" wrapText="1"/>
    </xf>
    <xf numFmtId="165" fontId="44" fillId="12" borderId="0" xfId="0" applyNumberFormat="1" applyFont="1" applyFill="1" applyAlignment="1">
      <alignment horizontal="center"/>
    </xf>
    <xf numFmtId="1" fontId="44" fillId="12" borderId="0" xfId="0" applyNumberFormat="1" applyFont="1" applyFill="1" applyAlignment="1">
      <alignment horizontal="center"/>
    </xf>
    <xf numFmtId="0" fontId="44" fillId="12" borderId="0" xfId="0" applyNumberFormat="1" applyFont="1" applyFill="1" applyAlignment="1">
      <alignment horizontal="center"/>
    </xf>
    <xf numFmtId="173" fontId="29" fillId="9" borderId="0" xfId="0" applyNumberFormat="1" applyFont="1" applyFill="1" applyAlignment="1">
      <alignment horizontal="center"/>
    </xf>
    <xf numFmtId="165" fontId="29" fillId="9" borderId="0" xfId="0" applyNumberFormat="1" applyFont="1" applyFill="1" applyAlignment="1">
      <alignment horizontal="center"/>
    </xf>
    <xf numFmtId="0" fontId="6" fillId="0" borderId="0" xfId="0" applyFont="1" applyAlignment="1">
      <alignment vertical="top" wrapText="1"/>
    </xf>
    <xf numFmtId="165" fontId="39" fillId="0" borderId="0" xfId="0" applyNumberFormat="1" applyFont="1"/>
    <xf numFmtId="173" fontId="31" fillId="0" borderId="0" xfId="0" applyNumberFormat="1" applyFont="1" applyAlignment="1">
      <alignment horizontal="right"/>
    </xf>
    <xf numFmtId="173" fontId="17" fillId="0" borderId="19" xfId="0" applyNumberFormat="1" applyFont="1" applyBorder="1" applyAlignment="1">
      <alignment horizontal="right"/>
    </xf>
    <xf numFmtId="173" fontId="7" fillId="9" borderId="19" xfId="0" applyNumberFormat="1" applyFont="1" applyFill="1" applyBorder="1" applyAlignment="1">
      <alignment horizontal="right"/>
    </xf>
    <xf numFmtId="174" fontId="17" fillId="0" borderId="19" xfId="0" applyNumberFormat="1" applyFont="1" applyBorder="1" applyAlignment="1">
      <alignment horizontal="right"/>
    </xf>
    <xf numFmtId="0" fontId="18" fillId="8" borderId="19" xfId="0" applyFont="1" applyFill="1" applyBorder="1"/>
    <xf numFmtId="0" fontId="9" fillId="0" borderId="19" xfId="0" applyFont="1" applyBorder="1"/>
    <xf numFmtId="0" fontId="19" fillId="9" borderId="0" xfId="0" applyFont="1" applyFill="1" applyAlignment="1">
      <alignment vertical="top" wrapText="1"/>
    </xf>
    <xf numFmtId="0" fontId="9" fillId="0" borderId="0" xfId="0" applyFont="1" applyAlignment="1">
      <alignment vertical="top" wrapText="1"/>
    </xf>
    <xf numFmtId="0" fontId="3" fillId="0" borderId="30" xfId="0" applyFont="1" applyBorder="1" applyAlignment="1">
      <alignment vertical="center" wrapText="1"/>
    </xf>
    <xf numFmtId="0" fontId="3" fillId="0" borderId="0" xfId="0" applyFont="1" applyBorder="1" applyAlignment="1">
      <alignment vertical="center" wrapText="1"/>
    </xf>
    <xf numFmtId="0" fontId="3" fillId="0" borderId="19" xfId="0" applyFont="1" applyBorder="1" applyAlignment="1">
      <alignment vertical="center" wrapText="1"/>
    </xf>
    <xf numFmtId="0" fontId="18" fillId="8" borderId="19" xfId="0" applyFont="1" applyFill="1" applyBorder="1" applyAlignment="1">
      <alignment vertical="center" wrapText="1"/>
    </xf>
    <xf numFmtId="167" fontId="17" fillId="8" borderId="0" xfId="0" applyNumberFormat="1" applyFont="1" applyFill="1" applyAlignment="1">
      <alignment horizontal="right"/>
    </xf>
    <xf numFmtId="165" fontId="12" fillId="0" borderId="0" xfId="0" applyNumberFormat="1" applyFont="1" applyAlignment="1">
      <alignment horizontal="right"/>
    </xf>
    <xf numFmtId="1" fontId="12" fillId="0" borderId="0" xfId="0" applyNumberFormat="1" applyFont="1" applyAlignment="1">
      <alignment horizontal="right"/>
    </xf>
    <xf numFmtId="0" fontId="12" fillId="0" borderId="0" xfId="0" applyFont="1" applyAlignment="1">
      <alignment vertical="top" wrapText="1"/>
    </xf>
    <xf numFmtId="0" fontId="12" fillId="7" borderId="1" xfId="0" applyFont="1" applyFill="1" applyBorder="1"/>
    <xf numFmtId="0" fontId="12" fillId="0" borderId="0" xfId="0" applyFont="1" applyAlignment="1">
      <alignment vertical="top" wrapText="1"/>
    </xf>
    <xf numFmtId="0" fontId="36" fillId="0" borderId="0" xfId="0" applyFont="1" applyFill="1" applyBorder="1" applyAlignment="1"/>
    <xf numFmtId="164" fontId="4" fillId="0" borderId="19" xfId="0" applyNumberFormat="1" applyFont="1" applyBorder="1" applyAlignment="1">
      <alignment horizontal="right"/>
    </xf>
    <xf numFmtId="165" fontId="4" fillId="0" borderId="19" xfId="0" applyNumberFormat="1" applyFont="1" applyBorder="1" applyAlignment="1">
      <alignment horizontal="right"/>
    </xf>
    <xf numFmtId="175" fontId="4" fillId="0" borderId="19" xfId="0" applyNumberFormat="1" applyFont="1" applyBorder="1" applyAlignment="1">
      <alignment horizontal="right"/>
    </xf>
    <xf numFmtId="0" fontId="45" fillId="13" borderId="19" xfId="0" applyFont="1" applyFill="1" applyBorder="1" applyAlignment="1">
      <alignment horizontal="right"/>
    </xf>
    <xf numFmtId="0" fontId="4" fillId="0" borderId="19" xfId="0" applyFont="1" applyBorder="1" applyAlignment="1">
      <alignment horizontal="right"/>
    </xf>
    <xf numFmtId="10" fontId="4" fillId="0" borderId="19" xfId="0" applyNumberFormat="1" applyFont="1" applyBorder="1" applyAlignment="1">
      <alignment horizontal="right"/>
    </xf>
    <xf numFmtId="1" fontId="5" fillId="0" borderId="19" xfId="0" applyNumberFormat="1" applyFont="1" applyBorder="1" applyAlignment="1">
      <alignment horizontal="right"/>
    </xf>
    <xf numFmtId="0" fontId="3" fillId="0" borderId="19" xfId="0" applyFont="1" applyBorder="1" applyAlignment="1">
      <alignment wrapText="1"/>
    </xf>
    <xf numFmtId="180" fontId="13" fillId="0" borderId="19" xfId="0" applyNumberFormat="1" applyFont="1" applyBorder="1" applyAlignment="1">
      <alignment horizontal="right"/>
    </xf>
    <xf numFmtId="164" fontId="13" fillId="0" borderId="19" xfId="0" applyNumberFormat="1" applyFont="1" applyBorder="1" applyAlignment="1">
      <alignment horizontal="right"/>
    </xf>
    <xf numFmtId="1" fontId="13" fillId="0" borderId="19" xfId="0" applyNumberFormat="1" applyFont="1" applyBorder="1" applyAlignment="1">
      <alignment horizontal="right"/>
    </xf>
    <xf numFmtId="0" fontId="18" fillId="0" borderId="19" xfId="0" applyFont="1" applyBorder="1"/>
    <xf numFmtId="172" fontId="27" fillId="0" borderId="19" xfId="0" applyNumberFormat="1" applyFont="1" applyBorder="1" applyAlignment="1">
      <alignment horizontal="right"/>
    </xf>
    <xf numFmtId="10" fontId="17" fillId="13" borderId="19" xfId="0" applyNumberFormat="1" applyFont="1" applyFill="1" applyBorder="1" applyAlignment="1">
      <alignment horizontal="right"/>
    </xf>
    <xf numFmtId="10" fontId="13" fillId="0" borderId="19" xfId="0" applyNumberFormat="1" applyFont="1" applyBorder="1" applyAlignment="1">
      <alignment horizontal="right"/>
    </xf>
    <xf numFmtId="0" fontId="18" fillId="8" borderId="19" xfId="0" applyFont="1" applyFill="1" applyBorder="1" applyAlignment="1">
      <alignment horizontal="right" wrapText="1"/>
    </xf>
    <xf numFmtId="0" fontId="17" fillId="0" borderId="19" xfId="0" applyFont="1" applyBorder="1"/>
    <xf numFmtId="0" fontId="17" fillId="13" borderId="19" xfId="0" applyFont="1" applyFill="1" applyBorder="1"/>
    <xf numFmtId="165" fontId="18" fillId="0" borderId="19" xfId="0" applyNumberFormat="1" applyFont="1" applyBorder="1" applyAlignment="1">
      <alignment horizontal="right"/>
    </xf>
    <xf numFmtId="165" fontId="19" fillId="7" borderId="19" xfId="0" applyNumberFormat="1" applyFont="1" applyFill="1" applyBorder="1" applyAlignment="1">
      <alignment horizontal="right"/>
    </xf>
    <xf numFmtId="181" fontId="13" fillId="0" borderId="19" xfId="0" applyNumberFormat="1" applyFont="1" applyBorder="1" applyAlignment="1">
      <alignment horizontal="right"/>
    </xf>
    <xf numFmtId="0" fontId="19" fillId="7" borderId="19" xfId="0" applyFont="1" applyFill="1" applyBorder="1"/>
    <xf numFmtId="181" fontId="17" fillId="0" borderId="19" xfId="0" applyNumberFormat="1" applyFont="1" applyBorder="1" applyAlignment="1">
      <alignment horizontal="right"/>
    </xf>
    <xf numFmtId="0" fontId="13" fillId="0" borderId="19" xfId="0" applyFont="1" applyBorder="1" applyAlignment="1">
      <alignment vertical="top" wrapText="1"/>
    </xf>
    <xf numFmtId="182" fontId="17" fillId="0" borderId="19" xfId="0" applyNumberFormat="1" applyFont="1" applyBorder="1" applyAlignment="1">
      <alignment horizontal="right"/>
    </xf>
    <xf numFmtId="1" fontId="17" fillId="0" borderId="19" xfId="0" applyNumberFormat="1" applyFont="1" applyBorder="1" applyAlignment="1">
      <alignment horizontal="right"/>
    </xf>
    <xf numFmtId="0" fontId="13" fillId="0" borderId="19" xfId="0" applyFont="1" applyBorder="1" applyAlignment="1">
      <alignment vertical="center" wrapText="1"/>
    </xf>
    <xf numFmtId="0" fontId="18" fillId="8" borderId="31" xfId="0" applyFont="1" applyFill="1" applyBorder="1"/>
    <xf numFmtId="0" fontId="13" fillId="0" borderId="31" xfId="0" applyFont="1" applyBorder="1"/>
    <xf numFmtId="1" fontId="18" fillId="8" borderId="31" xfId="0" applyNumberFormat="1" applyFont="1" applyFill="1" applyBorder="1" applyAlignment="1">
      <alignment horizontal="right"/>
    </xf>
    <xf numFmtId="0" fontId="18" fillId="8" borderId="32" xfId="0" applyFont="1" applyFill="1" applyBorder="1"/>
    <xf numFmtId="0" fontId="13" fillId="0" borderId="32" xfId="0" applyFont="1" applyBorder="1"/>
    <xf numFmtId="171" fontId="18" fillId="8" borderId="32" xfId="0" applyNumberFormat="1" applyFont="1" applyFill="1" applyBorder="1" applyAlignment="1">
      <alignment horizontal="right"/>
    </xf>
    <xf numFmtId="165" fontId="13" fillId="0" borderId="32" xfId="0" applyNumberFormat="1" applyFont="1" applyBorder="1" applyAlignment="1">
      <alignment horizontal="right"/>
    </xf>
    <xf numFmtId="0" fontId="17" fillId="0" borderId="32" xfId="0" applyFont="1" applyBorder="1"/>
    <xf numFmtId="165" fontId="17" fillId="0" borderId="32" xfId="0" applyNumberFormat="1" applyFont="1" applyBorder="1" applyAlignment="1">
      <alignment horizontal="right"/>
    </xf>
    <xf numFmtId="0" fontId="18" fillId="0" borderId="32" xfId="0" applyFont="1" applyBorder="1"/>
    <xf numFmtId="165" fontId="18" fillId="0" borderId="32" xfId="0" applyNumberFormat="1" applyFont="1" applyBorder="1" applyAlignment="1">
      <alignment horizontal="right"/>
    </xf>
    <xf numFmtId="0" fontId="19" fillId="7" borderId="32" xfId="0" applyFont="1" applyFill="1" applyBorder="1"/>
    <xf numFmtId="165" fontId="19" fillId="7" borderId="32" xfId="0" applyNumberFormat="1" applyFont="1" applyFill="1" applyBorder="1" applyAlignment="1">
      <alignment horizontal="right"/>
    </xf>
    <xf numFmtId="165" fontId="7" fillId="7" borderId="32" xfId="0" applyNumberFormat="1" applyFont="1" applyFill="1" applyBorder="1" applyAlignment="1">
      <alignment horizontal="right"/>
    </xf>
    <xf numFmtId="0" fontId="13" fillId="0" borderId="33" xfId="0" applyFont="1" applyBorder="1"/>
    <xf numFmtId="181" fontId="13" fillId="0" borderId="33" xfId="0" applyNumberFormat="1" applyFont="1" applyBorder="1" applyAlignment="1">
      <alignment horizontal="right"/>
    </xf>
    <xf numFmtId="0" fontId="46" fillId="8" borderId="19" xfId="0" applyFont="1" applyFill="1" applyBorder="1" applyAlignment="1">
      <alignment horizontal="right"/>
    </xf>
    <xf numFmtId="0" fontId="7" fillId="6" borderId="19" xfId="0" applyFont="1" applyFill="1" applyBorder="1"/>
    <xf numFmtId="1" fontId="7" fillId="6" borderId="19" xfId="0" applyNumberFormat="1" applyFont="1" applyFill="1" applyBorder="1" applyAlignment="1">
      <alignment horizontal="center"/>
    </xf>
    <xf numFmtId="0" fontId="7" fillId="6" borderId="19" xfId="0" applyFont="1" applyFill="1" applyBorder="1" applyAlignment="1">
      <alignment horizontal="right"/>
    </xf>
    <xf numFmtId="0" fontId="18" fillId="8" borderId="19" xfId="0" applyFont="1" applyFill="1" applyBorder="1" applyAlignment="1">
      <alignment horizontal="left"/>
    </xf>
    <xf numFmtId="0" fontId="23" fillId="6" borderId="0" xfId="0" applyFont="1" applyFill="1" applyAlignment="1">
      <alignment vertical="center"/>
    </xf>
    <xf numFmtId="0" fontId="23" fillId="6" borderId="0" xfId="0" applyFont="1" applyFill="1" applyAlignment="1">
      <alignment horizontal="left" vertical="center"/>
    </xf>
    <xf numFmtId="0" fontId="33" fillId="6" borderId="0" xfId="0" applyFont="1" applyFill="1" applyAlignment="1">
      <alignment vertical="top" wrapText="1"/>
    </xf>
    <xf numFmtId="0" fontId="23" fillId="6" borderId="25" xfId="0" applyFont="1" applyFill="1" applyBorder="1" applyAlignment="1">
      <alignment horizontal="left" vertical="center"/>
    </xf>
    <xf numFmtId="0" fontId="33" fillId="6" borderId="14" xfId="0" applyFont="1" applyFill="1" applyBorder="1" applyAlignment="1">
      <alignment vertical="top" wrapText="1"/>
    </xf>
    <xf numFmtId="0" fontId="23" fillId="0" borderId="0" xfId="0" applyFont="1" applyFill="1" applyAlignment="1">
      <alignment vertical="top"/>
    </xf>
    <xf numFmtId="0" fontId="14" fillId="0" borderId="0" xfId="0" applyFont="1" applyFill="1" applyAlignment="1">
      <alignment vertical="top"/>
    </xf>
    <xf numFmtId="0" fontId="19" fillId="7" borderId="0" xfId="0" applyFont="1" applyFill="1" applyAlignment="1">
      <alignment vertical="center"/>
    </xf>
    <xf numFmtId="0" fontId="19" fillId="7" borderId="0" xfId="0" applyFont="1" applyFill="1" applyAlignment="1">
      <alignment vertical="center" wrapText="1"/>
    </xf>
    <xf numFmtId="0" fontId="19" fillId="7" borderId="26" xfId="0" applyFont="1" applyFill="1" applyBorder="1" applyAlignment="1">
      <alignment vertical="center"/>
    </xf>
    <xf numFmtId="0" fontId="19" fillId="7" borderId="27" xfId="0" applyFont="1" applyFill="1" applyBorder="1" applyAlignment="1">
      <alignment vertical="center"/>
    </xf>
    <xf numFmtId="0" fontId="19" fillId="7" borderId="28" xfId="0" applyFont="1" applyFill="1" applyBorder="1" applyAlignment="1">
      <alignment vertical="center" wrapText="1"/>
    </xf>
    <xf numFmtId="0" fontId="19" fillId="7" borderId="18" xfId="0" applyFont="1" applyFill="1" applyBorder="1" applyAlignment="1">
      <alignment vertical="center"/>
    </xf>
    <xf numFmtId="0" fontId="19" fillId="7" borderId="19" xfId="0" applyFont="1" applyFill="1" applyBorder="1" applyAlignment="1">
      <alignment vertical="center"/>
    </xf>
    <xf numFmtId="0" fontId="19" fillId="7" borderId="20" xfId="0" applyFont="1" applyFill="1" applyBorder="1" applyAlignment="1">
      <alignment vertical="center" wrapText="1"/>
    </xf>
    <xf numFmtId="0" fontId="29" fillId="9" borderId="0" xfId="0" applyFont="1" applyFill="1" applyAlignment="1">
      <alignment vertical="center"/>
    </xf>
    <xf numFmtId="0" fontId="7" fillId="9" borderId="19" xfId="0" applyFont="1" applyFill="1" applyBorder="1"/>
    <xf numFmtId="10" fontId="7" fillId="9" borderId="19" xfId="0" applyNumberFormat="1" applyFont="1" applyFill="1" applyBorder="1" applyAlignment="1">
      <alignment horizontal="right"/>
    </xf>
    <xf numFmtId="1" fontId="20" fillId="0" borderId="0" xfId="0" applyNumberFormat="1" applyFont="1" applyAlignment="1">
      <alignment horizontal="center" vertical="top"/>
    </xf>
    <xf numFmtId="1" fontId="20" fillId="0" borderId="3" xfId="0" applyNumberFormat="1" applyFont="1" applyBorder="1" applyAlignment="1">
      <alignment horizontal="center" vertical="top" wrapText="1"/>
    </xf>
    <xf numFmtId="1" fontId="13" fillId="0" borderId="0" xfId="0" applyNumberFormat="1" applyFont="1" applyAlignment="1">
      <alignment vertical="top" wrapText="1"/>
    </xf>
    <xf numFmtId="1" fontId="5" fillId="2" borderId="0" xfId="0" applyNumberFormat="1" applyFont="1" applyFill="1"/>
    <xf numFmtId="1" fontId="3" fillId="0" borderId="26" xfId="0" applyNumberFormat="1" applyFont="1" applyBorder="1"/>
    <xf numFmtId="1" fontId="3" fillId="0" borderId="27" xfId="0" applyNumberFormat="1" applyFont="1" applyBorder="1"/>
    <xf numFmtId="1" fontId="3" fillId="0" borderId="28" xfId="0" applyNumberFormat="1" applyFont="1" applyBorder="1"/>
    <xf numFmtId="0" fontId="4" fillId="14" borderId="1" xfId="0" applyFont="1" applyFill="1" applyBorder="1"/>
    <xf numFmtId="164" fontId="4" fillId="14" borderId="1" xfId="0" applyNumberFormat="1" applyFont="1" applyFill="1" applyBorder="1" applyAlignment="1">
      <alignment horizontal="right"/>
    </xf>
    <xf numFmtId="165" fontId="4" fillId="14" borderId="1" xfId="0" applyNumberFormat="1" applyFont="1" applyFill="1" applyBorder="1" applyAlignment="1">
      <alignment horizontal="right"/>
    </xf>
    <xf numFmtId="10" fontId="4" fillId="14" borderId="1" xfId="0" applyNumberFormat="1" applyFont="1" applyFill="1" applyBorder="1" applyAlignment="1">
      <alignment horizontal="right"/>
    </xf>
    <xf numFmtId="173" fontId="47" fillId="14" borderId="1" xfId="0" applyNumberFormat="1" applyFont="1" applyFill="1" applyBorder="1" applyAlignment="1">
      <alignment horizontal="right"/>
    </xf>
    <xf numFmtId="0" fontId="4" fillId="0" borderId="1" xfId="0" applyFont="1" applyBorder="1"/>
    <xf numFmtId="164" fontId="4" fillId="0" borderId="1" xfId="0" applyNumberFormat="1" applyFont="1" applyBorder="1" applyAlignment="1">
      <alignment horizontal="right"/>
    </xf>
    <xf numFmtId="165" fontId="4" fillId="0" borderId="1" xfId="0" applyNumberFormat="1" applyFont="1" applyBorder="1" applyAlignment="1">
      <alignment horizontal="right"/>
    </xf>
    <xf numFmtId="10" fontId="4" fillId="0" borderId="1" xfId="0" applyNumberFormat="1" applyFont="1" applyBorder="1" applyAlignment="1">
      <alignment horizontal="right"/>
    </xf>
    <xf numFmtId="173" fontId="47" fillId="0" borderId="1" xfId="0" applyNumberFormat="1" applyFont="1" applyBorder="1" applyAlignment="1">
      <alignment horizontal="right"/>
    </xf>
    <xf numFmtId="165" fontId="47" fillId="8" borderId="0" xfId="0" applyNumberFormat="1" applyFont="1" applyFill="1" applyAlignment="1">
      <alignment horizontal="right"/>
    </xf>
    <xf numFmtId="165" fontId="47" fillId="0" borderId="19" xfId="0" applyNumberFormat="1" applyFont="1" applyBorder="1" applyAlignment="1">
      <alignment horizontal="right"/>
    </xf>
    <xf numFmtId="175" fontId="47" fillId="13" borderId="19" xfId="0" applyNumberFormat="1" applyFont="1" applyFill="1" applyBorder="1" applyAlignment="1">
      <alignment horizontal="right"/>
    </xf>
    <xf numFmtId="0" fontId="29" fillId="0" borderId="0" xfId="0" applyFont="1" applyFill="1"/>
    <xf numFmtId="0" fontId="15" fillId="6" borderId="0" xfId="0" applyFont="1" applyFill="1" applyAlignment="1">
      <alignment vertical="center"/>
    </xf>
    <xf numFmtId="0" fontId="34" fillId="9" borderId="30" xfId="0" applyFont="1" applyFill="1" applyBorder="1" applyAlignment="1">
      <alignment vertical="center" wrapText="1"/>
    </xf>
    <xf numFmtId="0" fontId="34" fillId="9" borderId="0" xfId="0" applyFont="1" applyFill="1" applyBorder="1" applyAlignment="1">
      <alignment vertical="center" wrapText="1"/>
    </xf>
    <xf numFmtId="0" fontId="40" fillId="0" borderId="0" xfId="0" applyFont="1"/>
    <xf numFmtId="0" fontId="43" fillId="0" borderId="0" xfId="0" applyFont="1" applyAlignment="1">
      <alignment vertical="center" wrapText="1"/>
    </xf>
    <xf numFmtId="0" fontId="6" fillId="0" borderId="18" xfId="0" applyFont="1" applyBorder="1" applyAlignment="1">
      <alignment vertical="top" wrapText="1"/>
    </xf>
    <xf numFmtId="0" fontId="8" fillId="0" borderId="19" xfId="0" applyFont="1" applyBorder="1" applyAlignment="1">
      <alignment vertical="top" wrapText="1"/>
    </xf>
    <xf numFmtId="0" fontId="40" fillId="0" borderId="0" xfId="0" applyFont="1" applyAlignment="1">
      <alignment vertical="top" wrapText="1"/>
    </xf>
    <xf numFmtId="0" fontId="7" fillId="6" borderId="19" xfId="0" applyFont="1" applyFill="1" applyBorder="1" applyAlignment="1">
      <alignment vertical="center" wrapText="1"/>
    </xf>
    <xf numFmtId="165" fontId="19" fillId="9" borderId="19" xfId="0" applyNumberFormat="1" applyFont="1" applyFill="1" applyBorder="1" applyAlignment="1">
      <alignment horizontal="right"/>
    </xf>
    <xf numFmtId="0" fontId="35" fillId="7" borderId="0" xfId="0" applyFont="1" applyFill="1" applyAlignment="1">
      <alignment vertical="center" wrapText="1"/>
    </xf>
    <xf numFmtId="3" fontId="13" fillId="0" borderId="19" xfId="0" applyNumberFormat="1" applyFont="1" applyBorder="1" applyAlignment="1">
      <alignment horizontal="right"/>
    </xf>
    <xf numFmtId="0" fontId="13" fillId="0" borderId="19" xfId="0" applyFont="1" applyBorder="1" applyAlignment="1">
      <alignment horizontal="center"/>
    </xf>
    <xf numFmtId="3" fontId="13" fillId="15" borderId="19" xfId="0" applyNumberFormat="1" applyFont="1" applyFill="1" applyBorder="1" applyAlignment="1">
      <alignment horizontal="right"/>
    </xf>
    <xf numFmtId="165" fontId="13" fillId="15" borderId="19" xfId="0" applyNumberFormat="1" applyFont="1" applyFill="1" applyBorder="1" applyAlignment="1">
      <alignment horizontal="right"/>
    </xf>
    <xf numFmtId="1" fontId="13" fillId="15" borderId="19" xfId="0" applyNumberFormat="1" applyFont="1" applyFill="1" applyBorder="1" applyAlignment="1">
      <alignment horizontal="right"/>
    </xf>
    <xf numFmtId="164" fontId="13" fillId="15" borderId="19" xfId="0" applyNumberFormat="1" applyFont="1" applyFill="1" applyBorder="1" applyAlignment="1">
      <alignment horizontal="right"/>
    </xf>
    <xf numFmtId="0" fontId="13" fillId="15" borderId="19" xfId="0" applyFont="1" applyFill="1" applyBorder="1" applyAlignment="1">
      <alignment horizontal="center"/>
    </xf>
    <xf numFmtId="0" fontId="7" fillId="6" borderId="19" xfId="0" applyFont="1" applyFill="1" applyBorder="1" applyAlignment="1">
      <alignment horizontal="right" vertical="center" wrapText="1"/>
    </xf>
    <xf numFmtId="0" fontId="13" fillId="15" borderId="19" xfId="0" applyFont="1" applyFill="1" applyBorder="1"/>
    <xf numFmtId="2" fontId="45" fillId="13" borderId="19" xfId="0" applyNumberFormat="1" applyFont="1" applyFill="1" applyBorder="1" applyAlignment="1">
      <alignment horizontal="right"/>
    </xf>
    <xf numFmtId="165" fontId="17" fillId="8" borderId="19" xfId="0" applyNumberFormat="1" applyFont="1" applyFill="1" applyBorder="1" applyAlignment="1">
      <alignment horizontal="right"/>
    </xf>
    <xf numFmtId="165" fontId="13" fillId="16" borderId="19" xfId="0" applyNumberFormat="1" applyFont="1" applyFill="1" applyBorder="1" applyAlignment="1">
      <alignment horizontal="right"/>
    </xf>
    <xf numFmtId="165" fontId="21" fillId="0" borderId="19" xfId="0" applyNumberFormat="1" applyFont="1" applyBorder="1" applyAlignment="1">
      <alignment horizontal="right" wrapText="1"/>
    </xf>
    <xf numFmtId="0" fontId="3" fillId="15" borderId="19" xfId="0" applyFont="1" applyFill="1" applyBorder="1" applyAlignment="1">
      <alignment vertical="top" wrapText="1"/>
    </xf>
    <xf numFmtId="0" fontId="3" fillId="16" borderId="19" xfId="0" applyFont="1" applyFill="1" applyBorder="1" applyAlignment="1">
      <alignment vertical="top" wrapText="1"/>
    </xf>
    <xf numFmtId="0" fontId="21" fillId="0" borderId="0" xfId="0" applyFont="1" applyAlignment="1">
      <alignment vertical="top" wrapText="1"/>
    </xf>
    <xf numFmtId="0" fontId="23" fillId="6" borderId="0" xfId="0" applyFont="1" applyFill="1" applyAlignment="1">
      <alignment horizontal="left" vertical="top" wrapText="1"/>
    </xf>
    <xf numFmtId="0" fontId="17" fillId="0" borderId="19" xfId="0" applyFont="1" applyBorder="1" applyAlignment="1">
      <alignment wrapText="1"/>
    </xf>
    <xf numFmtId="0" fontId="17" fillId="0" borderId="19" xfId="0" applyFont="1" applyBorder="1" applyAlignment="1">
      <alignment vertical="center" wrapText="1"/>
    </xf>
    <xf numFmtId="0" fontId="19" fillId="9" borderId="19" xfId="0" applyFont="1" applyFill="1" applyBorder="1" applyAlignment="1">
      <alignment vertical="center" wrapText="1"/>
    </xf>
    <xf numFmtId="0" fontId="17" fillId="8" borderId="19" xfId="0" applyFont="1" applyFill="1" applyBorder="1" applyAlignment="1">
      <alignment vertical="center" wrapText="1"/>
    </xf>
    <xf numFmtId="0" fontId="19" fillId="7" borderId="0" xfId="0" applyFont="1" applyFill="1" applyAlignment="1">
      <alignment vertical="center"/>
    </xf>
    <xf numFmtId="0" fontId="13" fillId="15" borderId="19" xfId="0" applyFont="1" applyFill="1" applyBorder="1" applyAlignment="1">
      <alignment vertical="top" wrapText="1"/>
    </xf>
    <xf numFmtId="0" fontId="21" fillId="0" borderId="19" xfId="0" applyFont="1" applyBorder="1" applyAlignment="1">
      <alignment vertical="top" wrapText="1"/>
    </xf>
    <xf numFmtId="0" fontId="21" fillId="0" borderId="22" xfId="0" applyFont="1" applyBorder="1" applyAlignment="1">
      <alignment vertical="top" wrapText="1"/>
    </xf>
    <xf numFmtId="164" fontId="13" fillId="0" borderId="19" xfId="0" applyNumberFormat="1" applyFont="1" applyBorder="1" applyAlignment="1">
      <alignment horizontal="left" vertical="top" wrapText="1"/>
    </xf>
    <xf numFmtId="164" fontId="13" fillId="15" borderId="19" xfId="0" applyNumberFormat="1" applyFont="1" applyFill="1" applyBorder="1" applyAlignment="1">
      <alignment horizontal="left" vertical="top" wrapText="1"/>
    </xf>
    <xf numFmtId="164" fontId="13" fillId="0" borderId="19" xfId="0" applyNumberFormat="1" applyFont="1" applyBorder="1" applyAlignment="1">
      <alignment horizontal="left"/>
    </xf>
    <xf numFmtId="164" fontId="17" fillId="0" borderId="19" xfId="0" applyNumberFormat="1" applyFont="1" applyBorder="1" applyAlignment="1">
      <alignment horizontal="left"/>
    </xf>
    <xf numFmtId="164" fontId="21" fillId="0" borderId="19" xfId="0" applyNumberFormat="1" applyFont="1" applyBorder="1" applyAlignment="1">
      <alignment horizontal="left" wrapText="1"/>
    </xf>
    <xf numFmtId="0" fontId="40" fillId="0" borderId="0" xfId="0" applyFont="1" applyAlignment="1">
      <alignment vertical="top" wrapText="1"/>
    </xf>
    <xf numFmtId="173" fontId="17" fillId="16" borderId="19" xfId="0" applyNumberFormat="1" applyFont="1" applyFill="1" applyBorder="1" applyAlignment="1">
      <alignment horizontal="right"/>
    </xf>
    <xf numFmtId="1" fontId="40" fillId="0" borderId="0" xfId="0" applyNumberFormat="1" applyFont="1"/>
    <xf numFmtId="164" fontId="21" fillId="0" borderId="22" xfId="0" applyNumberFormat="1" applyFont="1" applyBorder="1" applyAlignment="1">
      <alignment horizontal="left" wrapText="1"/>
    </xf>
    <xf numFmtId="0" fontId="13" fillId="0" borderId="22" xfId="0" applyFont="1" applyBorder="1" applyAlignment="1">
      <alignment vertical="top" wrapText="1"/>
    </xf>
    <xf numFmtId="164" fontId="17" fillId="0" borderId="19" xfId="0" applyNumberFormat="1" applyFont="1" applyBorder="1" applyAlignment="1">
      <alignment horizontal="left" vertical="top" wrapText="1"/>
    </xf>
    <xf numFmtId="0" fontId="19" fillId="9" borderId="0" xfId="0" applyFont="1" applyFill="1" applyAlignment="1">
      <alignment vertical="top" wrapText="1"/>
    </xf>
    <xf numFmtId="0" fontId="12" fillId="0" borderId="30" xfId="0" applyFont="1" applyBorder="1" applyAlignment="1">
      <alignment vertical="center" wrapText="1"/>
    </xf>
    <xf numFmtId="0" fontId="12" fillId="0" borderId="0" xfId="0" applyFont="1" applyAlignment="1">
      <alignment vertical="center" wrapText="1"/>
    </xf>
    <xf numFmtId="1" fontId="31" fillId="13" borderId="0" xfId="0" applyNumberFormat="1" applyFont="1" applyFill="1" applyAlignment="1">
      <alignment horizontal="right"/>
    </xf>
    <xf numFmtId="175" fontId="12" fillId="0" borderId="0" xfId="0" applyNumberFormat="1" applyFont="1" applyAlignment="1">
      <alignment horizontal="right"/>
    </xf>
    <xf numFmtId="0" fontId="7" fillId="6" borderId="0" xfId="0" applyFont="1" applyFill="1" applyAlignment="1">
      <alignment horizontal="right" wrapText="1"/>
    </xf>
    <xf numFmtId="0" fontId="40" fillId="8" borderId="0" xfId="0" applyFont="1" applyFill="1" applyAlignment="1">
      <alignment vertical="top" wrapText="1"/>
    </xf>
    <xf numFmtId="0" fontId="13" fillId="0" borderId="1" xfId="0" applyFont="1" applyBorder="1" applyAlignment="1">
      <alignment vertical="top" wrapText="1"/>
    </xf>
    <xf numFmtId="0" fontId="7" fillId="6" borderId="1" xfId="0" applyFont="1" applyFill="1" applyBorder="1" applyAlignment="1">
      <alignment vertical="top" wrapText="1"/>
    </xf>
    <xf numFmtId="0" fontId="13" fillId="14" borderId="1" xfId="0" applyFont="1" applyFill="1" applyBorder="1" applyAlignment="1">
      <alignment vertical="top" wrapText="1"/>
    </xf>
    <xf numFmtId="0" fontId="17" fillId="14" borderId="1" xfId="0" applyFont="1" applyFill="1" applyBorder="1"/>
    <xf numFmtId="0" fontId="17" fillId="0" borderId="1" xfId="0" applyFont="1" applyBorder="1"/>
    <xf numFmtId="164" fontId="13" fillId="0" borderId="22" xfId="0" applyNumberFormat="1" applyFont="1" applyBorder="1" applyAlignment="1">
      <alignment horizontal="left" vertical="top" wrapText="1"/>
    </xf>
    <xf numFmtId="164" fontId="13" fillId="0" borderId="19" xfId="0" applyNumberFormat="1" applyFont="1" applyFill="1" applyBorder="1" applyAlignment="1">
      <alignment horizontal="left" vertical="top" wrapText="1"/>
    </xf>
    <xf numFmtId="0" fontId="13" fillId="0" borderId="19" xfId="0" applyFont="1" applyFill="1" applyBorder="1" applyAlignment="1">
      <alignment vertical="top" wrapText="1"/>
    </xf>
    <xf numFmtId="0" fontId="13" fillId="14" borderId="1" xfId="0" applyFont="1" applyFill="1" applyBorder="1" applyAlignment="1">
      <alignment horizontal="right" vertical="center" wrapText="1"/>
    </xf>
    <xf numFmtId="0" fontId="40" fillId="14" borderId="1" xfId="0" applyFont="1" applyFill="1" applyBorder="1" applyAlignment="1">
      <alignment horizontal="right" vertical="center" wrapText="1"/>
    </xf>
    <xf numFmtId="0" fontId="13" fillId="0" borderId="1" xfId="0" applyFont="1" applyBorder="1" applyAlignment="1">
      <alignment horizontal="right" vertical="center" wrapText="1"/>
    </xf>
    <xf numFmtId="0" fontId="40" fillId="0" borderId="1" xfId="0" applyFont="1" applyBorder="1" applyAlignment="1">
      <alignment horizontal="right" vertical="center" wrapText="1"/>
    </xf>
  </cellXfs>
  <cellStyles count="1">
    <cellStyle name="Normal" xfId="0" builtinId="0"/>
  </cellStyles>
  <dxfs count="13">
    <dxf>
      <font>
        <b/>
        <i val="0"/>
        <color rgb="FF7F0000"/>
      </font>
      <fill>
        <patternFill patternType="solid">
          <fgColor indexed="64"/>
          <bgColor rgb="FFF4B7B7"/>
        </patternFill>
      </fill>
    </dxf>
    <dxf>
      <font>
        <b/>
        <i val="0"/>
        <color rgb="FF7F0000"/>
      </font>
      <fill>
        <patternFill patternType="solid">
          <fgColor indexed="64"/>
          <bgColor rgb="FFF4B7B7"/>
        </patternFill>
      </fill>
    </dxf>
    <dxf>
      <font>
        <b/>
        <i val="0"/>
        <color rgb="FF7F0000"/>
      </font>
      <fill>
        <patternFill patternType="solid">
          <fgColor indexed="64"/>
          <bgColor rgb="FFF4B7B7"/>
        </patternFill>
      </fill>
    </dxf>
    <dxf>
      <font>
        <b/>
        <i val="0"/>
        <color rgb="FF7F0000"/>
      </font>
      <fill>
        <patternFill patternType="solid">
          <fgColor indexed="64"/>
          <bgColor rgb="FFF4B7B7"/>
        </patternFill>
      </fill>
    </dxf>
    <dxf>
      <font>
        <b/>
        <i val="0"/>
        <color rgb="FF7F0000"/>
      </font>
      <fill>
        <patternFill patternType="solid">
          <fgColor indexed="64"/>
          <bgColor rgb="FFF4B7B7"/>
        </patternFill>
      </fill>
    </dxf>
    <dxf>
      <font>
        <color rgb="FF1F3864"/>
      </font>
      <fill>
        <patternFill patternType="solid">
          <fgColor indexed="64"/>
          <bgColor rgb="FFDCE6F1"/>
        </patternFill>
      </fill>
    </dxf>
    <dxf>
      <font>
        <b/>
        <i val="0"/>
        <color rgb="FF7F0000"/>
      </font>
      <fill>
        <patternFill patternType="solid">
          <fgColor indexed="64"/>
          <bgColor rgb="FFF4B7B7"/>
        </patternFill>
      </fill>
    </dxf>
    <dxf>
      <font>
        <color rgb="FF1F3864"/>
      </font>
      <fill>
        <patternFill patternType="solid">
          <fgColor indexed="64"/>
          <bgColor rgb="FFDCE6F1"/>
        </patternFill>
      </fill>
    </dxf>
    <dxf>
      <font>
        <color rgb="FFC55A11"/>
      </font>
      <fill>
        <patternFill patternType="solid">
          <fgColor indexed="64"/>
          <bgColor rgb="FFFDE9D9"/>
        </patternFill>
      </fill>
    </dxf>
    <dxf>
      <font>
        <b/>
        <i val="0"/>
        <color rgb="FFFFFFFF"/>
      </font>
      <fill>
        <patternFill patternType="solid">
          <fgColor indexed="64"/>
          <bgColor rgb="FFE36C0A"/>
        </patternFill>
      </fill>
    </dxf>
    <dxf>
      <font>
        <b/>
        <i val="0"/>
        <color rgb="FFC55A11"/>
      </font>
      <fill>
        <patternFill patternType="solid">
          <fgColor indexed="64"/>
          <bgColor rgb="FFFDE9D9"/>
        </patternFill>
      </fill>
    </dxf>
    <dxf>
      <font>
        <b/>
        <i val="0"/>
        <color rgb="FF7F0000"/>
      </font>
      <fill>
        <patternFill patternType="solid">
          <fgColor indexed="64"/>
          <bgColor rgb="FFF4B7B7"/>
        </patternFill>
      </fill>
    </dxf>
    <dxf>
      <font>
        <b/>
        <i val="0"/>
        <color rgb="FF7F0000"/>
      </font>
      <fill>
        <patternFill patternType="solid">
          <fgColor indexed="64"/>
          <bgColor rgb="FFF4B7B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Arial"/>
                <a:ea typeface="Arial"/>
                <a:cs typeface="Arial"/>
              </a:defRPr>
            </a:pPr>
            <a:r>
              <a:rPr lang="en-US"/>
              <a:t>Escrow headroom on the 28 Feb 2027 sukuk, by scenario (before cost and debt service)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Arial"/>
              <a:ea typeface="Arial"/>
              <a:cs typeface="Arial"/>
            </a:defRPr>
          </a:pPr>
          <a:endParaRPr lang="en-AE"/>
        </a:p>
      </c:txPr>
    </c:title>
    <c:autoTitleDeleted val="0"/>
    <c:plotArea>
      <c:layout/>
      <c:barChart>
        <c:barDir val="col"/>
        <c:grouping val="clustered"/>
        <c:varyColors val="0"/>
        <c:ser>
          <c:idx val="0"/>
          <c:order val="0"/>
          <c:tx>
            <c:strRef>
              <c:f>Dashboard!$J$15</c:f>
              <c:strCache>
                <c:ptCount val="1"/>
                <c:pt idx="0">
                  <c:v>Coverage at 28 Feb 2027</c:v>
                </c:pt>
              </c:strCache>
            </c:strRef>
          </c:tx>
          <c:spPr>
            <a:solidFill>
              <a:srgbClr val="2E5C8A"/>
            </a:solidFill>
            <a:ln>
              <a:noFill/>
            </a:ln>
            <a:effectLst/>
          </c:spPr>
          <c:invertIfNegative val="0"/>
          <c:dLbls>
            <c:numFmt formatCode="0.00\x"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a:ea typeface="Arial"/>
                    <a:cs typeface="Arial"/>
                  </a:defRPr>
                </a:pPr>
                <a:endParaRPr lang="en-A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Dashboard!$I$16:$I$19</c:f>
              <c:strCache>
                <c:ptCount val="4"/>
                <c:pt idx="0">
                  <c:v>Base</c:v>
                </c:pt>
                <c:pt idx="1">
                  <c:v>Delayed handovers</c:v>
                </c:pt>
                <c:pt idx="2">
                  <c:v>Cancellation spike</c:v>
                </c:pt>
                <c:pt idx="3">
                  <c:v>Price cut</c:v>
                </c:pt>
              </c:strCache>
            </c:strRef>
          </c:cat>
          <c:val>
            <c:numRef>
              <c:f>Dashboard!$J$16:$J$19</c:f>
              <c:numCache>
                <c:formatCode>0.00\x</c:formatCode>
                <c:ptCount val="4"/>
                <c:pt idx="0">
                  <c:v>3.7916279057820983</c:v>
                </c:pt>
                <c:pt idx="1">
                  <c:v>2.1844841702875804</c:v>
                </c:pt>
                <c:pt idx="2">
                  <c:v>2.966310938445178</c:v>
                </c:pt>
                <c:pt idx="3">
                  <c:v>3.4916258745923767</c:v>
                </c:pt>
              </c:numCache>
            </c:numRef>
          </c:val>
          <c:extLst>
            <c:ext xmlns:c16="http://schemas.microsoft.com/office/drawing/2014/chart" uri="{C3380CC4-5D6E-409C-BE32-E72D297353CC}">
              <c16:uniqueId val="{00000000-A4B6-6A44-AD8A-245650390C60}"/>
            </c:ext>
          </c:extLst>
        </c:ser>
        <c:dLbls>
          <c:showLegendKey val="0"/>
          <c:showVal val="0"/>
          <c:showCatName val="0"/>
          <c:showSerName val="0"/>
          <c:showPercent val="0"/>
          <c:showBubbleSize val="0"/>
        </c:dLbls>
        <c:gapWidth val="219"/>
        <c:overlap val="-27"/>
        <c:axId val="2033014015"/>
        <c:axId val="2075487615"/>
      </c:barChart>
      <c:catAx>
        <c:axId val="20330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AE"/>
          </a:p>
        </c:txPr>
        <c:crossAx val="2075487615"/>
        <c:crosses val="autoZero"/>
        <c:auto val="1"/>
        <c:lblAlgn val="ctr"/>
        <c:lblOffset val="100"/>
        <c:noMultiLvlLbl val="0"/>
      </c:catAx>
      <c:valAx>
        <c:axId val="2075487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r>
                  <a:rPr lang="en-US"/>
                  <a:t>Headroom (x)</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AE"/>
            </a:p>
          </c:txPr>
        </c:title>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AE"/>
          </a:p>
        </c:txPr>
        <c:crossAx val="20330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Arial"/>
                <a:ea typeface="Arial"/>
                <a:cs typeface="Arial"/>
              </a:defRPr>
            </a:pPr>
            <a:r>
              <a:rPr lang="en-US"/>
              <a:t>Escrow release is gross: actual cash after building cost and debt service is the lower line, AED m</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Arial"/>
              <a:ea typeface="Arial"/>
              <a:cs typeface="Arial"/>
            </a:defRPr>
          </a:pPr>
          <a:endParaRPr lang="en-AE"/>
        </a:p>
      </c:txPr>
    </c:title>
    <c:autoTitleDeleted val="0"/>
    <c:plotArea>
      <c:layout/>
      <c:lineChart>
        <c:grouping val="standard"/>
        <c:varyColors val="0"/>
        <c:ser>
          <c:idx val="0"/>
          <c:order val="0"/>
          <c:tx>
            <c:strRef>
              <c:f>Dashboard!$J$33</c:f>
              <c:strCache>
                <c:ptCount val="1"/>
                <c:pt idx="0">
                  <c:v>Cumulative escrow release</c:v>
                </c:pt>
              </c:strCache>
            </c:strRef>
          </c:tx>
          <c:spPr>
            <a:ln w="31750" cap="rnd">
              <a:solidFill>
                <a:srgbClr val="1F3864"/>
              </a:solidFill>
              <a:prstDash val="solid"/>
              <a:round/>
            </a:ln>
            <a:effectLst/>
          </c:spPr>
          <c:marker>
            <c:symbol val="none"/>
          </c:marker>
          <c:cat>
            <c:numRef>
              <c:f>Dashboard!$I$34:$I$61</c:f>
              <c:numCache>
                <c:formatCode>mmm\ yy</c:formatCode>
                <c:ptCount val="28"/>
                <c:pt idx="0">
                  <c:v>46296</c:v>
                </c:pt>
                <c:pt idx="1">
                  <c:v>46327</c:v>
                </c:pt>
                <c:pt idx="2">
                  <c:v>46357</c:v>
                </c:pt>
                <c:pt idx="3">
                  <c:v>46388</c:v>
                </c:pt>
                <c:pt idx="4">
                  <c:v>46419</c:v>
                </c:pt>
                <c:pt idx="5">
                  <c:v>46447</c:v>
                </c:pt>
                <c:pt idx="6">
                  <c:v>46478</c:v>
                </c:pt>
                <c:pt idx="7">
                  <c:v>46508</c:v>
                </c:pt>
                <c:pt idx="8">
                  <c:v>46539</c:v>
                </c:pt>
                <c:pt idx="9">
                  <c:v>46569</c:v>
                </c:pt>
                <c:pt idx="10">
                  <c:v>46600</c:v>
                </c:pt>
                <c:pt idx="11">
                  <c:v>46631</c:v>
                </c:pt>
                <c:pt idx="12">
                  <c:v>46661</c:v>
                </c:pt>
                <c:pt idx="13">
                  <c:v>46692</c:v>
                </c:pt>
                <c:pt idx="14">
                  <c:v>46722</c:v>
                </c:pt>
                <c:pt idx="15">
                  <c:v>46753</c:v>
                </c:pt>
                <c:pt idx="16">
                  <c:v>46784</c:v>
                </c:pt>
                <c:pt idx="17">
                  <c:v>46813</c:v>
                </c:pt>
                <c:pt idx="18">
                  <c:v>46844</c:v>
                </c:pt>
                <c:pt idx="19">
                  <c:v>46874</c:v>
                </c:pt>
                <c:pt idx="20">
                  <c:v>46905</c:v>
                </c:pt>
                <c:pt idx="21">
                  <c:v>46935</c:v>
                </c:pt>
                <c:pt idx="22">
                  <c:v>46966</c:v>
                </c:pt>
                <c:pt idx="23">
                  <c:v>46997</c:v>
                </c:pt>
                <c:pt idx="24">
                  <c:v>47027</c:v>
                </c:pt>
                <c:pt idx="25">
                  <c:v>47058</c:v>
                </c:pt>
                <c:pt idx="26">
                  <c:v>47088</c:v>
                </c:pt>
                <c:pt idx="27">
                  <c:v>47119</c:v>
                </c:pt>
              </c:numCache>
            </c:numRef>
          </c:cat>
          <c:val>
            <c:numRef>
              <c:f>Dashboard!$J$34:$J$61</c:f>
              <c:numCache>
                <c:formatCode>#,##0;\(#,##0\);\-</c:formatCode>
                <c:ptCount val="28"/>
                <c:pt idx="0">
                  <c:v>1771.9373297878005</c:v>
                </c:pt>
                <c:pt idx="1">
                  <c:v>3371.8109471030043</c:v>
                </c:pt>
                <c:pt idx="2">
                  <c:v>5225.5363295741836</c:v>
                </c:pt>
                <c:pt idx="3">
                  <c:v>7333.1134772013365</c:v>
                </c:pt>
                <c:pt idx="4">
                  <c:v>10188.656573016495</c:v>
                </c:pt>
                <c:pt idx="5">
                  <c:v>13785.521626421218</c:v>
                </c:pt>
                <c:pt idx="6">
                  <c:v>16841.512071570876</c:v>
                </c:pt>
                <c:pt idx="7">
                  <c:v>19403.154337957858</c:v>
                </c:pt>
                <c:pt idx="8">
                  <c:v>23171.799284881974</c:v>
                </c:pt>
                <c:pt idx="9">
                  <c:v>28729.543765725419</c:v>
                </c:pt>
                <c:pt idx="10">
                  <c:v>29440.23790557577</c:v>
                </c:pt>
                <c:pt idx="11">
                  <c:v>30069.003664833253</c:v>
                </c:pt>
                <c:pt idx="12">
                  <c:v>31816.730648109246</c:v>
                </c:pt>
                <c:pt idx="13">
                  <c:v>32543.031901255123</c:v>
                </c:pt>
                <c:pt idx="14">
                  <c:v>32644.324686533957</c:v>
                </c:pt>
                <c:pt idx="15">
                  <c:v>32749.435990802711</c:v>
                </c:pt>
                <c:pt idx="16">
                  <c:v>32858.36581406137</c:v>
                </c:pt>
                <c:pt idx="17">
                  <c:v>32971.114156309952</c:v>
                </c:pt>
                <c:pt idx="18">
                  <c:v>33087.681017548435</c:v>
                </c:pt>
                <c:pt idx="19">
                  <c:v>33208.066397776842</c:v>
                </c:pt>
                <c:pt idx="20">
                  <c:v>33332.27029699515</c:v>
                </c:pt>
                <c:pt idx="21">
                  <c:v>33460.292715203381</c:v>
                </c:pt>
                <c:pt idx="22">
                  <c:v>33592.133652401528</c:v>
                </c:pt>
                <c:pt idx="23">
                  <c:v>34786.091906364578</c:v>
                </c:pt>
                <c:pt idx="24">
                  <c:v>34786.091906364578</c:v>
                </c:pt>
                <c:pt idx="25">
                  <c:v>34786.091906364578</c:v>
                </c:pt>
                <c:pt idx="26">
                  <c:v>34786.091906364578</c:v>
                </c:pt>
                <c:pt idx="27">
                  <c:v>34786.091906364578</c:v>
                </c:pt>
              </c:numCache>
            </c:numRef>
          </c:val>
          <c:smooth val="0"/>
          <c:extLst>
            <c:ext xmlns:c16="http://schemas.microsoft.com/office/drawing/2014/chart" uri="{C3380CC4-5D6E-409C-BE32-E72D297353CC}">
              <c16:uniqueId val="{00000000-D2CB-EE41-ADE1-8769C91A260F}"/>
            </c:ext>
          </c:extLst>
        </c:ser>
        <c:ser>
          <c:idx val="1"/>
          <c:order val="1"/>
          <c:tx>
            <c:strRef>
              <c:f>Dashboard!$K$33</c:f>
              <c:strCache>
                <c:ptCount val="1"/>
                <c:pt idx="0">
                  <c:v>Cumulative debt due</c:v>
                </c:pt>
              </c:strCache>
            </c:strRef>
          </c:tx>
          <c:spPr>
            <a:ln w="31750" cap="rnd">
              <a:solidFill>
                <a:srgbClr val="E36C0A"/>
              </a:solidFill>
              <a:prstDash val="solid"/>
              <a:round/>
            </a:ln>
            <a:effectLst/>
          </c:spPr>
          <c:marker>
            <c:symbol val="none"/>
          </c:marker>
          <c:cat>
            <c:numRef>
              <c:f>Dashboard!$I$34:$I$61</c:f>
              <c:numCache>
                <c:formatCode>mmm\ yy</c:formatCode>
                <c:ptCount val="28"/>
                <c:pt idx="0">
                  <c:v>46296</c:v>
                </c:pt>
                <c:pt idx="1">
                  <c:v>46327</c:v>
                </c:pt>
                <c:pt idx="2">
                  <c:v>46357</c:v>
                </c:pt>
                <c:pt idx="3">
                  <c:v>46388</c:v>
                </c:pt>
                <c:pt idx="4">
                  <c:v>46419</c:v>
                </c:pt>
                <c:pt idx="5">
                  <c:v>46447</c:v>
                </c:pt>
                <c:pt idx="6">
                  <c:v>46478</c:v>
                </c:pt>
                <c:pt idx="7">
                  <c:v>46508</c:v>
                </c:pt>
                <c:pt idx="8">
                  <c:v>46539</c:v>
                </c:pt>
                <c:pt idx="9">
                  <c:v>46569</c:v>
                </c:pt>
                <c:pt idx="10">
                  <c:v>46600</c:v>
                </c:pt>
                <c:pt idx="11">
                  <c:v>46631</c:v>
                </c:pt>
                <c:pt idx="12">
                  <c:v>46661</c:v>
                </c:pt>
                <c:pt idx="13">
                  <c:v>46692</c:v>
                </c:pt>
                <c:pt idx="14">
                  <c:v>46722</c:v>
                </c:pt>
                <c:pt idx="15">
                  <c:v>46753</c:v>
                </c:pt>
                <c:pt idx="16">
                  <c:v>46784</c:v>
                </c:pt>
                <c:pt idx="17">
                  <c:v>46813</c:v>
                </c:pt>
                <c:pt idx="18">
                  <c:v>46844</c:v>
                </c:pt>
                <c:pt idx="19">
                  <c:v>46874</c:v>
                </c:pt>
                <c:pt idx="20">
                  <c:v>46905</c:v>
                </c:pt>
                <c:pt idx="21">
                  <c:v>46935</c:v>
                </c:pt>
                <c:pt idx="22">
                  <c:v>46966</c:v>
                </c:pt>
                <c:pt idx="23">
                  <c:v>46997</c:v>
                </c:pt>
                <c:pt idx="24">
                  <c:v>47027</c:v>
                </c:pt>
                <c:pt idx="25">
                  <c:v>47058</c:v>
                </c:pt>
                <c:pt idx="26">
                  <c:v>47088</c:v>
                </c:pt>
                <c:pt idx="27">
                  <c:v>47119</c:v>
                </c:pt>
              </c:numCache>
            </c:numRef>
          </c:cat>
          <c:val>
            <c:numRef>
              <c:f>Dashboard!$K$34:$K$61</c:f>
              <c:numCache>
                <c:formatCode>#,##0;\(#,##0\);\-</c:formatCode>
                <c:ptCount val="28"/>
                <c:pt idx="0">
                  <c:v>0</c:v>
                </c:pt>
                <c:pt idx="1">
                  <c:v>0</c:v>
                </c:pt>
                <c:pt idx="2">
                  <c:v>1031.9724999999999</c:v>
                </c:pt>
                <c:pt idx="3">
                  <c:v>1031.9724999999999</c:v>
                </c:pt>
                <c:pt idx="4">
                  <c:v>2868.2224999999999</c:v>
                </c:pt>
                <c:pt idx="5">
                  <c:v>2868.2224999999999</c:v>
                </c:pt>
                <c:pt idx="6">
                  <c:v>2868.2224999999999</c:v>
                </c:pt>
                <c:pt idx="7">
                  <c:v>2868.2224999999999</c:v>
                </c:pt>
                <c:pt idx="8">
                  <c:v>3558.6524999999997</c:v>
                </c:pt>
                <c:pt idx="9">
                  <c:v>3558.6524999999997</c:v>
                </c:pt>
                <c:pt idx="10">
                  <c:v>3558.6524999999997</c:v>
                </c:pt>
                <c:pt idx="11">
                  <c:v>3558.6524999999997</c:v>
                </c:pt>
                <c:pt idx="12">
                  <c:v>3558.6524999999997</c:v>
                </c:pt>
                <c:pt idx="13">
                  <c:v>3558.6524999999997</c:v>
                </c:pt>
                <c:pt idx="14">
                  <c:v>4741.1975000000002</c:v>
                </c:pt>
                <c:pt idx="15">
                  <c:v>4741.1975000000002</c:v>
                </c:pt>
                <c:pt idx="16">
                  <c:v>4741.1975000000002</c:v>
                </c:pt>
                <c:pt idx="17">
                  <c:v>4741.1975000000002</c:v>
                </c:pt>
                <c:pt idx="18">
                  <c:v>4741.1975000000002</c:v>
                </c:pt>
                <c:pt idx="19">
                  <c:v>4741.1975000000002</c:v>
                </c:pt>
                <c:pt idx="20">
                  <c:v>6114.7124999999996</c:v>
                </c:pt>
                <c:pt idx="21">
                  <c:v>6114.7124999999996</c:v>
                </c:pt>
                <c:pt idx="22">
                  <c:v>6114.7124999999996</c:v>
                </c:pt>
                <c:pt idx="23">
                  <c:v>6114.7124999999996</c:v>
                </c:pt>
                <c:pt idx="24">
                  <c:v>6114.7124999999996</c:v>
                </c:pt>
                <c:pt idx="25">
                  <c:v>6114.7124999999996</c:v>
                </c:pt>
                <c:pt idx="26">
                  <c:v>6114.7124999999996</c:v>
                </c:pt>
                <c:pt idx="27">
                  <c:v>6114.7124999999996</c:v>
                </c:pt>
              </c:numCache>
            </c:numRef>
          </c:val>
          <c:smooth val="0"/>
          <c:extLst>
            <c:ext xmlns:c16="http://schemas.microsoft.com/office/drawing/2014/chart" uri="{C3380CC4-5D6E-409C-BE32-E72D297353CC}">
              <c16:uniqueId val="{00000001-D2CB-EE41-ADE1-8769C91A260F}"/>
            </c:ext>
          </c:extLst>
        </c:ser>
        <c:ser>
          <c:idx val="2"/>
          <c:order val="2"/>
          <c:tx>
            <c:strRef>
              <c:f>Dashboard!$L$33</c:f>
              <c:strCache>
                <c:ptCount val="1"/>
                <c:pt idx="0">
                  <c:v>Cash net</c:v>
                </c:pt>
              </c:strCache>
            </c:strRef>
          </c:tx>
          <c:spPr>
            <a:ln w="31750" cap="rnd">
              <a:solidFill>
                <a:srgbClr val="C00000"/>
              </a:solidFill>
              <a:prstDash val="solid"/>
              <a:round/>
            </a:ln>
            <a:effectLst/>
          </c:spPr>
          <c:marker>
            <c:symbol val="none"/>
          </c:marker>
          <c:cat>
            <c:numRef>
              <c:f>Dashboard!$I$34:$I$61</c:f>
              <c:numCache>
                <c:formatCode>mmm\ yy</c:formatCode>
                <c:ptCount val="28"/>
                <c:pt idx="0">
                  <c:v>46296</c:v>
                </c:pt>
                <c:pt idx="1">
                  <c:v>46327</c:v>
                </c:pt>
                <c:pt idx="2">
                  <c:v>46357</c:v>
                </c:pt>
                <c:pt idx="3">
                  <c:v>46388</c:v>
                </c:pt>
                <c:pt idx="4">
                  <c:v>46419</c:v>
                </c:pt>
                <c:pt idx="5">
                  <c:v>46447</c:v>
                </c:pt>
                <c:pt idx="6">
                  <c:v>46478</c:v>
                </c:pt>
                <c:pt idx="7">
                  <c:v>46508</c:v>
                </c:pt>
                <c:pt idx="8">
                  <c:v>46539</c:v>
                </c:pt>
                <c:pt idx="9">
                  <c:v>46569</c:v>
                </c:pt>
                <c:pt idx="10">
                  <c:v>46600</c:v>
                </c:pt>
                <c:pt idx="11">
                  <c:v>46631</c:v>
                </c:pt>
                <c:pt idx="12">
                  <c:v>46661</c:v>
                </c:pt>
                <c:pt idx="13">
                  <c:v>46692</c:v>
                </c:pt>
                <c:pt idx="14">
                  <c:v>46722</c:v>
                </c:pt>
                <c:pt idx="15">
                  <c:v>46753</c:v>
                </c:pt>
                <c:pt idx="16">
                  <c:v>46784</c:v>
                </c:pt>
                <c:pt idx="17">
                  <c:v>46813</c:v>
                </c:pt>
                <c:pt idx="18">
                  <c:v>46844</c:v>
                </c:pt>
                <c:pt idx="19">
                  <c:v>46874</c:v>
                </c:pt>
                <c:pt idx="20">
                  <c:v>46905</c:v>
                </c:pt>
                <c:pt idx="21">
                  <c:v>46935</c:v>
                </c:pt>
                <c:pt idx="22">
                  <c:v>46966</c:v>
                </c:pt>
                <c:pt idx="23">
                  <c:v>46997</c:v>
                </c:pt>
                <c:pt idx="24">
                  <c:v>47027</c:v>
                </c:pt>
                <c:pt idx="25">
                  <c:v>47058</c:v>
                </c:pt>
                <c:pt idx="26">
                  <c:v>47088</c:v>
                </c:pt>
                <c:pt idx="27">
                  <c:v>47119</c:v>
                </c:pt>
              </c:numCache>
            </c:numRef>
          </c:cat>
          <c:val>
            <c:numRef>
              <c:f>Dashboard!$L$34:$L$61</c:f>
              <c:numCache>
                <c:formatCode>#,##0;\(#,##0\);\-</c:formatCode>
                <c:ptCount val="28"/>
                <c:pt idx="0">
                  <c:v>768.98975375992279</c:v>
                </c:pt>
                <c:pt idx="1">
                  <c:v>679.33989707165028</c:v>
                </c:pt>
                <c:pt idx="2">
                  <c:v>-188.43069446064976</c:v>
                </c:pt>
                <c:pt idx="3">
                  <c:v>238.02424223974356</c:v>
                </c:pt>
                <c:pt idx="4">
                  <c:v>-362.54874739735908</c:v>
                </c:pt>
                <c:pt idx="5">
                  <c:v>1665.9321510481345</c:v>
                </c:pt>
                <c:pt idx="6">
                  <c:v>3338.8422138287688</c:v>
                </c:pt>
                <c:pt idx="7">
                  <c:v>4579.8307226804009</c:v>
                </c:pt>
                <c:pt idx="8">
                  <c:v>6554.1814463105347</c:v>
                </c:pt>
                <c:pt idx="9">
                  <c:v>11190.920359153632</c:v>
                </c:pt>
                <c:pt idx="10">
                  <c:v>11515.357694449143</c:v>
                </c:pt>
                <c:pt idx="11">
                  <c:v>11760.233663515786</c:v>
                </c:pt>
                <c:pt idx="12">
                  <c:v>13375.565884728547</c:v>
                </c:pt>
                <c:pt idx="13">
                  <c:v>13919.136197698786</c:v>
                </c:pt>
                <c:pt idx="14">
                  <c:v>13112.827582219596</c:v>
                </c:pt>
                <c:pt idx="15">
                  <c:v>13108.384162185172</c:v>
                </c:pt>
                <c:pt idx="16">
                  <c:v>13138.290126390651</c:v>
                </c:pt>
                <c:pt idx="17">
                  <c:v>14204.682273506056</c:v>
                </c:pt>
                <c:pt idx="18">
                  <c:v>14211.694410441363</c:v>
                </c:pt>
                <c:pt idx="19">
                  <c:v>14267.808651926589</c:v>
                </c:pt>
                <c:pt idx="20">
                  <c:v>12948.671650841721</c:v>
                </c:pt>
                <c:pt idx="21">
                  <c:v>13032.250624506818</c:v>
                </c:pt>
                <c:pt idx="22">
                  <c:v>13065.71858968183</c:v>
                </c:pt>
                <c:pt idx="23">
                  <c:v>14161.303871621745</c:v>
                </c:pt>
                <c:pt idx="24">
                  <c:v>14124.196319538412</c:v>
                </c:pt>
                <c:pt idx="25">
                  <c:v>14173.150409215079</c:v>
                </c:pt>
                <c:pt idx="26">
                  <c:v>14136.042857131746</c:v>
                </c:pt>
                <c:pt idx="27">
                  <c:v>14098.935305048413</c:v>
                </c:pt>
              </c:numCache>
            </c:numRef>
          </c:val>
          <c:smooth val="0"/>
          <c:extLst>
            <c:ext xmlns:c16="http://schemas.microsoft.com/office/drawing/2014/chart" uri="{C3380CC4-5D6E-409C-BE32-E72D297353CC}">
              <c16:uniqueId val="{00000002-D2CB-EE41-ADE1-8769C91A260F}"/>
            </c:ext>
          </c:extLst>
        </c:ser>
        <c:dLbls>
          <c:showLegendKey val="0"/>
          <c:showVal val="0"/>
          <c:showCatName val="0"/>
          <c:showSerName val="0"/>
          <c:showPercent val="0"/>
          <c:showBubbleSize val="0"/>
        </c:dLbls>
        <c:smooth val="0"/>
        <c:axId val="2027107903"/>
        <c:axId val="2027121151"/>
      </c:lineChart>
      <c:dateAx>
        <c:axId val="2027107903"/>
        <c:scaling>
          <c:orientation val="minMax"/>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AE"/>
          </a:p>
        </c:txPr>
        <c:crossAx val="2027121151"/>
        <c:crosses val="autoZero"/>
        <c:auto val="1"/>
        <c:lblOffset val="100"/>
        <c:baseTimeUnit val="months"/>
        <c:majorUnit val="3"/>
        <c:majorTimeUnit val="months"/>
        <c:minorUnit val="3"/>
      </c:dateAx>
      <c:valAx>
        <c:axId val="2027121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AE"/>
          </a:p>
        </c:txPr>
        <c:crossAx val="2027107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A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Arial"/>
                <a:ea typeface="Arial"/>
                <a:cs typeface="Arial"/>
              </a:defRPr>
            </a:pPr>
            <a:r>
              <a:rPr lang="en-US"/>
              <a:t>Escrow headroom falls below 1.00x only on a long handover slip (before cost and debt service)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Arial"/>
              <a:ea typeface="Arial"/>
              <a:cs typeface="Arial"/>
            </a:defRPr>
          </a:pPr>
          <a:endParaRPr lang="en-AE"/>
        </a:p>
      </c:txPr>
    </c:title>
    <c:autoTitleDeleted val="0"/>
    <c:plotArea>
      <c:layout/>
      <c:lineChart>
        <c:grouping val="standard"/>
        <c:varyColors val="0"/>
        <c:ser>
          <c:idx val="0"/>
          <c:order val="0"/>
          <c:tx>
            <c:strRef>
              <c:f>Dashboard!$J$22</c:f>
              <c:strCache>
                <c:ptCount val="1"/>
                <c:pt idx="0">
                  <c:v>No cancellations</c:v>
                </c:pt>
              </c:strCache>
            </c:strRef>
          </c:tx>
          <c:spPr>
            <a:ln w="31750" cap="rnd">
              <a:solidFill>
                <a:srgbClr val="2E5C8A"/>
              </a:solidFill>
              <a:prstDash val="solid"/>
              <a:round/>
            </a:ln>
            <a:effectLst/>
          </c:spPr>
          <c:marker>
            <c:symbol val="none"/>
          </c:marker>
          <c:cat>
            <c:numRef>
              <c:f>Dashboard!$I$23:$I$29</c:f>
              <c:numCache>
                <c:formatCode>0</c:formatCode>
                <c:ptCount val="7"/>
                <c:pt idx="0">
                  <c:v>0</c:v>
                </c:pt>
                <c:pt idx="1">
                  <c:v>5</c:v>
                </c:pt>
                <c:pt idx="2">
                  <c:v>10</c:v>
                </c:pt>
                <c:pt idx="3">
                  <c:v>15</c:v>
                </c:pt>
                <c:pt idx="4">
                  <c:v>20</c:v>
                </c:pt>
                <c:pt idx="5">
                  <c:v>25</c:v>
                </c:pt>
                <c:pt idx="6">
                  <c:v>30</c:v>
                </c:pt>
              </c:numCache>
            </c:numRef>
          </c:cat>
          <c:val>
            <c:numRef>
              <c:f>Dashboard!$J$23:$J$29</c:f>
              <c:numCache>
                <c:formatCode>0.00\x</c:formatCode>
                <c:ptCount val="7"/>
                <c:pt idx="0">
                  <c:v>3.7916279057820979</c:v>
                </c:pt>
                <c:pt idx="1">
                  <c:v>2.7709490657616209</c:v>
                </c:pt>
                <c:pt idx="2">
                  <c:v>1.9757643675123036</c:v>
                </c:pt>
                <c:pt idx="3">
                  <c:v>1.4956876732864679</c:v>
                </c:pt>
                <c:pt idx="4">
                  <c:v>1.2380559978551051</c:v>
                </c:pt>
                <c:pt idx="5">
                  <c:v>1.0774231727311314</c:v>
                </c:pt>
                <c:pt idx="6">
                  <c:v>0.96774186962026676</c:v>
                </c:pt>
              </c:numCache>
            </c:numRef>
          </c:val>
          <c:smooth val="0"/>
          <c:extLst>
            <c:ext xmlns:c16="http://schemas.microsoft.com/office/drawing/2014/chart" uri="{C3380CC4-5D6E-409C-BE32-E72D297353CC}">
              <c16:uniqueId val="{00000000-A990-484F-A8EF-50E9ED603140}"/>
            </c:ext>
          </c:extLst>
        </c:ser>
        <c:ser>
          <c:idx val="1"/>
          <c:order val="1"/>
          <c:tx>
            <c:strRef>
              <c:f>Dashboard!$K$22</c:f>
              <c:strCache>
                <c:ptCount val="1"/>
                <c:pt idx="0">
                  <c:v>15% cancellations</c:v>
                </c:pt>
              </c:strCache>
            </c:strRef>
          </c:tx>
          <c:spPr>
            <a:ln w="31750" cap="rnd">
              <a:solidFill>
                <a:srgbClr val="E36C0A"/>
              </a:solidFill>
              <a:prstDash val="solid"/>
              <a:round/>
            </a:ln>
            <a:effectLst/>
          </c:spPr>
          <c:marker>
            <c:symbol val="none"/>
          </c:marker>
          <c:cat>
            <c:numRef>
              <c:f>Dashboard!$I$23:$I$29</c:f>
              <c:numCache>
                <c:formatCode>0</c:formatCode>
                <c:ptCount val="7"/>
                <c:pt idx="0">
                  <c:v>0</c:v>
                </c:pt>
                <c:pt idx="1">
                  <c:v>5</c:v>
                </c:pt>
                <c:pt idx="2">
                  <c:v>10</c:v>
                </c:pt>
                <c:pt idx="3">
                  <c:v>15</c:v>
                </c:pt>
                <c:pt idx="4">
                  <c:v>20</c:v>
                </c:pt>
                <c:pt idx="5">
                  <c:v>25</c:v>
                </c:pt>
                <c:pt idx="6">
                  <c:v>30</c:v>
                </c:pt>
              </c:numCache>
            </c:numRef>
          </c:cat>
          <c:val>
            <c:numRef>
              <c:f>Dashboard!$K$23:$K$29</c:f>
              <c:numCache>
                <c:formatCode>0.00\x</c:formatCode>
                <c:ptCount val="7"/>
                <c:pt idx="0">
                  <c:v>3.1277083184306398</c:v>
                </c:pt>
                <c:pt idx="1">
                  <c:v>2.2433021063609355</c:v>
                </c:pt>
                <c:pt idx="2">
                  <c:v>1.5555882683128028</c:v>
                </c:pt>
                <c:pt idx="3">
                  <c:v>1.14108353496077</c:v>
                </c:pt>
                <c:pt idx="4">
                  <c:v>0.92079570799939092</c:v>
                </c:pt>
                <c:pt idx="5">
                  <c:v>0.78464204189107245</c:v>
                </c:pt>
                <c:pt idx="6">
                  <c:v>0.69176633474284988</c:v>
                </c:pt>
              </c:numCache>
            </c:numRef>
          </c:val>
          <c:smooth val="0"/>
          <c:extLst>
            <c:ext xmlns:c16="http://schemas.microsoft.com/office/drawing/2014/chart" uri="{C3380CC4-5D6E-409C-BE32-E72D297353CC}">
              <c16:uniqueId val="{00000001-A990-484F-A8EF-50E9ED603140}"/>
            </c:ext>
          </c:extLst>
        </c:ser>
        <c:dLbls>
          <c:showLegendKey val="0"/>
          <c:showVal val="0"/>
          <c:showCatName val="0"/>
          <c:showSerName val="0"/>
          <c:showPercent val="0"/>
          <c:showBubbleSize val="0"/>
        </c:dLbls>
        <c:smooth val="0"/>
        <c:axId val="2026809407"/>
        <c:axId val="2026813887"/>
      </c:lineChart>
      <c:catAx>
        <c:axId val="20268094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r>
                  <a:rPr lang="en-US"/>
                  <a:t>Months of handover delay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AE"/>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AE"/>
          </a:p>
        </c:txPr>
        <c:crossAx val="2026813887"/>
        <c:crosses val="autoZero"/>
        <c:auto val="1"/>
        <c:lblAlgn val="ctr"/>
        <c:lblOffset val="100"/>
        <c:noMultiLvlLbl val="0"/>
      </c:catAx>
      <c:valAx>
        <c:axId val="2026813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r>
                  <a:rPr lang="en-US"/>
                  <a:t>Headroom (x)</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AE"/>
            </a:p>
          </c:txPr>
        </c:title>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AE"/>
          </a:p>
        </c:txPr>
        <c:crossAx val="2026809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A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110</xdr:row>
      <xdr:rowOff>0</xdr:rowOff>
    </xdr:from>
    <xdr:to>
      <xdr:col>7</xdr:col>
      <xdr:colOff>0</xdr:colOff>
      <xdr:row>129</xdr:row>
      <xdr:rowOff>63500</xdr:rowOff>
    </xdr:to>
    <xdr:graphicFrame macro="">
      <xdr:nvGraphicFramePr>
        <xdr:cNvPr id="3" name="CoverageByScenario">
          <a:extLst>
            <a:ext uri="{FF2B5EF4-FFF2-40B4-BE49-F238E27FC236}">
              <a16:creationId xmlns:a16="http://schemas.microsoft.com/office/drawing/2014/main" id="{AB3FDEFB-75E6-25C6-E1D0-F6D19109B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130</xdr:row>
      <xdr:rowOff>63500</xdr:rowOff>
    </xdr:from>
    <xdr:to>
      <xdr:col>7</xdr:col>
      <xdr:colOff>0</xdr:colOff>
      <xdr:row>149</xdr:row>
      <xdr:rowOff>127000</xdr:rowOff>
    </xdr:to>
    <xdr:graphicFrame macro="">
      <xdr:nvGraphicFramePr>
        <xdr:cNvPr id="5" name="ReleaseVsDebt">
          <a:extLst>
            <a:ext uri="{FF2B5EF4-FFF2-40B4-BE49-F238E27FC236}">
              <a16:creationId xmlns:a16="http://schemas.microsoft.com/office/drawing/2014/main" id="{AAD0C51D-B4C9-DDD2-B064-5984D8957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150</xdr:row>
      <xdr:rowOff>127000</xdr:rowOff>
    </xdr:from>
    <xdr:to>
      <xdr:col>7</xdr:col>
      <xdr:colOff>0</xdr:colOff>
      <xdr:row>170</xdr:row>
      <xdr:rowOff>0</xdr:rowOff>
    </xdr:to>
    <xdr:graphicFrame macro="">
      <xdr:nvGraphicFramePr>
        <xdr:cNvPr id="6" name="CoverageVsDelay">
          <a:extLst>
            <a:ext uri="{FF2B5EF4-FFF2-40B4-BE49-F238E27FC236}">
              <a16:creationId xmlns:a16="http://schemas.microsoft.com/office/drawing/2014/main" id="{A53D0DB1-0A6F-962B-35E9-89BC04418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169860-3E86-2B4C-B54D-B71199F15300}">
  <we:reference id="wa200009404" version="1.0.0.8" store="en-US" storeType="OMEX"/>
  <we:alternateReferences>
    <we:reference id="wa200009404" version="1.0.0.8" store="" storeType="OMEX"/>
  </we:alternateReferences>
  <we:properties>
    <we:property name="claude.fileId" value="&quot;b471b77c-8186-423c-8768-28459480646e&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6836A-66C6-E64C-BFCB-9B75A4D3093F}">
  <sheetPr>
    <tabColor rgb="FF1F3864"/>
    <pageSetUpPr fitToPage="1"/>
  </sheetPr>
  <dimension ref="A1:H95"/>
  <sheetViews>
    <sheetView showGridLines="0" tabSelected="1" workbookViewId="0">
      <pane ySplit="2" topLeftCell="A3" activePane="bottomLeft" state="frozen"/>
      <selection pane="bottomLeft" sqref="A1:G1"/>
    </sheetView>
  </sheetViews>
  <sheetFormatPr baseColWidth="10" defaultRowHeight="15" x14ac:dyDescent="0.2"/>
  <cols>
    <col min="1" max="1" width="50" customWidth="1"/>
    <col min="2" max="2" width="17.5" customWidth="1"/>
    <col min="3" max="3" width="15.83203125" customWidth="1"/>
    <col min="4" max="4" width="12" customWidth="1"/>
    <col min="5" max="5" width="18.6640625" customWidth="1"/>
    <col min="6" max="6" width="14.1640625" customWidth="1"/>
    <col min="7" max="7" width="15.33203125" customWidth="1"/>
    <col min="8" max="8" width="33.33203125" customWidth="1"/>
  </cols>
  <sheetData>
    <row r="1" spans="1:8" ht="28" customHeight="1" x14ac:dyDescent="0.2">
      <c r="A1" s="377" t="s">
        <v>474</v>
      </c>
      <c r="B1" s="377"/>
      <c r="C1" s="377"/>
      <c r="D1" s="377"/>
      <c r="E1" s="377"/>
      <c r="F1" s="377"/>
      <c r="G1" s="377"/>
      <c r="H1" s="28"/>
    </row>
    <row r="2" spans="1:8" ht="18.25" customHeight="1" x14ac:dyDescent="0.2">
      <c r="A2" s="116" t="s">
        <v>475</v>
      </c>
      <c r="B2" s="115"/>
      <c r="C2" s="115"/>
      <c r="D2" s="34"/>
      <c r="E2" s="34"/>
      <c r="F2" s="34"/>
      <c r="G2" s="34"/>
      <c r="H2" s="28"/>
    </row>
    <row r="3" spans="1:8" ht="15" customHeight="1" x14ac:dyDescent="0.2">
      <c r="A3" s="35"/>
      <c r="B3" s="35"/>
      <c r="C3" s="35"/>
      <c r="D3" s="35"/>
      <c r="E3" s="35"/>
      <c r="F3" s="35"/>
      <c r="G3" s="35"/>
      <c r="H3" s="28"/>
    </row>
    <row r="4" spans="1:8" ht="17.25" customHeight="1" x14ac:dyDescent="0.2">
      <c r="A4" s="36" t="s">
        <v>476</v>
      </c>
      <c r="B4" s="37" t="s">
        <v>477</v>
      </c>
      <c r="C4" s="35"/>
      <c r="D4" s="35"/>
      <c r="E4" s="35"/>
      <c r="F4" s="35"/>
      <c r="G4" s="35"/>
      <c r="H4" s="28"/>
    </row>
    <row r="5" spans="1:8" ht="17.25" customHeight="1" x14ac:dyDescent="0.2">
      <c r="A5" s="36" t="s">
        <v>478</v>
      </c>
      <c r="B5" s="38">
        <f>Simulator!$C$3</f>
        <v>46275</v>
      </c>
      <c r="C5" s="35"/>
      <c r="D5" s="35"/>
      <c r="E5" s="35"/>
      <c r="F5" s="35"/>
      <c r="G5" s="35"/>
      <c r="H5" s="28"/>
    </row>
    <row r="6" spans="1:8" ht="17.25" customHeight="1" x14ac:dyDescent="0.2">
      <c r="A6" s="36" t="s">
        <v>479</v>
      </c>
      <c r="B6" s="37" t="s">
        <v>480</v>
      </c>
      <c r="C6" s="35"/>
      <c r="D6" s="35"/>
      <c r="E6" s="35"/>
      <c r="F6" s="35"/>
      <c r="G6" s="35"/>
      <c r="H6" s="28"/>
    </row>
    <row r="7" spans="1:8" ht="17.25" customHeight="1" x14ac:dyDescent="0.2">
      <c r="A7" s="36" t="s">
        <v>481</v>
      </c>
      <c r="B7" s="37" t="s">
        <v>482</v>
      </c>
      <c r="C7" s="35"/>
      <c r="D7" s="35"/>
      <c r="E7" s="35"/>
      <c r="F7" s="35"/>
      <c r="G7" s="35"/>
      <c r="H7" s="28"/>
    </row>
    <row r="8" spans="1:8" ht="17.25" customHeight="1" x14ac:dyDescent="0.2">
      <c r="A8" s="36" t="s">
        <v>3</v>
      </c>
      <c r="B8" s="39" t="str">
        <f>Scenarios!$C$3</f>
        <v>Base</v>
      </c>
      <c r="C8" s="35"/>
      <c r="D8" s="35"/>
      <c r="E8" s="35"/>
      <c r="F8" s="35"/>
      <c r="G8" s="35"/>
      <c r="H8" s="28"/>
    </row>
    <row r="9" spans="1:8" ht="15" customHeight="1" x14ac:dyDescent="0.2">
      <c r="A9" s="35"/>
      <c r="B9" s="35"/>
      <c r="C9" s="35"/>
      <c r="D9" s="35"/>
      <c r="E9" s="35"/>
      <c r="F9" s="35"/>
      <c r="G9" s="35"/>
      <c r="H9" s="28"/>
    </row>
    <row r="10" spans="1:8" ht="18.5" customHeight="1" x14ac:dyDescent="0.2">
      <c r="A10" s="40" t="s">
        <v>483</v>
      </c>
      <c r="B10" s="40"/>
      <c r="C10" s="40"/>
      <c r="D10" s="40"/>
      <c r="E10" s="40"/>
      <c r="F10" s="40"/>
      <c r="G10" s="40"/>
      <c r="H10" s="28"/>
    </row>
    <row r="11" spans="1:8" ht="44.5" customHeight="1" x14ac:dyDescent="0.2">
      <c r="A11" s="128" t="s">
        <v>788</v>
      </c>
      <c r="B11" s="128"/>
      <c r="C11" s="128"/>
      <c r="D11" s="35"/>
      <c r="E11" s="35"/>
      <c r="F11" s="35"/>
      <c r="G11" s="35"/>
      <c r="H11" s="28"/>
    </row>
    <row r="12" spans="1:8" ht="15" customHeight="1" x14ac:dyDescent="0.2">
      <c r="A12" s="35"/>
      <c r="B12" s="35"/>
      <c r="C12" s="35"/>
      <c r="D12" s="35"/>
      <c r="E12" s="35"/>
      <c r="F12" s="35"/>
      <c r="G12" s="35"/>
      <c r="H12" s="28"/>
    </row>
    <row r="13" spans="1:8" ht="20.75" customHeight="1" x14ac:dyDescent="0.2">
      <c r="A13" s="258" t="s">
        <v>1145</v>
      </c>
      <c r="B13" s="258"/>
      <c r="C13" s="258"/>
      <c r="D13" s="258"/>
      <c r="E13" s="258"/>
      <c r="F13" s="258"/>
      <c r="G13" s="258"/>
      <c r="H13" s="28"/>
    </row>
    <row r="14" spans="1:8" ht="71" customHeight="1" x14ac:dyDescent="0.2">
      <c r="A14" s="259" t="str">
        <f>"On the data the Dubai Land Department register holds today, and on three assumptions set out below that we have had to derive rather than obtain, "&amp;COUNTIF($F$16:$F$23,"&lt;1")&amp;" of the eight maturities to 2031 are not met from modelled cash, short by AED "&amp;TEXT($G$24,"#,##0")&amp;_xlfn._LONGTEXT(" m in total. Read that as conditional. Each of the three assumptions, moved on its own within a plausible range, reverses it: see the box below. The table is ordered by maturity date; cash available is the modelled balance in the maturity month before tha","t principal is paid, after the cost of completing the towers and all profit and interest payments. Sukuk carry their actual coupons; the bank rate is backed out of reported finance cost.")</f>
        <v>On the data the Dubai Land Department register holds today, and on three assumptions set out below that we have had to derive rather than obtain, 2 of the eight maturities to 2031 are not met from modelled cash, short by AED 551 m in total. Read that as conditional. Each of the three assumptions, moved on its own within a plausible range, reverses it: see the box below. The table is ordered by maturity date; cash available is the modelled balance in the maturity month before that principal is paid, after the cost of completing the towers and all profit and interest payments. Sukuk carry their actual coupons; the bank rate is backed out of reported finance cost.</v>
      </c>
      <c r="B14" s="259"/>
      <c r="C14" s="259"/>
      <c r="D14" s="259"/>
      <c r="E14" s="259"/>
      <c r="F14" s="259"/>
      <c r="G14" s="259"/>
      <c r="H14" s="28"/>
    </row>
    <row r="15" spans="1:8" ht="17.25" customHeight="1" x14ac:dyDescent="0.2">
      <c r="A15" s="256" t="s">
        <v>189</v>
      </c>
      <c r="B15" s="253" t="s">
        <v>196</v>
      </c>
      <c r="C15" s="253" t="s">
        <v>738</v>
      </c>
      <c r="D15" s="253" t="s">
        <v>739</v>
      </c>
      <c r="E15" s="253" t="s">
        <v>770</v>
      </c>
      <c r="F15" s="253" t="s">
        <v>486</v>
      </c>
      <c r="G15" s="253" t="s">
        <v>487</v>
      </c>
      <c r="H15" s="249" t="s">
        <v>854</v>
      </c>
    </row>
    <row r="16" spans="1:8" ht="17.25" customHeight="1" x14ac:dyDescent="0.2">
      <c r="A16" s="363" t="str">
        <f>INDEX('Cash flow'!$A$94:$A$101,MATCH($B16,'Cash flow'!$B$94:$B$101,0))</f>
        <v>Secured bank debt — due H2 2026</v>
      </c>
      <c r="B16" s="364">
        <f>SMALL('Cash flow'!$B$94:$B$101,ROW()-15)</f>
        <v>46387</v>
      </c>
      <c r="C16" s="365">
        <f>INDEX('Cash flow'!$C$94:$C$101,MATCH($B16,'Cash flow'!$B$94:$B$101,0))</f>
        <v>1031.9724999999999</v>
      </c>
      <c r="D16" s="366">
        <f>INDEX('Cash flow'!$D$32:$D$39,MATCH($B16,'Cash flow'!$B$94:$B$101,0))</f>
        <v>9.7691708762201374E-2</v>
      </c>
      <c r="E16" s="365">
        <f>INDEX('Cash flow'!$E$94:$E$101,MATCH($B16,'Cash flow'!$B$94:$B$101,0))</f>
        <v>843.54180553935009</v>
      </c>
      <c r="F16" s="367">
        <f>INDEX('Cash flow'!$F$94:$F$101,MATCH($B16,'Cash flow'!$B$94:$B$101,0))</f>
        <v>0.81740725216936516</v>
      </c>
      <c r="G16" s="365">
        <f>INDEX('Cash flow'!$G$94:$G$101,MATCH($B16,'Cash flow'!$B$94:$B$101,0))</f>
        <v>188.43069446064976</v>
      </c>
      <c r="H16" s="3" t="str">
        <f>INDEX('Cash flow'!$H$32:$H$39,MATCH($B16,'Cash flow'!$B$94:$B$101,0))</f>
        <v>derived, section 3b</v>
      </c>
    </row>
    <row r="17" spans="1:8" ht="17.25" customHeight="1" x14ac:dyDescent="0.2">
      <c r="A17" s="368" t="str">
        <f>INDEX('Cash flow'!$A$94:$A$101,MATCH($B17,'Cash flow'!$B$94:$B$101,0))</f>
        <v>9.625% sukuk due 28 Feb 2027</v>
      </c>
      <c r="B17" s="369">
        <f>SMALL('Cash flow'!$B$94:$B$101,ROW()-15)</f>
        <v>46446</v>
      </c>
      <c r="C17" s="370">
        <f>INDEX('Cash flow'!$C$94:$C$101,MATCH($B17,'Cash flow'!$B$94:$B$101,0))</f>
        <v>1836.25</v>
      </c>
      <c r="D17" s="371">
        <f>INDEX('Cash flow'!$D$32:$D$39,MATCH($B17,'Cash flow'!$B$94:$B$101,0))</f>
        <v>9.6250000000000002E-2</v>
      </c>
      <c r="E17" s="370">
        <f>INDEX('Cash flow'!$E$94:$E$101,MATCH($B17,'Cash flow'!$B$94:$B$101,0))</f>
        <v>1473.701252602641</v>
      </c>
      <c r="F17" s="372">
        <f>INDEX('Cash flow'!$F$94:$F$101,MATCH($B17,'Cash flow'!$B$94:$B$101,0))</f>
        <v>0.80256024648203728</v>
      </c>
      <c r="G17" s="370">
        <f>INDEX('Cash flow'!$G$94:$G$101,MATCH($B17,'Cash flow'!$B$94:$B$101,0))</f>
        <v>362.54874739735897</v>
      </c>
      <c r="H17" s="3" t="str">
        <f>INDEX('Cash flow'!$H$32:$H$39,MATCH($B17,'Cash flow'!$B$94:$B$101,0))</f>
        <v>actual coupon, offering circular</v>
      </c>
    </row>
    <row r="18" spans="1:8" ht="17.25" customHeight="1" x14ac:dyDescent="0.2">
      <c r="A18" s="363" t="str">
        <f>INDEX('Cash flow'!$A$94:$A$101,MATCH($B18,'Cash flow'!$B$94:$B$101,0))</f>
        <v>Secured bank debt — due H1 2027</v>
      </c>
      <c r="B18" s="364">
        <f>SMALL('Cash flow'!$B$94:$B$101,ROW()-15)</f>
        <v>46568</v>
      </c>
      <c r="C18" s="365">
        <f>INDEX('Cash flow'!$C$94:$C$101,MATCH($B18,'Cash flow'!$B$94:$B$101,0))</f>
        <v>690.43</v>
      </c>
      <c r="D18" s="366">
        <f>INDEX('Cash flow'!$D$32:$D$39,MATCH($B18,'Cash flow'!$B$94:$B$101,0))</f>
        <v>9.7691708762201374E-2</v>
      </c>
      <c r="E18" s="365">
        <f>INDEX('Cash flow'!$E$94:$E$101,MATCH($B18,'Cash flow'!$B$94:$B$101,0))</f>
        <v>7244.611446310535</v>
      </c>
      <c r="F18" s="367">
        <f>INDEX('Cash flow'!$F$94:$F$101,MATCH($B18,'Cash flow'!$B$94:$B$101,0))</f>
        <v>10.492897826442269</v>
      </c>
      <c r="G18" s="365">
        <f>INDEX('Cash flow'!$G$94:$G$101,MATCH($B18,'Cash flow'!$B$94:$B$101,0))</f>
        <v>0</v>
      </c>
      <c r="H18" s="3" t="str">
        <f>INDEX('Cash flow'!$H$32:$H$39,MATCH($B18,'Cash flow'!$B$94:$B$101,0))</f>
        <v>derived, section 3b</v>
      </c>
    </row>
    <row r="19" spans="1:8" ht="17.25" customHeight="1" x14ac:dyDescent="0.2">
      <c r="A19" s="368" t="str">
        <f>INDEX('Cash flow'!$A$94:$A$101,MATCH($B19,'Cash flow'!$B$94:$B$101,0))</f>
        <v>Secured bank debt — due H2 2027</v>
      </c>
      <c r="B19" s="369">
        <f>SMALL('Cash flow'!$B$94:$B$101,ROW()-15)</f>
        <v>46752</v>
      </c>
      <c r="C19" s="370">
        <f>INDEX('Cash flow'!$C$94:$C$101,MATCH($B19,'Cash flow'!$B$94:$B$101,0))</f>
        <v>1182.5450000000001</v>
      </c>
      <c r="D19" s="371">
        <f>INDEX('Cash flow'!$D$32:$D$39,MATCH($B19,'Cash flow'!$B$94:$B$101,0))</f>
        <v>9.7691708762201374E-2</v>
      </c>
      <c r="E19" s="370">
        <f>INDEX('Cash flow'!$E$94:$E$101,MATCH($B19,'Cash flow'!$B$94:$B$101,0))</f>
        <v>14295.372582219596</v>
      </c>
      <c r="F19" s="372">
        <f>INDEX('Cash flow'!$F$94:$F$101,MATCH($B19,'Cash flow'!$B$94:$B$101,0))</f>
        <v>12.088649972914007</v>
      </c>
      <c r="G19" s="370">
        <f>INDEX('Cash flow'!$G$94:$G$101,MATCH($B19,'Cash flow'!$B$94:$B$101,0))</f>
        <v>0</v>
      </c>
      <c r="H19" s="3" t="str">
        <f>INDEX('Cash flow'!$H$32:$H$39,MATCH($B19,'Cash flow'!$B$94:$B$101,0))</f>
        <v>derived, section 3b</v>
      </c>
    </row>
    <row r="20" spans="1:8" ht="17.25" customHeight="1" x14ac:dyDescent="0.2">
      <c r="A20" s="363" t="str">
        <f>INDEX('Cash flow'!$A$94:$A$101,MATCH($B20,'Cash flow'!$B$94:$B$101,0))</f>
        <v>Secured bank debt — due 2028</v>
      </c>
      <c r="B20" s="364">
        <f>SMALL('Cash flow'!$B$94:$B$101,ROW()-15)</f>
        <v>46934</v>
      </c>
      <c r="C20" s="365">
        <f>INDEX('Cash flow'!$C$94:$C$101,MATCH($B20,'Cash flow'!$B$94:$B$101,0))</f>
        <v>1373.5149999999999</v>
      </c>
      <c r="D20" s="366">
        <f>INDEX('Cash flow'!$D$32:$D$39,MATCH($B20,'Cash flow'!$B$94:$B$101,0))</f>
        <v>9.7691708762201374E-2</v>
      </c>
      <c r="E20" s="365">
        <f>INDEX('Cash flow'!$E$94:$E$101,MATCH($B20,'Cash flow'!$B$94:$B$101,0))</f>
        <v>14322.186650841721</v>
      </c>
      <c r="F20" s="367">
        <f>INDEX('Cash flow'!$F$94:$F$101,MATCH($B20,'Cash flow'!$B$94:$B$101,0))</f>
        <v>10.427397335188711</v>
      </c>
      <c r="G20" s="365">
        <f>INDEX('Cash flow'!$G$94:$G$101,MATCH($B20,'Cash flow'!$B$94:$B$101,0))</f>
        <v>0</v>
      </c>
      <c r="H20" s="3" t="str">
        <f>INDEX('Cash flow'!$H$32:$H$39,MATCH($B20,'Cash flow'!$B$94:$B$101,0))</f>
        <v>derived, section 3b</v>
      </c>
    </row>
    <row r="21" spans="1:8" ht="17.25" customHeight="1" x14ac:dyDescent="0.2">
      <c r="A21" s="368" t="str">
        <f>INDEX('Cash flow'!$A$94:$A$101,MATCH($B21,'Cash flow'!$B$94:$B$101,0))</f>
        <v>7.75% green sukuk due 2 Jul 2029</v>
      </c>
      <c r="B21" s="369">
        <f>SMALL('Cash flow'!$B$94:$B$101,ROW()-15)</f>
        <v>47301</v>
      </c>
      <c r="C21" s="370">
        <f>INDEX('Cash flow'!$C$94:$C$101,MATCH($B21,'Cash flow'!$B$94:$B$101,0))</f>
        <v>1836.25</v>
      </c>
      <c r="D21" s="371">
        <f>INDEX('Cash flow'!$D$32:$D$39,MATCH($B21,'Cash flow'!$B$94:$B$101,0))</f>
        <v>7.7499999999999999E-2</v>
      </c>
      <c r="E21" s="370">
        <f>INDEX('Cash flow'!$E$94:$E$101,MATCH($B21,'Cash flow'!$B$94:$B$101,0))</f>
        <v>13876.289992548416</v>
      </c>
      <c r="F21" s="372">
        <f>INDEX('Cash flow'!$F$94:$F$101,MATCH($B21,'Cash flow'!$B$94:$B$101,0))</f>
        <v>7.5568631681679594</v>
      </c>
      <c r="G21" s="370">
        <f>INDEX('Cash flow'!$G$94:$G$101,MATCH($B21,'Cash flow'!$B$94:$B$101,0))</f>
        <v>0</v>
      </c>
      <c r="H21" s="3" t="str">
        <f>INDEX('Cash flow'!$H$32:$H$39,MATCH($B21,'Cash flow'!$B$94:$B$101,0))</f>
        <v>actual coupon, offering circular</v>
      </c>
    </row>
    <row r="22" spans="1:8" ht="17.25" customHeight="1" x14ac:dyDescent="0.2">
      <c r="A22" s="363" t="str">
        <f>INDEX('Cash flow'!$A$94:$A$101,MATCH($B22,'Cash flow'!$B$94:$B$101,0))</f>
        <v>8.125% sukuk due 7 Aug 2030</v>
      </c>
      <c r="B22" s="364">
        <f>SMALL('Cash flow'!$B$94:$B$101,ROW()-15)</f>
        <v>47702</v>
      </c>
      <c r="C22" s="365">
        <f>INDEX('Cash flow'!$C$94:$C$101,MATCH($B22,'Cash flow'!$B$94:$B$101,0))</f>
        <v>1836.25</v>
      </c>
      <c r="D22" s="366">
        <f>INDEX('Cash flow'!$D$32:$D$39,MATCH($B22,'Cash flow'!$B$94:$B$101,0))</f>
        <v>8.1250000000000003E-2</v>
      </c>
      <c r="E22" s="365">
        <f>INDEX('Cash flow'!$E$94:$E$101,MATCH($B22,'Cash flow'!$B$94:$B$101,0))</f>
        <v>11897.476760798412</v>
      </c>
      <c r="F22" s="367">
        <f>INDEX('Cash flow'!$F$94:$F$101,MATCH($B22,'Cash flow'!$B$94:$B$101,0))</f>
        <v>6.4792249207887878</v>
      </c>
      <c r="G22" s="365">
        <f>INDEX('Cash flow'!$G$94:$G$101,MATCH($B22,'Cash flow'!$B$94:$B$101,0))</f>
        <v>0</v>
      </c>
      <c r="H22" s="3" t="str">
        <f>INDEX('Cash flow'!$H$32:$H$39,MATCH($B22,'Cash flow'!$B$94:$B$101,0))</f>
        <v>actual coupon, offering circular</v>
      </c>
    </row>
    <row r="23" spans="1:8" ht="17.25" customHeight="1" x14ac:dyDescent="0.2">
      <c r="A23" s="368" t="str">
        <f>INDEX('Cash flow'!$A$94:$A$101,MATCH($B23,'Cash flow'!$B$94:$B$101,0))</f>
        <v>8.375% sukuk due 12 Aug 2031</v>
      </c>
      <c r="B23" s="369">
        <f>SMALL('Cash flow'!$B$94:$B$101,ROW()-15)</f>
        <v>48072</v>
      </c>
      <c r="C23" s="370">
        <f>INDEX('Cash flow'!$C$94:$C$101,MATCH($B23,'Cash flow'!$B$94:$B$101,0))</f>
        <v>1836.25</v>
      </c>
      <c r="D23" s="371">
        <f>INDEX('Cash flow'!$D$32:$D$39,MATCH($B23,'Cash flow'!$B$94:$B$101,0))</f>
        <v>8.3750000000000005E-2</v>
      </c>
      <c r="E23" s="370">
        <f>INDEX('Cash flow'!$E$94:$E$101,MATCH($B23,'Cash flow'!$B$94:$B$101,0))</f>
        <v>9907.4408232984151</v>
      </c>
      <c r="F23" s="372">
        <f>INDEX('Cash flow'!$F$94:$F$101,MATCH($B23,'Cash flow'!$B$94:$B$101,0))</f>
        <v>5.3954749207887893</v>
      </c>
      <c r="G23" s="370">
        <f>INDEX('Cash flow'!$G$94:$G$101,MATCH($B23,'Cash flow'!$B$94:$B$101,0))</f>
        <v>0</v>
      </c>
      <c r="H23" s="3" t="str">
        <f>INDEX('Cash flow'!$H$32:$H$39,MATCH($B23,'Cash flow'!$B$94:$B$101,0))</f>
        <v>actual coupon, offering circular</v>
      </c>
    </row>
    <row r="24" spans="1:8" ht="17.25" customHeight="1" x14ac:dyDescent="0.2">
      <c r="A24" s="257" t="s">
        <v>233</v>
      </c>
      <c r="B24" s="287"/>
      <c r="C24" s="254">
        <f>SUM(C16:C23)</f>
        <v>11623.4625</v>
      </c>
      <c r="D24" s="255">
        <f>IF(C24&gt;0,SUMPRODUCT(C16:C23,D16:D23)/C24,"")</f>
        <v>8.9474199275818206E-2</v>
      </c>
      <c r="E24" s="287"/>
      <c r="F24" s="287"/>
      <c r="G24" s="254">
        <f>SUM(G16:G23)</f>
        <v>550.97944185800873</v>
      </c>
      <c r="H24" s="28"/>
    </row>
    <row r="25" spans="1:8" ht="18.5" customHeight="1" x14ac:dyDescent="0.2">
      <c r="A25" s="28"/>
      <c r="B25" s="28"/>
      <c r="C25" s="28"/>
      <c r="D25" s="28"/>
      <c r="E25" s="28"/>
      <c r="F25" s="28"/>
      <c r="G25" s="28"/>
      <c r="H25" s="28"/>
    </row>
    <row r="26" spans="1:8" ht="36.75" customHeight="1" x14ac:dyDescent="0.2">
      <c r="A26" s="261" t="str" cm="1">
        <f t="array" ref="A26">IF(COUNTIF($F$16:$F$23,"&lt;1")=0,"No modelled shortfall on any maturity to 2031","Total shortfall, last affected maturity "&amp;TEXT(MAX(($G$16:$G$23&gt;0)*$B$16:$B$23),"mmm yyyy"))</f>
        <v>Total shortfall, last affected maturity Feb 2027</v>
      </c>
      <c r="B26" s="250">
        <f>G24</f>
        <v>550.97944185800873</v>
      </c>
      <c r="C26" s="224" t="s">
        <v>485</v>
      </c>
      <c r="D26" s="376"/>
      <c r="E26" s="376"/>
      <c r="F26" s="376"/>
      <c r="G26" s="376"/>
      <c r="H26" s="28"/>
    </row>
    <row r="27" spans="1:8" ht="17.25" customHeight="1" x14ac:dyDescent="0.2">
      <c r="A27" s="32" t="s">
        <v>855</v>
      </c>
      <c r="B27" s="251">
        <f>COUNTIF($F$16:$F$23,"&gt;=1")</f>
        <v>6</v>
      </c>
      <c r="C27" s="33" t="str" cm="1">
        <f t="array" ref="C27">COUNTIF($F$16:$F$23,"&lt;1")&amp;IF(COUNTIF($F$16:$F$23,"&lt;1")=1," not covered, first failing "," not covered, first failing ")&amp;TEXT(MIN(IF($G$16:$G$23&gt;0,$B$16:$B$23)),"mmm yyyy")</f>
        <v>2 not covered, first failing Dec 2026</v>
      </c>
      <c r="D27" s="28"/>
      <c r="E27" s="28"/>
      <c r="F27" s="28"/>
      <c r="G27" s="28"/>
      <c r="H27" s="28"/>
    </row>
    <row r="28" spans="1:8" ht="17.25" customHeight="1" x14ac:dyDescent="0.2">
      <c r="A28" s="32" t="s">
        <v>789</v>
      </c>
      <c r="B28" s="373">
        <f>'Cash flow'!$B$11</f>
        <v>-362.54874739735908</v>
      </c>
      <c r="C28" s="33" t="str">
        <f>"AED m, in "&amp;TEXT('Cash flow'!$B$12,"mmm yyyy")</f>
        <v>AED m, in Feb 2027</v>
      </c>
      <c r="D28" s="28"/>
      <c r="E28" s="28"/>
      <c r="F28" s="28"/>
      <c r="G28" s="28"/>
      <c r="H28" s="28"/>
    </row>
    <row r="29" spans="1:8" ht="17.25" customHeight="1" x14ac:dyDescent="0.2">
      <c r="A29" s="32" t="s">
        <v>790</v>
      </c>
      <c r="B29" s="373">
        <f>'Cash flow'!$B$13</f>
        <v>13112.827582219596</v>
      </c>
      <c r="C29" s="33" t="str">
        <f>"AED m, after "&amp;TEXT('Cash flow'!$D$89,"0")&amp;" of the 32 live towers complete"</f>
        <v>AED m, after 24 of the 32 live towers complete</v>
      </c>
      <c r="D29" s="28"/>
      <c r="E29" s="28"/>
      <c r="F29" s="28"/>
      <c r="G29" s="28"/>
      <c r="H29" s="28"/>
    </row>
    <row r="30" spans="1:8" ht="17.25" customHeight="1" x14ac:dyDescent="0.2">
      <c r="H30" s="28"/>
    </row>
    <row r="31" spans="1:8" ht="19.5" customHeight="1" x14ac:dyDescent="0.2">
      <c r="A31" s="277" t="s">
        <v>1146</v>
      </c>
      <c r="B31" s="277"/>
      <c r="C31" s="277"/>
      <c r="D31" s="277"/>
      <c r="E31" s="277"/>
      <c r="F31" s="277"/>
      <c r="G31" s="277"/>
      <c r="H31" s="28"/>
    </row>
    <row r="32" spans="1:8" ht="31.5" customHeight="1" x14ac:dyDescent="0.2">
      <c r="A32" s="430" t="s">
        <v>1147</v>
      </c>
      <c r="B32" s="430"/>
      <c r="C32" s="430"/>
      <c r="D32" s="430"/>
      <c r="E32" s="430"/>
      <c r="F32" s="430"/>
      <c r="G32" s="430"/>
      <c r="H32" s="28"/>
    </row>
    <row r="33" spans="1:8" ht="18.25" customHeight="1" x14ac:dyDescent="0.2">
      <c r="A33" s="256" t="s">
        <v>546</v>
      </c>
      <c r="B33" s="253" t="s">
        <v>1148</v>
      </c>
      <c r="C33" s="253" t="s">
        <v>1149</v>
      </c>
      <c r="D33" s="432" t="s">
        <v>1150</v>
      </c>
      <c r="E33" s="432"/>
      <c r="F33" s="432"/>
      <c r="G33" s="432"/>
      <c r="H33" s="28"/>
    </row>
    <row r="34" spans="1:8" ht="62" customHeight="1" x14ac:dyDescent="0.2">
      <c r="A34" s="434" t="s">
        <v>1151</v>
      </c>
      <c r="B34" s="439" t="str">
        <f>'Cash flow'!$B$127&amp;" of 32 towers on the 15 Jun read"</f>
        <v>14 of 32 towers on the 15 Jun read</v>
      </c>
      <c r="C34" s="440" t="s">
        <v>1152</v>
      </c>
      <c r="D34" s="433" t="s">
        <v>1153</v>
      </c>
      <c r="E34" s="433"/>
      <c r="F34" s="433"/>
      <c r="G34" s="433"/>
      <c r="H34" s="28"/>
    </row>
    <row r="35" spans="1:8" ht="48" customHeight="1" x14ac:dyDescent="0.2">
      <c r="A35" s="435" t="s">
        <v>1154</v>
      </c>
      <c r="B35" s="441" t="str">
        <f>TEXT(Scenarios!$F$15,"0.0%")&amp;" of contracted value"</f>
        <v>55.0% of contracted value</v>
      </c>
      <c r="C35" s="442" t="str">
        <f>TEXT('Break-even'!$B$13,"0.0%")</f>
        <v>52.5%</v>
      </c>
      <c r="D35" s="431" t="s">
        <v>1155</v>
      </c>
      <c r="E35" s="431"/>
      <c r="F35" s="431"/>
      <c r="G35" s="431"/>
      <c r="H35" s="28"/>
    </row>
    <row r="36" spans="1:8" ht="48" customHeight="1" x14ac:dyDescent="0.2">
      <c r="A36" s="434" t="s">
        <v>1156</v>
      </c>
      <c r="B36" s="439" t="str">
        <f>"AED "&amp;TEXT(Dashboard!$D$5,"#,##0")&amp;" m, register-supported"</f>
        <v>AED 293 m, register-supported</v>
      </c>
      <c r="C36" s="440" t="s">
        <v>1157</v>
      </c>
      <c r="D36" s="433" t="s">
        <v>1158</v>
      </c>
      <c r="E36" s="433"/>
      <c r="F36" s="433"/>
      <c r="G36" s="433"/>
      <c r="H36" s="28"/>
    </row>
    <row r="37" spans="1:8" ht="31.5" customHeight="1" x14ac:dyDescent="0.2">
      <c r="A37" s="28"/>
      <c r="B37" s="28"/>
      <c r="C37" s="28"/>
      <c r="D37" s="28"/>
      <c r="E37" s="28"/>
      <c r="F37" s="28"/>
      <c r="G37" s="28"/>
      <c r="H37" s="28"/>
    </row>
    <row r="38" spans="1:8" ht="19.5" customHeight="1" x14ac:dyDescent="0.2">
      <c r="A38" s="129" t="s">
        <v>856</v>
      </c>
      <c r="B38" s="129"/>
      <c r="C38" s="129"/>
      <c r="D38" s="129"/>
      <c r="E38" s="129"/>
      <c r="F38" s="129"/>
      <c r="G38" s="129"/>
      <c r="H38" s="28"/>
    </row>
    <row r="39" spans="1:8" ht="71" customHeight="1" x14ac:dyDescent="0.2">
      <c r="A39" s="260" t="str" cm="1">
        <f t="array" ref="A39">_xlfn.LET(_xlpm.lastd,MAX(('Cash flow'!$G$94:$G$101&gt;0)*'Cash flow'!$B$94:$B$101),"The shortfall sits on the two nearest maturities. Everything after "&amp;TEXT(_xlpm.lastd,"mmm yyyy")&amp;" is covered on this basis, because "&amp;TEXT('Cash flow'!$D$89,"0")&amp;" of the 32 live towers are modelled to complete during 2027, releasing AED "&amp;TEXT('Cash flow'!$D$77,"#,##0")&amp;_xlfn._LONGTEXT(" m of escrow in that year. The 2029, 2030 and 2031 sukuk are then met from cash accumulated in 2027 and 2028 rather than from new escrow, since release is nil from 2029 once the present pipeline is finished. So the back end depends on that handover wave a","rriving on something close to schedule, and the front end depends on the three assumptions above. Neither dependency is resolved by this workbook."))</f>
        <v>The shortfall sits on the two nearest maturities. Everything after Feb 2027 is covered on this basis, because 24 of the 32 live towers are modelled to complete during 2027, releasing AED 27,419 m of escrow in that year. The 2029, 2030 and 2031 sukuk are then met from cash accumulated in 2027 and 2028 rather than from new escrow, since release is nil from 2029 once the present pipeline is finished. So the back end depends on that handover wave arriving on something close to schedule, and the front end depends on the three assumptions above. Neither dependency is resolved by this workbook.</v>
      </c>
      <c r="B39" s="260"/>
      <c r="C39" s="260"/>
      <c r="D39" s="260"/>
      <c r="E39" s="260"/>
      <c r="F39" s="260"/>
      <c r="G39" s="260"/>
      <c r="H39" s="28"/>
    </row>
    <row r="40" spans="1:8" ht="31.5" customHeight="1" x14ac:dyDescent="0.2">
      <c r="A40" s="244" t="str">
        <f>"For contrast, the Dashboard's escrow headroom measure reads "&amp;TEXT(Dashboard!$F$17,"0.00")&amp;"x on the February 2027 sukuk. That measure credits the whole escrow release against debt and deducts neither the cost of building the towers nor any profit payments. It is a diagnostic, not the cash test; the table above is what binds."</f>
        <v>For contrast, the Dashboard's escrow headroom measure reads 3.79x on the February 2027 sukuk. That measure credits the whole escrow release against debt and deducts neither the cost of building the towers nor any profit payments. It is a diagnostic, not the cash test; the table above is what binds.</v>
      </c>
      <c r="B40" s="244"/>
      <c r="C40" s="244"/>
      <c r="D40" s="244"/>
      <c r="E40" s="244"/>
      <c r="F40" s="244"/>
      <c r="G40" s="244"/>
      <c r="H40" s="28"/>
    </row>
    <row r="41" spans="1:8" ht="17.25" customHeight="1" x14ac:dyDescent="0.2">
      <c r="A41" s="28"/>
      <c r="B41" s="28"/>
      <c r="C41" s="28"/>
      <c r="D41" s="28"/>
      <c r="E41" s="28"/>
      <c r="F41" s="28"/>
      <c r="G41" s="28"/>
      <c r="H41" s="28"/>
    </row>
    <row r="42" spans="1:8" ht="17.25" customHeight="1" x14ac:dyDescent="0.2">
      <c r="A42" s="28"/>
      <c r="B42" s="28"/>
      <c r="C42" s="28"/>
      <c r="D42" s="28"/>
      <c r="E42" s="28"/>
      <c r="F42" s="28"/>
      <c r="G42" s="28"/>
      <c r="H42" s="28"/>
    </row>
    <row r="43" spans="1:8" ht="17.25" customHeight="1" x14ac:dyDescent="0.2">
      <c r="A43" s="28"/>
      <c r="B43" s="28"/>
      <c r="C43" s="28"/>
      <c r="D43" s="28"/>
      <c r="E43" s="28"/>
      <c r="F43" s="28"/>
      <c r="G43" s="28"/>
      <c r="H43" s="28"/>
    </row>
    <row r="44" spans="1:8" ht="17.25" customHeight="1" x14ac:dyDescent="0.2">
      <c r="A44" s="28"/>
      <c r="B44" s="28"/>
      <c r="C44" s="28"/>
      <c r="D44" s="28"/>
      <c r="E44" s="28"/>
      <c r="F44" s="28"/>
      <c r="G44" s="28"/>
      <c r="H44" s="28"/>
    </row>
    <row r="45" spans="1:8" ht="17.25" customHeight="1" x14ac:dyDescent="0.2">
      <c r="A45" s="28"/>
      <c r="B45" s="28"/>
      <c r="C45" s="28"/>
      <c r="D45" s="28"/>
      <c r="E45" s="28"/>
      <c r="F45" s="28"/>
      <c r="G45" s="28"/>
      <c r="H45" s="28"/>
    </row>
    <row r="46" spans="1:8" ht="17.25" customHeight="1" x14ac:dyDescent="0.2">
      <c r="A46" s="28"/>
      <c r="B46" s="28"/>
      <c r="C46" s="28"/>
      <c r="D46" s="28"/>
      <c r="E46" s="28"/>
      <c r="F46" s="28"/>
      <c r="G46" s="28"/>
      <c r="H46" s="28"/>
    </row>
    <row r="47" spans="1:8" ht="17.25" customHeight="1" x14ac:dyDescent="0.2">
      <c r="A47" s="28"/>
      <c r="B47" s="28"/>
      <c r="C47" s="28"/>
      <c r="D47" s="28"/>
      <c r="E47" s="28"/>
      <c r="F47" s="28"/>
      <c r="G47" s="28"/>
      <c r="H47" s="28"/>
    </row>
    <row r="48" spans="1:8" ht="17.25" customHeight="1" x14ac:dyDescent="0.2">
      <c r="A48" s="28"/>
      <c r="B48" s="28"/>
      <c r="C48" s="28"/>
      <c r="D48" s="28"/>
      <c r="E48" s="28"/>
      <c r="F48" s="28"/>
      <c r="G48" s="28"/>
      <c r="H48" s="28"/>
    </row>
    <row r="49" spans="1:8" ht="18.25" customHeight="1" x14ac:dyDescent="0.2">
      <c r="A49" s="28"/>
      <c r="B49" s="28"/>
      <c r="C49" s="28"/>
      <c r="D49" s="28"/>
      <c r="E49" s="28"/>
      <c r="F49" s="28"/>
      <c r="G49" s="28"/>
      <c r="H49" s="28"/>
    </row>
    <row r="50" spans="1:8" ht="18.5" customHeight="1" x14ac:dyDescent="0.2">
      <c r="A50" s="345" t="s">
        <v>488</v>
      </c>
      <c r="B50" s="345"/>
      <c r="C50" s="345"/>
      <c r="D50" s="345"/>
      <c r="E50" s="345"/>
      <c r="F50" s="345"/>
      <c r="G50" s="345"/>
      <c r="H50" s="28"/>
    </row>
    <row r="51" spans="1:8" ht="18.25" customHeight="1" x14ac:dyDescent="0.2">
      <c r="A51" s="31" t="s">
        <v>489</v>
      </c>
      <c r="B51" s="102" t="s">
        <v>490</v>
      </c>
      <c r="C51" s="102"/>
      <c r="D51" s="102"/>
      <c r="E51" s="102"/>
      <c r="F51" s="102"/>
      <c r="G51" s="102"/>
      <c r="H51" s="28"/>
    </row>
    <row r="52" spans="1:8" ht="18.25" customHeight="1" x14ac:dyDescent="0.2">
      <c r="A52" s="31" t="s">
        <v>491</v>
      </c>
      <c r="B52" s="102" t="s">
        <v>791</v>
      </c>
      <c r="C52" s="102"/>
      <c r="D52" s="102"/>
      <c r="E52" s="102"/>
      <c r="F52" s="102"/>
      <c r="G52" s="102"/>
      <c r="H52" s="28"/>
    </row>
    <row r="53" spans="1:8" ht="18.25" customHeight="1" x14ac:dyDescent="0.2">
      <c r="A53" s="31" t="s">
        <v>492</v>
      </c>
      <c r="B53" s="102" t="s">
        <v>792</v>
      </c>
      <c r="C53" s="102"/>
      <c r="D53" s="102"/>
      <c r="E53" s="102"/>
      <c r="F53" s="102"/>
      <c r="G53" s="102"/>
      <c r="H53" s="28"/>
    </row>
    <row r="54" spans="1:8" ht="18.25" customHeight="1" x14ac:dyDescent="0.2">
      <c r="A54" s="31" t="s">
        <v>493</v>
      </c>
      <c r="B54" s="102" t="s">
        <v>793</v>
      </c>
      <c r="C54" s="102"/>
      <c r="D54" s="102"/>
      <c r="E54" s="102"/>
      <c r="F54" s="102"/>
      <c r="G54" s="102"/>
      <c r="H54" s="28"/>
    </row>
    <row r="55" spans="1:8" ht="18.25" customHeight="1" x14ac:dyDescent="0.2">
      <c r="A55" s="31" t="s">
        <v>794</v>
      </c>
      <c r="B55" s="102" t="s">
        <v>795</v>
      </c>
      <c r="C55" s="102"/>
      <c r="D55" s="102"/>
      <c r="E55" s="102"/>
      <c r="F55" s="102"/>
      <c r="G55" s="102"/>
      <c r="H55" s="28"/>
    </row>
    <row r="56" spans="1:8" ht="18.25" customHeight="1" x14ac:dyDescent="0.2">
      <c r="A56" s="31" t="s">
        <v>1098</v>
      </c>
      <c r="B56" s="102" t="s">
        <v>1099</v>
      </c>
      <c r="C56" s="102"/>
      <c r="D56" s="102"/>
      <c r="E56" s="102"/>
      <c r="F56" s="102"/>
      <c r="G56" s="102"/>
      <c r="H56" s="28"/>
    </row>
    <row r="57" spans="1:8" ht="18.25" customHeight="1" x14ac:dyDescent="0.2">
      <c r="A57" s="31" t="s">
        <v>494</v>
      </c>
      <c r="B57" s="102" t="s">
        <v>796</v>
      </c>
      <c r="C57" s="102"/>
      <c r="D57" s="102"/>
      <c r="E57" s="102"/>
      <c r="F57" s="102"/>
      <c r="G57" s="102"/>
      <c r="H57" s="28"/>
    </row>
    <row r="58" spans="1:8" ht="18.25" customHeight="1" x14ac:dyDescent="0.2">
      <c r="A58" s="31" t="s">
        <v>495</v>
      </c>
      <c r="B58" s="102" t="s">
        <v>797</v>
      </c>
      <c r="C58" s="102"/>
      <c r="D58" s="102"/>
      <c r="E58" s="102"/>
      <c r="F58" s="102"/>
      <c r="G58" s="102"/>
      <c r="H58" s="28"/>
    </row>
    <row r="59" spans="1:8" ht="18.25" customHeight="1" x14ac:dyDescent="0.2">
      <c r="A59" s="31" t="s">
        <v>496</v>
      </c>
      <c r="B59" s="102" t="s">
        <v>798</v>
      </c>
      <c r="C59" s="102"/>
      <c r="D59" s="102"/>
      <c r="E59" s="102"/>
      <c r="F59" s="102"/>
      <c r="G59" s="102"/>
      <c r="H59" s="28"/>
    </row>
    <row r="60" spans="1:8" ht="18.25" customHeight="1" x14ac:dyDescent="0.2">
      <c r="A60" s="31" t="s">
        <v>497</v>
      </c>
      <c r="B60" s="102" t="s">
        <v>799</v>
      </c>
      <c r="C60" s="102"/>
      <c r="D60" s="102"/>
      <c r="E60" s="102"/>
      <c r="F60" s="102"/>
      <c r="G60" s="102"/>
      <c r="H60" s="28"/>
    </row>
    <row r="61" spans="1:8" ht="18.25" customHeight="1" x14ac:dyDescent="0.2">
      <c r="A61" s="36" t="s">
        <v>498</v>
      </c>
      <c r="B61" s="102" t="s">
        <v>499</v>
      </c>
      <c r="C61" s="102"/>
      <c r="D61" s="102"/>
      <c r="E61" s="102"/>
      <c r="F61" s="102"/>
      <c r="G61" s="102"/>
      <c r="H61" s="28"/>
    </row>
    <row r="62" spans="1:8" ht="18.25" customHeight="1" x14ac:dyDescent="0.2">
      <c r="A62" s="36" t="s">
        <v>500</v>
      </c>
      <c r="B62" s="102" t="s">
        <v>501</v>
      </c>
      <c r="C62" s="102"/>
      <c r="D62" s="102"/>
      <c r="E62" s="102"/>
      <c r="F62" s="102"/>
      <c r="G62" s="102"/>
      <c r="H62" s="28"/>
    </row>
    <row r="63" spans="1:8" ht="18.25" customHeight="1" x14ac:dyDescent="0.2">
      <c r="A63" s="36" t="s">
        <v>502</v>
      </c>
      <c r="B63" s="102" t="s">
        <v>503</v>
      </c>
      <c r="C63" s="102"/>
      <c r="D63" s="102"/>
      <c r="E63" s="102"/>
      <c r="F63" s="102"/>
      <c r="G63" s="102"/>
      <c r="H63" s="28"/>
    </row>
    <row r="64" spans="1:8" ht="18.25" customHeight="1" x14ac:dyDescent="0.2">
      <c r="A64" s="36" t="s">
        <v>1064</v>
      </c>
      <c r="B64" s="102" t="s">
        <v>1100</v>
      </c>
      <c r="C64" s="102"/>
      <c r="D64" s="102"/>
      <c r="E64" s="102"/>
      <c r="F64" s="102"/>
      <c r="G64" s="102"/>
      <c r="H64" s="28"/>
    </row>
    <row r="65" spans="1:8" ht="15" customHeight="1" x14ac:dyDescent="0.2">
      <c r="A65" s="35"/>
      <c r="B65" s="35"/>
      <c r="C65" s="35"/>
      <c r="D65" s="35"/>
      <c r="E65" s="35"/>
      <c r="F65" s="35"/>
      <c r="G65" s="35"/>
      <c r="H65" s="28"/>
    </row>
    <row r="66" spans="1:8" ht="18.5" customHeight="1" x14ac:dyDescent="0.2">
      <c r="A66" s="40" t="s">
        <v>504</v>
      </c>
      <c r="B66" s="40"/>
      <c r="C66" s="40"/>
      <c r="D66" s="40"/>
      <c r="E66" s="40"/>
      <c r="F66" s="40"/>
      <c r="G66" s="40"/>
      <c r="H66" s="28"/>
    </row>
    <row r="67" spans="1:8" ht="44.5" customHeight="1" x14ac:dyDescent="0.2">
      <c r="A67" s="36" t="s">
        <v>505</v>
      </c>
      <c r="B67" s="102" t="s">
        <v>506</v>
      </c>
      <c r="C67" s="102"/>
      <c r="D67" s="102"/>
      <c r="E67" s="102"/>
      <c r="F67" s="102"/>
      <c r="G67" s="102"/>
      <c r="H67" s="28"/>
    </row>
    <row r="68" spans="1:8" ht="31.5" customHeight="1" x14ac:dyDescent="0.2">
      <c r="A68" s="36" t="s">
        <v>507</v>
      </c>
      <c r="B68" s="102" t="s">
        <v>508</v>
      </c>
      <c r="C68" s="102"/>
      <c r="D68" s="102"/>
      <c r="E68" s="102"/>
      <c r="F68" s="102"/>
      <c r="G68" s="102"/>
      <c r="H68" s="28"/>
    </row>
    <row r="69" spans="1:8" ht="44.5" customHeight="1" x14ac:dyDescent="0.2">
      <c r="A69" s="36" t="s">
        <v>857</v>
      </c>
      <c r="B69" s="102" t="s">
        <v>858</v>
      </c>
      <c r="C69" s="102"/>
      <c r="D69" s="102"/>
      <c r="E69" s="102"/>
      <c r="F69" s="102"/>
      <c r="G69" s="102"/>
      <c r="H69" s="28"/>
    </row>
    <row r="70" spans="1:8" ht="44.5" customHeight="1" x14ac:dyDescent="0.2">
      <c r="H70" s="28"/>
    </row>
    <row r="71" spans="1:8" ht="19.5" customHeight="1" x14ac:dyDescent="0.2">
      <c r="A71" s="409" t="s">
        <v>1120</v>
      </c>
      <c r="B71" s="409"/>
      <c r="C71" s="409"/>
      <c r="D71" s="409"/>
      <c r="E71" s="409"/>
      <c r="F71" s="409"/>
      <c r="G71" s="409"/>
      <c r="H71" s="28"/>
    </row>
    <row r="72" spans="1:8" ht="84.25" customHeight="1" x14ac:dyDescent="0.2">
      <c r="A72" s="420">
        <v>1</v>
      </c>
      <c r="B72" s="418" t="str">
        <f>"The public register is stale for "&amp;'Cash flow'!$B$127&amp;_xlfn._LONGTEXT(" of the 32 live towers, which still carry the 15 June reading. That dump is demonstrably wrong: it showed Binghatti Apex at 45% certified two months after Apex had completed. Because cost to complete is charged on the progress still to be earned, understa","ted progress makes this model too pessimistic. Adding fifteen certified points to those fourteen towers is enough on its own to cover the February 2027 sukuk and remove the whole shortfall. See Cash flow section 10. This is the largest single uncertainty ","here.")</f>
        <v>The public register is stale for 14 of the 32 live towers, which still carry the 15 June reading. That dump is demonstrably wrong: it showed Binghatti Apex at 45% certified two months after Apex had completed. Because cost to complete is charged on the progress still to be earned, understated progress makes this model too pessimistic. Adding fifteen certified points to those fourteen towers is enough on its own to cover the February 2027 sukuk and remove the whole shortfall. See Cash flow section 10. This is the largest single uncertainty here.</v>
      </c>
      <c r="C72" s="418"/>
      <c r="D72" s="418"/>
      <c r="E72" s="418"/>
      <c r="F72" s="418"/>
      <c r="G72" s="418"/>
      <c r="H72" s="28"/>
    </row>
    <row r="73" spans="1:8" ht="44.5" customHeight="1" x14ac:dyDescent="0.2">
      <c r="A73" s="356">
        <v>2</v>
      </c>
      <c r="B73" s="102" t="str">
        <f>"Cost to complete is derived, not disclosed. At "&amp;TEXT(Scenarios!$F$15,"0%")&amp;" of contracted value it is inferred from the reported gross margin, which runs 44 to 45 per cent. The shortfall moves directly with it: this is the single input most worth replacing with real cost-to-complete data. Set it on Scenarios row 15."</f>
        <v>Cost to complete is derived, not disclosed. At 55% of contracted value it is inferred from the reported gross margin, which runs 44 to 45 per cent. The shortfall moves directly with it: this is the single input most worth replacing with real cost-to-complete data. Set it on Scenarios row 15.</v>
      </c>
      <c r="C73" s="102"/>
      <c r="D73" s="102"/>
      <c r="E73" s="102"/>
      <c r="F73" s="102"/>
      <c r="G73" s="102"/>
      <c r="H73" s="28"/>
    </row>
    <row r="74" spans="1:8" ht="57.75" customHeight="1" x14ac:dyDescent="0.2">
      <c r="A74" s="356">
        <v>3</v>
      </c>
      <c r="B74" s="102" t="s">
        <v>859</v>
      </c>
      <c r="C74" s="102"/>
      <c r="D74" s="102"/>
      <c r="E74" s="102"/>
      <c r="F74" s="102"/>
      <c r="G74" s="102"/>
      <c r="H74" s="28"/>
    </row>
    <row r="75" spans="1:8" ht="44.5" customHeight="1" x14ac:dyDescent="0.2">
      <c r="A75" s="356">
        <v>4</v>
      </c>
      <c r="B75" s="102" t="s">
        <v>509</v>
      </c>
      <c r="C75" s="102"/>
      <c r="D75" s="102"/>
      <c r="E75" s="102"/>
      <c r="F75" s="102"/>
      <c r="G75" s="102"/>
      <c r="H75" s="28"/>
    </row>
    <row r="76" spans="1:8" ht="77.5" customHeight="1" x14ac:dyDescent="0.2">
      <c r="A76" s="356">
        <v>5</v>
      </c>
      <c r="B76" s="288" t="str">
        <f>"The bank rate is backed out, not quoted. The four sukuk carry their actual coupons from the offering circulars. The four bank tranches have no disclosed rate, so "&amp;TEXT('Cash flow'!$B$51,"0.00%")&amp;" is inferred from reported finance cost less sukuk profit. It sits above EIBOR plus the quoted margin because reported finance cost also carries fees and issue-cost amortisation; treat it as an upper bound and switch bases on Cash flow row 22."</f>
        <v>The bank rate is backed out, not quoted. The four sukuk carry their actual coupons from the offering circulars. The four bank tranches have no disclosed rate, so 9.77% is inferred from reported finance cost less sukuk profit. It sits above EIBOR plus the quoted margin because reported finance cost also carries fees and issue-cost amortisation; treat it as an upper bound and switch bases on Cash flow row 22.</v>
      </c>
      <c r="C76" s="288"/>
      <c r="D76" s="288"/>
      <c r="E76" s="288"/>
      <c r="F76" s="288"/>
      <c r="G76" s="288"/>
      <c r="H76" s="28"/>
    </row>
    <row r="77" spans="1:8" ht="63" customHeight="1" x14ac:dyDescent="0.2">
      <c r="A77" s="356">
        <v>6</v>
      </c>
      <c r="B77" s="288" t="s">
        <v>860</v>
      </c>
      <c r="C77" s="288"/>
      <c r="D77" s="288"/>
      <c r="E77" s="288"/>
      <c r="F77" s="288"/>
      <c r="G77" s="288"/>
      <c r="H77" s="28"/>
    </row>
    <row r="78" spans="1:8" ht="15" customHeight="1" x14ac:dyDescent="0.2">
      <c r="A78" s="35"/>
      <c r="B78" s="35"/>
      <c r="C78" s="35"/>
      <c r="D78" s="35"/>
      <c r="E78" s="35"/>
      <c r="F78" s="35"/>
      <c r="G78" s="35"/>
      <c r="H78" s="28"/>
    </row>
    <row r="79" spans="1:8" ht="18.5" customHeight="1" x14ac:dyDescent="0.2">
      <c r="A79" s="40" t="s">
        <v>510</v>
      </c>
      <c r="B79" s="40"/>
      <c r="C79" s="40"/>
      <c r="D79" s="40"/>
      <c r="E79" s="40"/>
      <c r="F79" s="40"/>
      <c r="G79" s="40"/>
      <c r="H79" s="28"/>
    </row>
    <row r="80" spans="1:8" ht="44.5" customHeight="1" x14ac:dyDescent="0.2">
      <c r="A80" s="36" t="s">
        <v>511</v>
      </c>
      <c r="B80" s="102" t="s">
        <v>512</v>
      </c>
      <c r="C80" s="102"/>
      <c r="D80" s="102"/>
      <c r="E80" s="102"/>
      <c r="F80" s="102"/>
      <c r="G80" s="102"/>
      <c r="H80" s="28"/>
    </row>
    <row r="81" spans="1:8" ht="31.5" customHeight="1" x14ac:dyDescent="0.2">
      <c r="A81" s="36" t="s">
        <v>497</v>
      </c>
      <c r="B81" s="102" t="s">
        <v>513</v>
      </c>
      <c r="C81" s="102"/>
      <c r="D81" s="102"/>
      <c r="E81" s="102"/>
      <c r="F81" s="102"/>
      <c r="G81" s="102"/>
      <c r="H81" s="28"/>
    </row>
    <row r="82" spans="1:8" ht="31.5" customHeight="1" x14ac:dyDescent="0.2">
      <c r="A82" s="36" t="s">
        <v>514</v>
      </c>
      <c r="B82" s="102" t="s">
        <v>515</v>
      </c>
      <c r="C82" s="102"/>
      <c r="D82" s="102"/>
      <c r="E82" s="102"/>
      <c r="F82" s="102"/>
      <c r="G82" s="102"/>
      <c r="H82" s="28"/>
    </row>
    <row r="83" spans="1:8" ht="31.5" customHeight="1" x14ac:dyDescent="0.2">
      <c r="A83" s="36" t="s">
        <v>516</v>
      </c>
      <c r="B83" s="102" t="s">
        <v>517</v>
      </c>
      <c r="C83" s="102"/>
      <c r="D83" s="102"/>
      <c r="E83" s="102"/>
      <c r="F83" s="102"/>
      <c r="G83" s="102"/>
      <c r="H83" s="28"/>
    </row>
    <row r="84" spans="1:8" ht="18.25" customHeight="1" x14ac:dyDescent="0.2">
      <c r="A84" s="36" t="s">
        <v>518</v>
      </c>
      <c r="B84" s="102" t="s">
        <v>519</v>
      </c>
      <c r="C84" s="102"/>
      <c r="D84" s="102"/>
      <c r="E84" s="102"/>
      <c r="F84" s="102"/>
      <c r="G84" s="102"/>
      <c r="H84" s="28"/>
    </row>
    <row r="85" spans="1:8" ht="15" customHeight="1" x14ac:dyDescent="0.2">
      <c r="A85" s="35"/>
      <c r="B85" s="288"/>
      <c r="C85" s="288"/>
      <c r="D85" s="288"/>
      <c r="E85" s="288"/>
      <c r="F85" s="288"/>
      <c r="G85" s="288"/>
      <c r="H85" s="28"/>
    </row>
    <row r="86" spans="1:8" ht="18.5" customHeight="1" x14ac:dyDescent="0.2">
      <c r="A86" s="40" t="s">
        <v>520</v>
      </c>
      <c r="B86" s="40"/>
      <c r="C86" s="40"/>
      <c r="D86" s="40"/>
      <c r="E86" s="40"/>
      <c r="F86" s="40"/>
      <c r="G86" s="40"/>
      <c r="H86" s="28"/>
    </row>
    <row r="87" spans="1:8" ht="44.5" customHeight="1" x14ac:dyDescent="0.2">
      <c r="A87" s="102" t="s">
        <v>521</v>
      </c>
      <c r="B87" s="102"/>
      <c r="C87" s="102"/>
      <c r="D87" s="35"/>
      <c r="E87" s="35"/>
      <c r="F87" s="35"/>
      <c r="G87" s="35"/>
      <c r="H87" s="28"/>
    </row>
    <row r="88" spans="1:8" ht="31.5" customHeight="1" x14ac:dyDescent="0.2">
      <c r="A88" s="102" t="s">
        <v>522</v>
      </c>
      <c r="B88" s="102"/>
      <c r="C88" s="102"/>
      <c r="D88" s="35"/>
      <c r="E88" s="35"/>
      <c r="F88" s="35"/>
      <c r="G88" s="35"/>
      <c r="H88" s="28"/>
    </row>
    <row r="89" spans="1:8" ht="31.5" customHeight="1" x14ac:dyDescent="0.2">
      <c r="A89" s="102" t="s">
        <v>523</v>
      </c>
      <c r="B89" s="102"/>
      <c r="C89" s="102"/>
      <c r="D89" s="35"/>
      <c r="E89" s="35"/>
      <c r="F89" s="35"/>
      <c r="G89" s="35"/>
      <c r="H89" s="28"/>
    </row>
    <row r="90" spans="1:8" ht="44.5" customHeight="1" x14ac:dyDescent="0.2">
      <c r="A90" s="102" t="str">
        <f>"•  The AED 1.8 bn said to have been received from three handovers after 30 June 2026 is unsourced. The Handover check tab tests it against the register and supports about AED "&amp;TEXT('Handover check'!$B$28,"#,##0")&amp;" m, which is what Dashboard D5 now carries. Taking the full AED 1,800 m at face value would remove the shortfall entirely, so it remains the most consequential unverified figure here."</f>
        <v>•  The AED 1.8 bn said to have been received from three handovers after 30 June 2026 is unsourced. The Handover check tab tests it against the register and supports about AED 293 m, which is what Dashboard D5 now carries. Taking the full AED 1,800 m at face value would remove the shortfall entirely, so it remains the most consequential unverified figure here.</v>
      </c>
      <c r="B90" s="102"/>
      <c r="C90" s="102"/>
      <c r="D90" s="102"/>
      <c r="E90" s="102"/>
      <c r="F90" s="102"/>
      <c r="G90" s="102"/>
      <c r="H90" s="28"/>
    </row>
    <row r="91" spans="1:8" ht="18.25" customHeight="1" x14ac:dyDescent="0.2">
      <c r="A91" s="278" t="s">
        <v>524</v>
      </c>
      <c r="B91" s="278"/>
      <c r="C91" s="278"/>
      <c r="D91" s="278"/>
      <c r="E91" s="278"/>
      <c r="F91" s="278"/>
      <c r="G91" s="278"/>
      <c r="H91" s="28"/>
    </row>
    <row r="92" spans="1:8" ht="15" customHeight="1" x14ac:dyDescent="0.2">
      <c r="A92" s="35"/>
      <c r="B92" s="35"/>
      <c r="C92" s="35"/>
      <c r="D92" s="35"/>
      <c r="E92" s="35"/>
      <c r="F92" s="35"/>
      <c r="G92" s="35"/>
      <c r="H92" s="28"/>
    </row>
    <row r="93" spans="1:8" ht="28.75" customHeight="1" x14ac:dyDescent="0.2">
      <c r="A93" s="110" t="s">
        <v>525</v>
      </c>
      <c r="B93" s="110"/>
      <c r="C93" s="110"/>
      <c r="D93" s="110"/>
      <c r="E93" s="110"/>
      <c r="F93" s="110"/>
      <c r="G93" s="110"/>
      <c r="H93" s="28"/>
    </row>
    <row r="94" spans="1:8" x14ac:dyDescent="0.2">
      <c r="A94" s="35"/>
      <c r="B94" s="35"/>
      <c r="C94" s="35"/>
      <c r="D94" s="35"/>
      <c r="E94" s="35"/>
      <c r="F94" s="35"/>
      <c r="G94" s="35"/>
    </row>
    <row r="95" spans="1:8" x14ac:dyDescent="0.2">
      <c r="A95" s="35"/>
      <c r="B95" s="35"/>
      <c r="C95" s="35"/>
      <c r="D95" s="35"/>
      <c r="E95" s="35"/>
      <c r="F95" s="35"/>
      <c r="G95" s="35"/>
    </row>
  </sheetData>
  <mergeCells count="50">
    <mergeCell ref="D36:G36"/>
    <mergeCell ref="B84:G84"/>
    <mergeCell ref="B85:G85"/>
    <mergeCell ref="A1:G1"/>
    <mergeCell ref="A91:G91"/>
    <mergeCell ref="B56:G56"/>
    <mergeCell ref="B64:G64"/>
    <mergeCell ref="A90:G90"/>
    <mergeCell ref="A71:G71"/>
    <mergeCell ref="A31:G31"/>
    <mergeCell ref="B76:G76"/>
    <mergeCell ref="B77:G77"/>
    <mergeCell ref="B80:G80"/>
    <mergeCell ref="B81:G81"/>
    <mergeCell ref="B82:G82"/>
    <mergeCell ref="B83:G83"/>
    <mergeCell ref="B69:G69"/>
    <mergeCell ref="B72:G72"/>
    <mergeCell ref="B73:G73"/>
    <mergeCell ref="B74:G74"/>
    <mergeCell ref="B75:G75"/>
    <mergeCell ref="B60:G60"/>
    <mergeCell ref="B61:G61"/>
    <mergeCell ref="B62:G62"/>
    <mergeCell ref="B63:G63"/>
    <mergeCell ref="B67:G67"/>
    <mergeCell ref="B68:G68"/>
    <mergeCell ref="B53:G53"/>
    <mergeCell ref="B54:G54"/>
    <mergeCell ref="B55:G55"/>
    <mergeCell ref="B57:G57"/>
    <mergeCell ref="B58:G58"/>
    <mergeCell ref="B59:G59"/>
    <mergeCell ref="A14:G14"/>
    <mergeCell ref="A38:G38"/>
    <mergeCell ref="A39:G39"/>
    <mergeCell ref="A40:G40"/>
    <mergeCell ref="B51:G51"/>
    <mergeCell ref="B52:G52"/>
    <mergeCell ref="A32:G32"/>
    <mergeCell ref="D33:G33"/>
    <mergeCell ref="D34:G34"/>
    <mergeCell ref="D35:G35"/>
    <mergeCell ref="A93:G93"/>
    <mergeCell ref="A2:C2"/>
    <mergeCell ref="A87:C87"/>
    <mergeCell ref="A88:C88"/>
    <mergeCell ref="A89:C89"/>
    <mergeCell ref="A11:C11"/>
    <mergeCell ref="A13:G13"/>
  </mergeCells>
  <conditionalFormatting sqref="F16:F23">
    <cfRule type="cellIs" dxfId="12" priority="1" operator="lessThan">
      <formula>1</formula>
    </cfRule>
  </conditionalFormatting>
  <conditionalFormatting sqref="G16:G23">
    <cfRule type="cellIs" dxfId="11" priority="2" operator="greaterThan">
      <formula>0</formula>
    </cfRule>
  </conditionalFormatting>
  <printOptions horizontalCentered="1"/>
  <pageMargins left="0.7" right="0.7" top="0.75" bottom="0.75" header="0.3" footer="0.3"/>
  <pageSetup paperSize="0" scale="80" fitToHeight="0" orientation="landscape"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D76A-3904-1F4A-845C-51BB4C81F642}">
  <sheetPr>
    <tabColor rgb="FF1F3864"/>
    <pageSetUpPr fitToPage="1"/>
  </sheetPr>
  <dimension ref="A1:XFD58"/>
  <sheetViews>
    <sheetView showGridLines="0" workbookViewId="0">
      <pane ySplit="2" topLeftCell="A3" activePane="bottomLeft" state="frozen"/>
      <selection pane="bottomLeft" activeCell="C45" sqref="C45"/>
    </sheetView>
  </sheetViews>
  <sheetFormatPr baseColWidth="10" defaultRowHeight="15" x14ac:dyDescent="0.2"/>
  <cols>
    <col min="1" max="1" width="35" customWidth="1"/>
    <col min="2" max="2" width="23.33203125" customWidth="1"/>
    <col min="3" max="3" width="35" customWidth="1"/>
    <col min="4" max="4" width="18.33203125" customWidth="1"/>
    <col min="5" max="5" width="55" customWidth="1"/>
  </cols>
  <sheetData>
    <row r="1" spans="1:5" ht="26" customHeight="1" x14ac:dyDescent="0.2">
      <c r="A1" s="338" t="s">
        <v>526</v>
      </c>
      <c r="B1" s="338"/>
      <c r="C1" s="338"/>
      <c r="D1" s="338"/>
      <c r="E1" s="338"/>
    </row>
    <row r="2" spans="1:5" ht="18.25" customHeight="1" x14ac:dyDescent="0.2">
      <c r="A2" s="116" t="s">
        <v>527</v>
      </c>
      <c r="B2" s="116"/>
      <c r="C2" s="116"/>
      <c r="D2" s="116"/>
      <c r="E2" s="116"/>
    </row>
    <row r="3" spans="1:5" ht="15" customHeight="1" x14ac:dyDescent="0.2">
      <c r="A3" s="41"/>
      <c r="B3" s="41"/>
      <c r="C3" s="41"/>
      <c r="D3" s="41"/>
      <c r="E3" s="41"/>
    </row>
    <row r="4" spans="1:5" ht="19.5" customHeight="1" x14ac:dyDescent="0.2">
      <c r="A4" s="45" t="s">
        <v>871</v>
      </c>
      <c r="B4" s="45"/>
      <c r="C4" s="45"/>
      <c r="D4" s="45"/>
      <c r="E4" s="45"/>
    </row>
    <row r="5" spans="1:5" ht="18.25" customHeight="1" x14ac:dyDescent="0.2">
      <c r="A5" s="46" t="s">
        <v>528</v>
      </c>
      <c r="B5" s="46" t="s">
        <v>529</v>
      </c>
      <c r="C5" s="118" t="s">
        <v>530</v>
      </c>
      <c r="D5" s="118"/>
      <c r="E5" s="118"/>
    </row>
    <row r="6" spans="1:5" ht="31.5" customHeight="1" x14ac:dyDescent="0.2">
      <c r="A6" s="357">
        <v>1</v>
      </c>
      <c r="B6" s="111" t="s">
        <v>861</v>
      </c>
      <c r="C6" s="112" t="s">
        <v>862</v>
      </c>
      <c r="D6" s="112"/>
      <c r="E6" s="112"/>
    </row>
    <row r="7" spans="1:5" ht="31.5" customHeight="1" x14ac:dyDescent="0.2">
      <c r="A7" s="357">
        <v>2</v>
      </c>
      <c r="B7" s="111" t="s">
        <v>863</v>
      </c>
      <c r="C7" s="112" t="s">
        <v>864</v>
      </c>
      <c r="D7" s="112"/>
      <c r="E7" s="112"/>
    </row>
    <row r="8" spans="1:5" ht="18.25" customHeight="1" x14ac:dyDescent="0.2">
      <c r="A8" s="357">
        <v>3</v>
      </c>
      <c r="B8" s="111" t="s">
        <v>493</v>
      </c>
      <c r="C8" s="112" t="s">
        <v>865</v>
      </c>
      <c r="D8" s="112"/>
      <c r="E8" s="112"/>
    </row>
    <row r="9" spans="1:5" ht="31.5" customHeight="1" x14ac:dyDescent="0.2">
      <c r="A9" s="357">
        <v>4</v>
      </c>
      <c r="B9" s="111" t="s">
        <v>866</v>
      </c>
      <c r="C9" s="112" t="s">
        <v>867</v>
      </c>
      <c r="D9" s="112"/>
      <c r="E9" s="112"/>
    </row>
    <row r="10" spans="1:5" ht="31.5" customHeight="1" x14ac:dyDescent="0.2">
      <c r="A10" s="357">
        <v>5</v>
      </c>
      <c r="B10" s="111" t="s">
        <v>868</v>
      </c>
      <c r="C10" s="112" t="s">
        <v>869</v>
      </c>
      <c r="D10" s="112"/>
      <c r="E10" s="112"/>
    </row>
    <row r="11" spans="1:5" ht="71" customHeight="1" x14ac:dyDescent="0.2">
      <c r="A11" s="358">
        <v>6</v>
      </c>
      <c r="B11" s="41" t="s">
        <v>531</v>
      </c>
      <c r="C11" s="41" t="s">
        <v>870</v>
      </c>
      <c r="D11" s="41"/>
      <c r="E11" s="41"/>
    </row>
    <row r="12" spans="1:5" ht="19.5" customHeight="1" x14ac:dyDescent="0.2">
      <c r="A12" s="45" t="s">
        <v>532</v>
      </c>
      <c r="B12" s="45"/>
      <c r="C12" s="45"/>
      <c r="D12" s="45"/>
      <c r="E12" s="45"/>
    </row>
    <row r="13" spans="1:5" ht="18.25" customHeight="1" x14ac:dyDescent="0.2">
      <c r="A13" s="113" t="s">
        <v>533</v>
      </c>
      <c r="B13" s="113"/>
      <c r="C13" s="113"/>
      <c r="D13" s="113"/>
      <c r="E13" s="113"/>
    </row>
    <row r="14" spans="1:5" ht="18.25" customHeight="1" x14ac:dyDescent="0.2">
      <c r="A14" s="46" t="s">
        <v>534</v>
      </c>
      <c r="B14" s="46" t="s">
        <v>535</v>
      </c>
      <c r="C14" s="46" t="s">
        <v>61</v>
      </c>
      <c r="D14" s="46" t="s">
        <v>536</v>
      </c>
      <c r="E14" s="46" t="s">
        <v>199</v>
      </c>
    </row>
    <row r="15" spans="1:5" ht="31.5" customHeight="1" x14ac:dyDescent="0.2">
      <c r="A15" s="48" t="s">
        <v>494</v>
      </c>
      <c r="B15" s="41" t="s">
        <v>537</v>
      </c>
      <c r="C15" s="41" t="s">
        <v>879</v>
      </c>
      <c r="D15" s="123">
        <f>Scenarios!$B$3</f>
        <v>1</v>
      </c>
      <c r="E15" s="41" t="s">
        <v>538</v>
      </c>
    </row>
    <row r="16" spans="1:5" ht="57.75" customHeight="1" x14ac:dyDescent="0.2">
      <c r="A16" s="48" t="s">
        <v>494</v>
      </c>
      <c r="B16" s="41" t="s">
        <v>872</v>
      </c>
      <c r="C16" s="41" t="s">
        <v>873</v>
      </c>
      <c r="D16" s="49" t="s">
        <v>223</v>
      </c>
      <c r="E16" s="41" t="s">
        <v>874</v>
      </c>
    </row>
    <row r="17" spans="1:5" ht="97.5" customHeight="1" x14ac:dyDescent="0.2">
      <c r="A17" s="48" t="s">
        <v>492</v>
      </c>
      <c r="B17" s="41" t="s">
        <v>539</v>
      </c>
      <c r="C17" s="41" t="s">
        <v>540</v>
      </c>
      <c r="D17" s="50">
        <f>Dashboard!$D$5</f>
        <v>292.57589797559996</v>
      </c>
      <c r="E17" s="41" t="s">
        <v>1002</v>
      </c>
    </row>
    <row r="18" spans="1:5" ht="31.5" customHeight="1" x14ac:dyDescent="0.2">
      <c r="A18" s="48" t="s">
        <v>492</v>
      </c>
      <c r="B18" s="41" t="s">
        <v>875</v>
      </c>
      <c r="C18" s="41" t="s">
        <v>473</v>
      </c>
      <c r="D18" s="50">
        <f>Dashboard!$B$97</f>
        <v>187123</v>
      </c>
      <c r="E18" s="41" t="s">
        <v>876</v>
      </c>
    </row>
    <row r="19" spans="1:5" ht="44.5" customHeight="1" x14ac:dyDescent="0.2">
      <c r="A19" s="48" t="s">
        <v>495</v>
      </c>
      <c r="B19" s="41" t="s">
        <v>541</v>
      </c>
      <c r="C19" s="41" t="s">
        <v>478</v>
      </c>
      <c r="D19" s="51">
        <f>Simulator!$C$3</f>
        <v>46275</v>
      </c>
      <c r="E19" s="41" t="s">
        <v>880</v>
      </c>
    </row>
    <row r="20" spans="1:5" ht="44.5" customHeight="1" x14ac:dyDescent="0.2">
      <c r="A20" s="48" t="s">
        <v>495</v>
      </c>
      <c r="B20" s="41" t="s">
        <v>542</v>
      </c>
      <c r="C20" s="41" t="s">
        <v>543</v>
      </c>
      <c r="D20" s="49" t="s">
        <v>223</v>
      </c>
      <c r="E20" s="41" t="s">
        <v>544</v>
      </c>
    </row>
    <row r="21" spans="1:5" ht="57.75" customHeight="1" x14ac:dyDescent="0.2">
      <c r="A21" s="48" t="s">
        <v>496</v>
      </c>
      <c r="B21" s="41" t="s">
        <v>881</v>
      </c>
      <c r="C21" s="41" t="s">
        <v>882</v>
      </c>
      <c r="D21" s="49" t="s">
        <v>223</v>
      </c>
      <c r="E21" s="41" t="s">
        <v>883</v>
      </c>
    </row>
    <row r="22" spans="1:5" ht="44.5" customHeight="1" x14ac:dyDescent="0.2">
      <c r="A22" s="48" t="s">
        <v>493</v>
      </c>
      <c r="B22" s="41" t="s">
        <v>877</v>
      </c>
      <c r="C22" s="41" t="s">
        <v>545</v>
      </c>
      <c r="D22" s="49" t="s">
        <v>223</v>
      </c>
      <c r="E22" s="41" t="s">
        <v>878</v>
      </c>
    </row>
    <row r="23" spans="1:5" ht="57.75" customHeight="1" x14ac:dyDescent="0.2">
      <c r="A23" s="48" t="s">
        <v>794</v>
      </c>
      <c r="B23" s="41" t="s">
        <v>884</v>
      </c>
      <c r="C23" s="41" t="s">
        <v>850</v>
      </c>
      <c r="D23" s="28" t="str">
        <f>'Cash flow'!$B$22</f>
        <v>Implied</v>
      </c>
      <c r="E23" s="41" t="s">
        <v>885</v>
      </c>
    </row>
    <row r="24" spans="1:5" ht="57.75" customHeight="1" x14ac:dyDescent="0.2">
      <c r="A24" s="48" t="s">
        <v>794</v>
      </c>
      <c r="B24" s="41" t="s">
        <v>886</v>
      </c>
      <c r="C24" s="41" t="s">
        <v>887</v>
      </c>
      <c r="D24" s="49" t="s">
        <v>223</v>
      </c>
      <c r="E24" s="41" t="s">
        <v>888</v>
      </c>
    </row>
    <row r="25" spans="1:5" ht="15" customHeight="1" x14ac:dyDescent="0.2">
      <c r="A25" s="41"/>
      <c r="B25" s="41"/>
      <c r="C25" s="41"/>
      <c r="D25" s="41"/>
      <c r="E25" s="41"/>
    </row>
    <row r="26" spans="1:5" ht="48.5" customHeight="1" x14ac:dyDescent="0.2">
      <c r="A26" s="45" t="s">
        <v>889</v>
      </c>
      <c r="B26" s="45"/>
      <c r="C26" s="45"/>
      <c r="D26" s="45"/>
      <c r="E26" s="45"/>
    </row>
    <row r="27" spans="1:5" ht="18.25" customHeight="1" x14ac:dyDescent="0.2">
      <c r="A27" s="46" t="s">
        <v>546</v>
      </c>
      <c r="B27" s="46" t="s">
        <v>16</v>
      </c>
      <c r="C27" s="46" t="s">
        <v>547</v>
      </c>
      <c r="D27" s="118" t="s">
        <v>548</v>
      </c>
      <c r="E27" s="118"/>
    </row>
    <row r="28" spans="1:5" ht="44.5" customHeight="1" x14ac:dyDescent="0.2">
      <c r="A28" s="41" t="str">
        <f>Scenarios!$A$5</f>
        <v>Handover delay added to every registered completion date (months)</v>
      </c>
      <c r="B28" s="121">
        <f>Scenarios!$B$5</f>
        <v>0</v>
      </c>
      <c r="C28" s="52" t="s">
        <v>549</v>
      </c>
      <c r="D28" s="119" t="s">
        <v>550</v>
      </c>
      <c r="E28" s="119"/>
    </row>
    <row r="29" spans="1:5" ht="31.5" customHeight="1" x14ac:dyDescent="0.2">
      <c r="A29" s="41" t="str">
        <f>Scenarios!$A$6</f>
        <v>Months to completion for projects already past their registered date</v>
      </c>
      <c r="B29" s="121">
        <f>Scenarios!$B$6</f>
        <v>6</v>
      </c>
      <c r="C29" s="52" t="s">
        <v>549</v>
      </c>
      <c r="D29" s="102" t="s">
        <v>551</v>
      </c>
      <c r="E29" s="102"/>
    </row>
    <row r="30" spans="1:5" ht="31.5" customHeight="1" x14ac:dyDescent="0.2">
      <c r="A30" s="41" t="str">
        <f>Scenarios!$A$7</f>
        <v>Months to completion for projects with no registered date</v>
      </c>
      <c r="B30" s="121">
        <f>Scenarios!$B$7</f>
        <v>24</v>
      </c>
      <c r="C30" s="52" t="s">
        <v>552</v>
      </c>
      <c r="D30" s="102" t="s">
        <v>553</v>
      </c>
      <c r="E30" s="102"/>
    </row>
    <row r="31" spans="1:5" ht="31.5" customHeight="1" x14ac:dyDescent="0.2">
      <c r="A31" s="41" t="str">
        <f>Scenarios!$A$8</f>
        <v>Cancellation rate — share of contracted value that is never collected</v>
      </c>
      <c r="B31" s="122">
        <f>Scenarios!$B$8</f>
        <v>0</v>
      </c>
      <c r="C31" s="52" t="s">
        <v>554</v>
      </c>
      <c r="D31" s="102" t="s">
        <v>555</v>
      </c>
      <c r="E31" s="102"/>
    </row>
    <row r="32" spans="1:5" ht="31.5" customHeight="1" x14ac:dyDescent="0.2">
      <c r="A32" s="41" t="str">
        <f>Scenarios!$A$9</f>
        <v>Sell-through of unsold units before completion</v>
      </c>
      <c r="B32" s="122">
        <f>Scenarios!$B$9</f>
        <v>0.6</v>
      </c>
      <c r="C32" s="52" t="s">
        <v>552</v>
      </c>
      <c r="D32" s="102" t="s">
        <v>556</v>
      </c>
      <c r="E32" s="102"/>
    </row>
    <row r="33" spans="1:5" ht="18.25" customHeight="1" x14ac:dyDescent="0.2">
      <c r="A33" s="41" t="str">
        <f>Scenarios!$A$10</f>
        <v>Price change on those future sales</v>
      </c>
      <c r="B33" s="122">
        <f>Scenarios!$B$10</f>
        <v>0</v>
      </c>
      <c r="C33" s="52" t="s">
        <v>552</v>
      </c>
      <c r="D33" s="102" t="s">
        <v>557</v>
      </c>
      <c r="E33" s="102"/>
    </row>
    <row r="34" spans="1:5" ht="31.5" customHeight="1" x14ac:dyDescent="0.2">
      <c r="A34" s="41" t="str">
        <f>Scenarios!$A$11</f>
        <v>Share of price collected at sale (booking)</v>
      </c>
      <c r="B34" s="122">
        <f>Scenarios!$B$11</f>
        <v>0.1</v>
      </c>
      <c r="C34" s="52" t="s">
        <v>554</v>
      </c>
      <c r="D34" s="102" t="s">
        <v>558</v>
      </c>
      <c r="E34" s="102"/>
    </row>
    <row r="35" spans="1:5" ht="31.5" customHeight="1" x14ac:dyDescent="0.2">
      <c r="A35" s="41" t="str">
        <f>Scenarios!$A$12</f>
        <v>Share of price collected at handover</v>
      </c>
      <c r="B35" s="122">
        <f>Scenarios!$B$12</f>
        <v>0.3</v>
      </c>
      <c r="C35" s="52" t="s">
        <v>549</v>
      </c>
      <c r="D35" s="102" t="s">
        <v>559</v>
      </c>
      <c r="E35" s="102"/>
    </row>
    <row r="36" spans="1:5" ht="31.5" customHeight="1" x14ac:dyDescent="0.2">
      <c r="A36" s="41" t="str">
        <f>Scenarios!$A$13</f>
        <v>RERA escrow retention held until one year after completion</v>
      </c>
      <c r="B36" s="122">
        <f>Scenarios!$B$13</f>
        <v>0.05</v>
      </c>
      <c r="C36" s="52" t="s">
        <v>552</v>
      </c>
      <c r="D36" s="102" t="s">
        <v>560</v>
      </c>
      <c r="E36" s="102"/>
    </row>
    <row r="37" spans="1:5" ht="31.5" customHeight="1" x14ac:dyDescent="0.2">
      <c r="A37" s="41" t="str">
        <f>Scenarios!$A$14</f>
        <v>Maximum certified progress per month (percentage points)</v>
      </c>
      <c r="B37" s="122">
        <f>Scenarios!$B$14</f>
        <v>8</v>
      </c>
      <c r="C37" s="52" t="s">
        <v>554</v>
      </c>
      <c r="D37" s="102" t="s">
        <v>561</v>
      </c>
      <c r="E37" s="102"/>
    </row>
    <row r="38" spans="1:5" ht="57.75" customHeight="1" x14ac:dyDescent="0.2">
      <c r="A38" s="41" t="s">
        <v>707</v>
      </c>
      <c r="B38" s="122">
        <f>Scenarios!$B$15</f>
        <v>0.55000000000000004</v>
      </c>
      <c r="C38" s="52" t="s">
        <v>549</v>
      </c>
      <c r="D38" s="102" t="s">
        <v>890</v>
      </c>
      <c r="E38" s="102"/>
    </row>
    <row r="39" spans="1:5" ht="44.5" customHeight="1" x14ac:dyDescent="0.2">
      <c r="A39" s="41" t="s">
        <v>709</v>
      </c>
      <c r="B39" s="122">
        <f>Scenarios!$B$16</f>
        <v>4.2000000000000003E-2</v>
      </c>
      <c r="C39" s="52" t="s">
        <v>552</v>
      </c>
      <c r="D39" s="102" t="s">
        <v>891</v>
      </c>
      <c r="E39" s="102"/>
    </row>
    <row r="40" spans="1:5" ht="31.5" customHeight="1" x14ac:dyDescent="0.2">
      <c r="A40" s="41" t="s">
        <v>711</v>
      </c>
      <c r="B40" s="262">
        <f>Scenarios!$B$17</f>
        <v>2.3800000000000002E-2</v>
      </c>
      <c r="C40" s="52" t="s">
        <v>552</v>
      </c>
      <c r="D40" s="102" t="s">
        <v>892</v>
      </c>
      <c r="E40" s="102"/>
    </row>
    <row r="41" spans="1:5" ht="57.75" customHeight="1" x14ac:dyDescent="0.2">
      <c r="A41" s="41" t="s">
        <v>893</v>
      </c>
      <c r="B41" s="122" t="str">
        <f>Scenarios!$B$18</f>
        <v>No</v>
      </c>
      <c r="C41" s="52" t="s">
        <v>549</v>
      </c>
      <c r="D41" s="102" t="s">
        <v>894</v>
      </c>
      <c r="E41" s="102"/>
    </row>
    <row r="42" spans="1:5" ht="15" customHeight="1" x14ac:dyDescent="0.2">
      <c r="A42" s="41"/>
      <c r="B42" s="41"/>
      <c r="C42" s="41"/>
      <c r="D42" s="41"/>
      <c r="E42" s="41"/>
    </row>
    <row r="43" spans="1:5" ht="34" customHeight="1" x14ac:dyDescent="0.2">
      <c r="A43" s="45" t="s">
        <v>895</v>
      </c>
      <c r="B43" s="45"/>
      <c r="C43" s="45"/>
      <c r="D43" s="45"/>
      <c r="E43" s="45"/>
    </row>
    <row r="44" spans="1:5" ht="48.5" customHeight="1" x14ac:dyDescent="0.2">
      <c r="A44" s="117" t="s">
        <v>896</v>
      </c>
      <c r="B44" s="117"/>
      <c r="C44" s="117"/>
      <c r="D44" s="117"/>
      <c r="E44" s="117"/>
    </row>
    <row r="45" spans="1:5" ht="15" customHeight="1" x14ac:dyDescent="0.2">
      <c r="A45" s="41"/>
      <c r="B45" s="41"/>
      <c r="C45" s="41"/>
      <c r="D45" s="41"/>
      <c r="E45" s="41"/>
    </row>
    <row r="46" spans="1:5" ht="44.5" customHeight="1" x14ac:dyDescent="0.2">
      <c r="A46" s="48" t="s">
        <v>897</v>
      </c>
      <c r="B46" s="102" t="str">
        <f>"Reads "&amp;TEXT(Dashboard!$F$17,"0.00")&amp;_xlfn._LONGTEXT("x on the February 2027 sukuk. It deducts neither the cost of building the towers nor any profit or interest payment, so it overstates what is available. Useful for ranking scenarios against each other and for seeing how much slack the escrow pool carries."," Not a repayment test. It lives in section 1 of the Dashboard.")</f>
        <v>Reads 3.79x on the February 2027 sukuk. It deducts neither the cost of building the towers nor any profit or interest payment, so it overstates what is available. Useful for ranking scenarios against each other and for seeing how much slack the escrow pool carries. Not a repayment test. It lives in section 1 of the Dashboard.</v>
      </c>
      <c r="C46" s="102"/>
      <c r="D46" s="102"/>
      <c r="E46" s="102"/>
    </row>
    <row r="47" spans="1:5" ht="31.5" customHeight="1" x14ac:dyDescent="0.2">
      <c r="A47" s="48" t="s">
        <v>898</v>
      </c>
      <c r="B47" s="102" t="str">
        <f>"Reads "&amp;TEXT('Cash flow'!$F$94,"0.00")&amp;"x on the same sukuk, and below 1.00x on the December 2026 bank maturity too. This is the binding number. It is what the Cover table and the maturity coverage table both report."</f>
        <v>Reads 0.80x on the same sukuk, and below 1.00x on the December 2026 bank maturity too. This is the binding number. It is what the Cover table and the maturity coverage table both report.</v>
      </c>
      <c r="C47" s="102"/>
      <c r="D47" s="102"/>
      <c r="E47" s="102"/>
    </row>
    <row r="48" spans="1:5" ht="31.5" customHeight="1" x14ac:dyDescent="0.2">
      <c r="A48" s="53" t="s">
        <v>899</v>
      </c>
      <c r="B48" s="120" t="str">
        <f>"Escrow release to February 2027 is AED "&amp;TEXT(Dashboard!$E$17,"#,##0")&amp;" m gross. Against that sit construction cost and roughly AED "&amp;TEXT('Cash flow'!$F$40,"#,##0")&amp;" m a year of debt service. Measure A ignores both; measure B does not. Escrow money is released to build, so measure B is the one to take to a credit committee."</f>
        <v>Escrow release to February 2027 is AED 10,189 m gross. Against that sit construction cost and roughly AED 1,040 m a year of debt service. Measure A ignores both; measure B does not. Escrow money is released to build, so measure B is the one to take to a credit committee.</v>
      </c>
      <c r="C48" s="120"/>
      <c r="D48" s="120"/>
      <c r="E48" s="120"/>
    </row>
    <row r="49" spans="1:16384" customFormat="1" ht="31.5" customHeight="1" x14ac:dyDescent="0.2">
      <c r="A49" s="48" t="s">
        <v>900</v>
      </c>
      <c r="B49" s="102" t="s">
        <v>901</v>
      </c>
      <c r="C49" s="102"/>
      <c r="D49" s="102"/>
      <c r="E49" s="102"/>
    </row>
    <row r="50" spans="1:16384" customFormat="1" ht="15" customHeight="1" x14ac:dyDescent="0.2">
      <c r="A50" s="41"/>
      <c r="B50" s="41"/>
      <c r="C50" s="41"/>
      <c r="D50" s="41"/>
      <c r="E50" s="41"/>
    </row>
    <row r="51" spans="1:16384" customFormat="1" ht="19.5" customHeight="1" x14ac:dyDescent="0.2">
      <c r="A51" s="114" t="s">
        <v>562</v>
      </c>
      <c r="B51" s="114"/>
      <c r="C51" s="114"/>
      <c r="D51" s="45"/>
      <c r="E51" s="45"/>
    </row>
    <row r="52" spans="1:16384" customFormat="1" ht="18.25" customHeight="1" x14ac:dyDescent="0.2">
      <c r="A52" s="113" t="s">
        <v>563</v>
      </c>
      <c r="B52" s="113"/>
      <c r="C52" s="113"/>
      <c r="D52" s="113"/>
      <c r="E52" s="113"/>
    </row>
    <row r="53" spans="1:16384" customFormat="1" ht="18.25" customHeight="1" x14ac:dyDescent="0.2">
      <c r="A53" s="113" t="s">
        <v>902</v>
      </c>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c r="AO53" s="113"/>
      <c r="AP53" s="113"/>
      <c r="AQ53" s="113"/>
      <c r="AR53" s="113"/>
      <c r="AS53" s="113"/>
      <c r="AT53" s="113"/>
      <c r="AU53" s="113"/>
      <c r="AV53" s="113"/>
      <c r="AW53" s="113"/>
      <c r="AX53" s="113"/>
      <c r="AY53" s="113"/>
      <c r="AZ53" s="113"/>
      <c r="BA53" s="113"/>
      <c r="BB53" s="113"/>
      <c r="BC53" s="113"/>
      <c r="BD53" s="113"/>
      <c r="BE53" s="113"/>
      <c r="BF53" s="113"/>
      <c r="BG53" s="113"/>
      <c r="BH53" s="113"/>
      <c r="BI53" s="113"/>
      <c r="BJ53" s="113"/>
      <c r="BK53" s="113"/>
      <c r="BL53" s="113"/>
      <c r="BM53" s="113"/>
      <c r="BN53" s="113"/>
      <c r="BO53" s="113"/>
      <c r="BP53" s="113"/>
      <c r="BQ53" s="113"/>
      <c r="BR53" s="113"/>
      <c r="BS53" s="113"/>
      <c r="BT53" s="113"/>
      <c r="BU53" s="113"/>
      <c r="BV53" s="113"/>
      <c r="BW53" s="113"/>
      <c r="BX53" s="113"/>
      <c r="BY53" s="113"/>
      <c r="BZ53" s="113"/>
      <c r="CA53" s="113"/>
      <c r="CB53" s="113"/>
      <c r="CC53" s="113"/>
      <c r="CD53" s="113"/>
      <c r="CE53" s="113"/>
      <c r="CF53" s="113"/>
      <c r="CG53" s="113"/>
      <c r="CH53" s="113"/>
      <c r="CI53" s="113"/>
      <c r="CJ53" s="113"/>
      <c r="CK53" s="113"/>
      <c r="CL53" s="113"/>
      <c r="CM53" s="113"/>
      <c r="CN53" s="113"/>
      <c r="CO53" s="113"/>
      <c r="CP53" s="113"/>
      <c r="CQ53" s="113"/>
      <c r="CR53" s="113"/>
      <c r="CS53" s="113"/>
      <c r="CT53" s="113"/>
      <c r="CU53" s="113"/>
      <c r="CV53" s="113"/>
      <c r="CW53" s="113"/>
      <c r="CX53" s="113"/>
      <c r="CY53" s="113"/>
      <c r="CZ53" s="113"/>
      <c r="DA53" s="113"/>
      <c r="DB53" s="113"/>
      <c r="DC53" s="113"/>
      <c r="DD53" s="113"/>
      <c r="DE53" s="113"/>
      <c r="DF53" s="113"/>
      <c r="DG53" s="113"/>
      <c r="DH53" s="113"/>
      <c r="DI53" s="113"/>
      <c r="DJ53" s="113"/>
      <c r="DK53" s="113"/>
      <c r="DL53" s="113"/>
      <c r="DM53" s="113"/>
      <c r="DN53" s="113"/>
      <c r="DO53" s="113"/>
      <c r="DP53" s="113"/>
      <c r="DQ53" s="113"/>
      <c r="DR53" s="113"/>
      <c r="DS53" s="113"/>
      <c r="DT53" s="113"/>
      <c r="DU53" s="113"/>
      <c r="DV53" s="113"/>
      <c r="DW53" s="113"/>
      <c r="DX53" s="113"/>
      <c r="DY53" s="113"/>
      <c r="DZ53" s="113"/>
      <c r="EA53" s="113"/>
      <c r="EB53" s="113"/>
      <c r="EC53" s="113"/>
      <c r="ED53" s="113"/>
      <c r="EE53" s="113"/>
      <c r="EF53" s="113"/>
      <c r="EG53" s="113"/>
      <c r="EH53" s="113"/>
      <c r="EI53" s="113"/>
      <c r="EJ53" s="113"/>
      <c r="EK53" s="113"/>
      <c r="EL53" s="113"/>
      <c r="EM53" s="113"/>
      <c r="EN53" s="113"/>
      <c r="EO53" s="113"/>
      <c r="EP53" s="113"/>
      <c r="EQ53" s="113"/>
      <c r="ER53" s="113"/>
      <c r="ES53" s="113"/>
      <c r="ET53" s="113"/>
      <c r="EU53" s="113"/>
      <c r="EV53" s="113"/>
      <c r="EW53" s="113"/>
      <c r="EX53" s="113"/>
      <c r="EY53" s="113"/>
      <c r="EZ53" s="113"/>
      <c r="FA53" s="113"/>
      <c r="FB53" s="113"/>
      <c r="FC53" s="113"/>
      <c r="FD53" s="113"/>
      <c r="FE53" s="113"/>
      <c r="FF53" s="113"/>
      <c r="FG53" s="113"/>
      <c r="FH53" s="113"/>
      <c r="FI53" s="113"/>
      <c r="FJ53" s="113"/>
      <c r="FK53" s="113"/>
      <c r="FL53" s="113"/>
      <c r="FM53" s="113"/>
      <c r="FN53" s="113"/>
      <c r="FO53" s="113"/>
      <c r="FP53" s="113"/>
      <c r="FQ53" s="113"/>
      <c r="FR53" s="113"/>
      <c r="FS53" s="113"/>
      <c r="FT53" s="113"/>
      <c r="FU53" s="113"/>
      <c r="FV53" s="113"/>
      <c r="FW53" s="113"/>
      <c r="FX53" s="113"/>
      <c r="FY53" s="113"/>
      <c r="FZ53" s="113"/>
      <c r="GA53" s="113"/>
      <c r="GB53" s="113"/>
      <c r="GC53" s="113"/>
      <c r="GD53" s="113"/>
      <c r="GE53" s="113"/>
      <c r="GF53" s="113"/>
      <c r="GG53" s="113"/>
      <c r="GH53" s="113"/>
      <c r="GI53" s="113"/>
      <c r="GJ53" s="113"/>
      <c r="GK53" s="113"/>
      <c r="GL53" s="113"/>
      <c r="GM53" s="113"/>
      <c r="GN53" s="113"/>
      <c r="GO53" s="113"/>
      <c r="GP53" s="113"/>
      <c r="GQ53" s="113"/>
      <c r="GR53" s="113"/>
      <c r="GS53" s="113"/>
      <c r="GT53" s="113"/>
      <c r="GU53" s="113"/>
      <c r="GV53" s="113"/>
      <c r="GW53" s="113"/>
      <c r="GX53" s="113"/>
      <c r="GY53" s="113"/>
      <c r="GZ53" s="113"/>
      <c r="HA53" s="113"/>
      <c r="HB53" s="113"/>
      <c r="HC53" s="113"/>
      <c r="HD53" s="113"/>
      <c r="HE53" s="113"/>
      <c r="HF53" s="113"/>
      <c r="HG53" s="113"/>
      <c r="HH53" s="113"/>
      <c r="HI53" s="113"/>
      <c r="HJ53" s="113"/>
      <c r="HK53" s="113"/>
      <c r="HL53" s="113"/>
      <c r="HM53" s="113"/>
      <c r="HN53" s="113"/>
      <c r="HO53" s="113"/>
      <c r="HP53" s="113"/>
      <c r="HQ53" s="113"/>
      <c r="HR53" s="113"/>
      <c r="HS53" s="113"/>
      <c r="HT53" s="113"/>
      <c r="HU53" s="113"/>
      <c r="HV53" s="113"/>
      <c r="HW53" s="113"/>
      <c r="HX53" s="113"/>
      <c r="HY53" s="113"/>
      <c r="HZ53" s="113"/>
      <c r="IA53" s="113"/>
      <c r="IB53" s="113"/>
      <c r="IC53" s="113"/>
      <c r="ID53" s="113"/>
      <c r="IE53" s="113"/>
      <c r="IF53" s="113"/>
      <c r="IG53" s="113"/>
      <c r="IH53" s="113"/>
      <c r="II53" s="113"/>
      <c r="IJ53" s="113"/>
      <c r="IK53" s="113"/>
      <c r="IL53" s="113"/>
      <c r="IM53" s="113"/>
      <c r="IN53" s="113"/>
      <c r="IO53" s="113"/>
      <c r="IP53" s="113"/>
      <c r="IQ53" s="113"/>
      <c r="IR53" s="113"/>
      <c r="IS53" s="113"/>
      <c r="IT53" s="113"/>
      <c r="IU53" s="113"/>
      <c r="IV53" s="113"/>
      <c r="IW53" s="113"/>
      <c r="IX53" s="113"/>
      <c r="IY53" s="113"/>
      <c r="IZ53" s="113"/>
      <c r="JA53" s="113"/>
      <c r="JB53" s="113"/>
      <c r="JC53" s="113"/>
      <c r="JD53" s="113"/>
      <c r="JE53" s="113"/>
      <c r="JF53" s="113"/>
      <c r="JG53" s="113"/>
      <c r="JH53" s="113"/>
      <c r="JI53" s="113"/>
      <c r="JJ53" s="113"/>
      <c r="JK53" s="113"/>
      <c r="JL53" s="113"/>
      <c r="JM53" s="113"/>
      <c r="JN53" s="113"/>
      <c r="JO53" s="113"/>
      <c r="JP53" s="113"/>
      <c r="JQ53" s="113"/>
      <c r="JR53" s="113"/>
      <c r="JS53" s="113"/>
      <c r="JT53" s="113"/>
      <c r="JU53" s="113"/>
      <c r="JV53" s="113"/>
      <c r="JW53" s="113"/>
      <c r="JX53" s="113"/>
      <c r="JY53" s="113"/>
      <c r="JZ53" s="113"/>
      <c r="KA53" s="113"/>
      <c r="KB53" s="113"/>
      <c r="KC53" s="113"/>
      <c r="KD53" s="113"/>
      <c r="KE53" s="113"/>
      <c r="KF53" s="113"/>
      <c r="KG53" s="113"/>
      <c r="KH53" s="113"/>
      <c r="KI53" s="113"/>
      <c r="KJ53" s="113"/>
      <c r="KK53" s="113"/>
      <c r="KL53" s="113"/>
      <c r="KM53" s="113"/>
      <c r="KN53" s="113"/>
      <c r="KO53" s="113"/>
      <c r="KP53" s="113"/>
      <c r="KQ53" s="113"/>
      <c r="KR53" s="113"/>
      <c r="KS53" s="113"/>
      <c r="KT53" s="113"/>
      <c r="KU53" s="113"/>
      <c r="KV53" s="113"/>
      <c r="KW53" s="113"/>
      <c r="KX53" s="113"/>
      <c r="KY53" s="113"/>
      <c r="KZ53" s="113"/>
      <c r="LA53" s="113"/>
      <c r="LB53" s="113"/>
      <c r="LC53" s="113"/>
      <c r="LD53" s="113"/>
      <c r="LE53" s="113"/>
      <c r="LF53" s="113"/>
      <c r="LG53" s="113"/>
      <c r="LH53" s="113"/>
      <c r="LI53" s="113"/>
      <c r="LJ53" s="113"/>
      <c r="LK53" s="113"/>
      <c r="LL53" s="113"/>
      <c r="LM53" s="113"/>
      <c r="LN53" s="113"/>
      <c r="LO53" s="113"/>
      <c r="LP53" s="113"/>
      <c r="LQ53" s="113"/>
      <c r="LR53" s="113"/>
      <c r="LS53" s="113"/>
      <c r="LT53" s="113"/>
      <c r="LU53" s="113"/>
      <c r="LV53" s="113"/>
      <c r="LW53" s="113"/>
      <c r="LX53" s="113"/>
      <c r="LY53" s="113"/>
      <c r="LZ53" s="113"/>
      <c r="MA53" s="113"/>
      <c r="MB53" s="113"/>
      <c r="MC53" s="113"/>
      <c r="MD53" s="113"/>
      <c r="ME53" s="113"/>
      <c r="MF53" s="113"/>
      <c r="MG53" s="113"/>
      <c r="MH53" s="113"/>
      <c r="MI53" s="113"/>
      <c r="MJ53" s="113"/>
      <c r="MK53" s="113"/>
      <c r="ML53" s="113"/>
      <c r="MM53" s="113"/>
      <c r="MN53" s="113"/>
      <c r="MO53" s="113"/>
      <c r="MP53" s="113"/>
      <c r="MQ53" s="113"/>
      <c r="MR53" s="113"/>
      <c r="MS53" s="113"/>
      <c r="MT53" s="113"/>
      <c r="MU53" s="113"/>
      <c r="MV53" s="113"/>
      <c r="MW53" s="113"/>
      <c r="MX53" s="113"/>
      <c r="MY53" s="113"/>
      <c r="MZ53" s="113"/>
      <c r="NA53" s="113"/>
      <c r="NB53" s="113"/>
      <c r="NC53" s="113"/>
      <c r="ND53" s="113"/>
      <c r="NE53" s="113"/>
      <c r="NF53" s="113"/>
      <c r="NG53" s="113"/>
      <c r="NH53" s="113"/>
      <c r="NI53" s="113"/>
      <c r="NJ53" s="113"/>
      <c r="NK53" s="113"/>
      <c r="NL53" s="113"/>
      <c r="NM53" s="113"/>
      <c r="NN53" s="113"/>
      <c r="NO53" s="113"/>
      <c r="NP53" s="113"/>
      <c r="NQ53" s="113"/>
      <c r="NR53" s="113"/>
      <c r="NS53" s="113"/>
      <c r="NT53" s="113"/>
      <c r="NU53" s="113"/>
      <c r="NV53" s="113"/>
      <c r="NW53" s="113"/>
      <c r="NX53" s="113"/>
      <c r="NY53" s="113"/>
      <c r="NZ53" s="113"/>
      <c r="OA53" s="113"/>
      <c r="OB53" s="113"/>
      <c r="OC53" s="113"/>
      <c r="OD53" s="113"/>
      <c r="OE53" s="113"/>
      <c r="OF53" s="113"/>
      <c r="OG53" s="113"/>
      <c r="OH53" s="113"/>
      <c r="OI53" s="113"/>
      <c r="OJ53" s="113"/>
      <c r="OK53" s="113"/>
      <c r="OL53" s="113"/>
      <c r="OM53" s="113"/>
      <c r="ON53" s="113"/>
      <c r="OO53" s="113"/>
      <c r="OP53" s="113"/>
      <c r="OQ53" s="113"/>
      <c r="OR53" s="113"/>
      <c r="OS53" s="113"/>
      <c r="OT53" s="113"/>
      <c r="OU53" s="113"/>
      <c r="OV53" s="113"/>
      <c r="OW53" s="113"/>
      <c r="OX53" s="113"/>
      <c r="OY53" s="113"/>
      <c r="OZ53" s="113"/>
      <c r="PA53" s="113"/>
      <c r="PB53" s="113"/>
      <c r="PC53" s="113"/>
      <c r="PD53" s="113"/>
      <c r="PE53" s="113"/>
      <c r="PF53" s="113"/>
      <c r="PG53" s="113"/>
      <c r="PH53" s="113"/>
      <c r="PI53" s="113"/>
      <c r="PJ53" s="113"/>
      <c r="PK53" s="113"/>
      <c r="PL53" s="113"/>
      <c r="PM53" s="113"/>
      <c r="PN53" s="113"/>
      <c r="PO53" s="113"/>
      <c r="PP53" s="113"/>
      <c r="PQ53" s="113"/>
      <c r="PR53" s="113"/>
      <c r="PS53" s="113"/>
      <c r="PT53" s="113"/>
      <c r="PU53" s="113"/>
      <c r="PV53" s="113"/>
      <c r="PW53" s="113"/>
      <c r="PX53" s="113"/>
      <c r="PY53" s="113"/>
      <c r="PZ53" s="113"/>
      <c r="QA53" s="113"/>
      <c r="QB53" s="113"/>
      <c r="QC53" s="113"/>
      <c r="QD53" s="113"/>
      <c r="QE53" s="113"/>
      <c r="QF53" s="113"/>
      <c r="QG53" s="113"/>
      <c r="QH53" s="113"/>
      <c r="QI53" s="113"/>
      <c r="QJ53" s="113"/>
      <c r="QK53" s="113"/>
      <c r="QL53" s="113"/>
      <c r="QM53" s="113"/>
      <c r="QN53" s="113"/>
      <c r="QO53" s="113"/>
      <c r="QP53" s="113"/>
      <c r="QQ53" s="113"/>
      <c r="QR53" s="113"/>
      <c r="QS53" s="113"/>
      <c r="QT53" s="113"/>
      <c r="QU53" s="113"/>
      <c r="QV53" s="113"/>
      <c r="QW53" s="113"/>
      <c r="QX53" s="113"/>
      <c r="QY53" s="113"/>
      <c r="QZ53" s="113"/>
      <c r="RA53" s="113"/>
      <c r="RB53" s="113"/>
      <c r="RC53" s="113"/>
      <c r="RD53" s="113"/>
      <c r="RE53" s="113"/>
      <c r="RF53" s="113"/>
      <c r="RG53" s="113"/>
      <c r="RH53" s="113"/>
      <c r="RI53" s="113"/>
      <c r="RJ53" s="113"/>
      <c r="RK53" s="113"/>
      <c r="RL53" s="113"/>
      <c r="RM53" s="113"/>
      <c r="RN53" s="113"/>
      <c r="RO53" s="113"/>
      <c r="RP53" s="113"/>
      <c r="RQ53" s="113"/>
      <c r="RR53" s="113"/>
      <c r="RS53" s="113"/>
      <c r="RT53" s="113"/>
      <c r="RU53" s="113"/>
      <c r="RV53" s="113"/>
      <c r="RW53" s="113"/>
      <c r="RX53" s="113"/>
      <c r="RY53" s="113"/>
      <c r="RZ53" s="113"/>
      <c r="SA53" s="113"/>
      <c r="SB53" s="113"/>
      <c r="SC53" s="113"/>
      <c r="SD53" s="113"/>
      <c r="SE53" s="113"/>
      <c r="SF53" s="113"/>
      <c r="SG53" s="113"/>
      <c r="SH53" s="113"/>
      <c r="SI53" s="113"/>
      <c r="SJ53" s="113"/>
      <c r="SK53" s="113"/>
      <c r="SL53" s="113"/>
      <c r="SM53" s="113"/>
      <c r="SN53" s="113"/>
      <c r="SO53" s="113"/>
      <c r="SP53" s="113"/>
      <c r="SQ53" s="113"/>
      <c r="SR53" s="113"/>
      <c r="SS53" s="113"/>
      <c r="ST53" s="113"/>
      <c r="SU53" s="113"/>
      <c r="SV53" s="113"/>
      <c r="SW53" s="113"/>
      <c r="SX53" s="113"/>
      <c r="SY53" s="113"/>
      <c r="SZ53" s="113"/>
      <c r="TA53" s="113"/>
      <c r="TB53" s="113"/>
      <c r="TC53" s="113"/>
      <c r="TD53" s="113"/>
      <c r="TE53" s="113"/>
      <c r="TF53" s="113"/>
      <c r="TG53" s="113"/>
      <c r="TH53" s="113"/>
      <c r="TI53" s="113"/>
      <c r="TJ53" s="113"/>
      <c r="TK53" s="113"/>
      <c r="TL53" s="113"/>
      <c r="TM53" s="113"/>
      <c r="TN53" s="113"/>
      <c r="TO53" s="113"/>
      <c r="TP53" s="113"/>
      <c r="TQ53" s="113"/>
      <c r="TR53" s="113"/>
      <c r="TS53" s="113"/>
      <c r="TT53" s="113"/>
      <c r="TU53" s="113"/>
      <c r="TV53" s="113"/>
      <c r="TW53" s="113"/>
      <c r="TX53" s="113"/>
      <c r="TY53" s="113"/>
      <c r="TZ53" s="113"/>
      <c r="UA53" s="113"/>
      <c r="UB53" s="113"/>
      <c r="UC53" s="113"/>
      <c r="UD53" s="113"/>
      <c r="UE53" s="113"/>
      <c r="UF53" s="113"/>
      <c r="UG53" s="113"/>
      <c r="UH53" s="113"/>
      <c r="UI53" s="113"/>
      <c r="UJ53" s="113"/>
      <c r="UK53" s="113"/>
      <c r="UL53" s="113"/>
      <c r="UM53" s="113"/>
      <c r="UN53" s="113"/>
      <c r="UO53" s="113"/>
      <c r="UP53" s="113"/>
      <c r="UQ53" s="113"/>
      <c r="UR53" s="113"/>
      <c r="US53" s="113"/>
      <c r="UT53" s="113"/>
      <c r="UU53" s="113"/>
      <c r="UV53" s="113"/>
      <c r="UW53" s="113"/>
      <c r="UX53" s="113"/>
      <c r="UY53" s="113"/>
      <c r="UZ53" s="113"/>
      <c r="VA53" s="113"/>
      <c r="VB53" s="113"/>
      <c r="VC53" s="113"/>
      <c r="VD53" s="113"/>
      <c r="VE53" s="113"/>
      <c r="VF53" s="113"/>
      <c r="VG53" s="113"/>
      <c r="VH53" s="113"/>
      <c r="VI53" s="113"/>
      <c r="VJ53" s="113"/>
      <c r="VK53" s="113"/>
      <c r="VL53" s="113"/>
      <c r="VM53" s="113"/>
      <c r="VN53" s="113"/>
      <c r="VO53" s="113"/>
      <c r="VP53" s="113"/>
      <c r="VQ53" s="113"/>
      <c r="VR53" s="113"/>
      <c r="VS53" s="113"/>
      <c r="VT53" s="113"/>
      <c r="VU53" s="113"/>
      <c r="VV53" s="113"/>
      <c r="VW53" s="113"/>
      <c r="VX53" s="113"/>
      <c r="VY53" s="113"/>
      <c r="VZ53" s="113"/>
      <c r="WA53" s="113"/>
      <c r="WB53" s="113"/>
      <c r="WC53" s="113"/>
      <c r="WD53" s="113"/>
      <c r="WE53" s="113"/>
      <c r="WF53" s="113"/>
      <c r="WG53" s="113"/>
      <c r="WH53" s="113"/>
      <c r="WI53" s="113"/>
      <c r="WJ53" s="113"/>
      <c r="WK53" s="113"/>
      <c r="WL53" s="113"/>
      <c r="WM53" s="113"/>
      <c r="WN53" s="113"/>
      <c r="WO53" s="113"/>
      <c r="WP53" s="113"/>
      <c r="WQ53" s="113"/>
      <c r="WR53" s="113"/>
      <c r="WS53" s="113"/>
      <c r="WT53" s="113"/>
      <c r="WU53" s="113"/>
      <c r="WV53" s="113"/>
      <c r="WW53" s="113"/>
      <c r="WX53" s="113"/>
      <c r="WY53" s="113"/>
      <c r="WZ53" s="113"/>
      <c r="XA53" s="113"/>
      <c r="XB53" s="113"/>
      <c r="XC53" s="113"/>
      <c r="XD53" s="113"/>
      <c r="XE53" s="113"/>
      <c r="XF53" s="113"/>
      <c r="XG53" s="113"/>
      <c r="XH53" s="113"/>
      <c r="XI53" s="113"/>
      <c r="XJ53" s="113"/>
      <c r="XK53" s="113"/>
      <c r="XL53" s="113"/>
      <c r="XM53" s="113"/>
      <c r="XN53" s="113"/>
      <c r="XO53" s="113"/>
      <c r="XP53" s="113"/>
      <c r="XQ53" s="113"/>
      <c r="XR53" s="113"/>
      <c r="XS53" s="113"/>
      <c r="XT53" s="113"/>
      <c r="XU53" s="113"/>
      <c r="XV53" s="113"/>
      <c r="XW53" s="113"/>
      <c r="XX53" s="113"/>
      <c r="XY53" s="113"/>
      <c r="XZ53" s="113"/>
      <c r="YA53" s="113"/>
      <c r="YB53" s="113"/>
      <c r="YC53" s="113"/>
      <c r="YD53" s="113"/>
      <c r="YE53" s="113"/>
      <c r="YF53" s="113"/>
      <c r="YG53" s="113"/>
      <c r="YH53" s="113"/>
      <c r="YI53" s="113"/>
      <c r="YJ53" s="113"/>
      <c r="YK53" s="113"/>
      <c r="YL53" s="113"/>
      <c r="YM53" s="113"/>
      <c r="YN53" s="113"/>
      <c r="YO53" s="113"/>
      <c r="YP53" s="113"/>
      <c r="YQ53" s="113"/>
      <c r="YR53" s="113"/>
      <c r="YS53" s="113"/>
      <c r="YT53" s="113"/>
      <c r="YU53" s="113"/>
      <c r="YV53" s="113"/>
      <c r="YW53" s="113"/>
      <c r="YX53" s="113"/>
      <c r="YY53" s="113"/>
      <c r="YZ53" s="113"/>
      <c r="ZA53" s="113"/>
      <c r="ZB53" s="113"/>
      <c r="ZC53" s="113"/>
      <c r="ZD53" s="113"/>
      <c r="ZE53" s="113"/>
      <c r="ZF53" s="113"/>
      <c r="ZG53" s="113"/>
      <c r="ZH53" s="113"/>
      <c r="ZI53" s="113"/>
      <c r="ZJ53" s="113"/>
      <c r="ZK53" s="113"/>
      <c r="ZL53" s="113"/>
      <c r="ZM53" s="113"/>
      <c r="ZN53" s="113"/>
      <c r="ZO53" s="113"/>
      <c r="ZP53" s="113"/>
      <c r="ZQ53" s="113"/>
      <c r="ZR53" s="113"/>
      <c r="ZS53" s="113"/>
      <c r="ZT53" s="113"/>
      <c r="ZU53" s="113"/>
      <c r="ZV53" s="113"/>
      <c r="ZW53" s="113"/>
      <c r="ZX53" s="113"/>
      <c r="ZY53" s="113"/>
      <c r="ZZ53" s="113"/>
      <c r="AAA53" s="113"/>
      <c r="AAB53" s="113"/>
      <c r="AAC53" s="113"/>
      <c r="AAD53" s="113"/>
      <c r="AAE53" s="113"/>
      <c r="AAF53" s="113"/>
      <c r="AAG53" s="113"/>
      <c r="AAH53" s="113"/>
      <c r="AAI53" s="113"/>
      <c r="AAJ53" s="113"/>
      <c r="AAK53" s="113"/>
      <c r="AAL53" s="113"/>
      <c r="AAM53" s="113"/>
      <c r="AAN53" s="113"/>
      <c r="AAO53" s="113"/>
      <c r="AAP53" s="113"/>
      <c r="AAQ53" s="113"/>
      <c r="AAR53" s="113"/>
      <c r="AAS53" s="113"/>
      <c r="AAT53" s="113"/>
      <c r="AAU53" s="113"/>
      <c r="AAV53" s="113"/>
      <c r="AAW53" s="113"/>
      <c r="AAX53" s="113"/>
      <c r="AAY53" s="113"/>
      <c r="AAZ53" s="113"/>
      <c r="ABA53" s="113"/>
      <c r="ABB53" s="113"/>
      <c r="ABC53" s="113"/>
      <c r="ABD53" s="113"/>
      <c r="ABE53" s="113"/>
      <c r="ABF53" s="113"/>
      <c r="ABG53" s="113"/>
      <c r="ABH53" s="113"/>
      <c r="ABI53" s="113"/>
      <c r="ABJ53" s="113"/>
      <c r="ABK53" s="113"/>
      <c r="ABL53" s="113"/>
      <c r="ABM53" s="113"/>
      <c r="ABN53" s="113"/>
      <c r="ABO53" s="113"/>
      <c r="ABP53" s="113"/>
      <c r="ABQ53" s="113"/>
      <c r="ABR53" s="113"/>
      <c r="ABS53" s="113"/>
      <c r="ABT53" s="113"/>
      <c r="ABU53" s="113"/>
      <c r="ABV53" s="113"/>
      <c r="ABW53" s="113"/>
      <c r="ABX53" s="113"/>
      <c r="ABY53" s="113"/>
      <c r="ABZ53" s="113"/>
      <c r="ACA53" s="113"/>
      <c r="ACB53" s="113"/>
      <c r="ACC53" s="113"/>
      <c r="ACD53" s="113"/>
      <c r="ACE53" s="113"/>
      <c r="ACF53" s="113"/>
      <c r="ACG53" s="113"/>
      <c r="ACH53" s="113"/>
      <c r="ACI53" s="113"/>
      <c r="ACJ53" s="113"/>
      <c r="ACK53" s="113"/>
      <c r="ACL53" s="113"/>
      <c r="ACM53" s="113"/>
      <c r="ACN53" s="113"/>
      <c r="ACO53" s="113"/>
      <c r="ACP53" s="113"/>
      <c r="ACQ53" s="113"/>
      <c r="ACR53" s="113"/>
      <c r="ACS53" s="113"/>
      <c r="ACT53" s="113"/>
      <c r="ACU53" s="113"/>
      <c r="ACV53" s="113"/>
      <c r="ACW53" s="113"/>
      <c r="ACX53" s="113"/>
      <c r="ACY53" s="113"/>
      <c r="ACZ53" s="113"/>
      <c r="ADA53" s="113"/>
      <c r="ADB53" s="113"/>
      <c r="ADC53" s="113"/>
      <c r="ADD53" s="113"/>
      <c r="ADE53" s="113"/>
      <c r="ADF53" s="113"/>
      <c r="ADG53" s="113"/>
      <c r="ADH53" s="113"/>
      <c r="ADI53" s="113"/>
      <c r="ADJ53" s="113"/>
      <c r="ADK53" s="113"/>
      <c r="ADL53" s="113"/>
      <c r="ADM53" s="113"/>
      <c r="ADN53" s="113"/>
      <c r="ADO53" s="113"/>
      <c r="ADP53" s="113"/>
      <c r="ADQ53" s="113"/>
      <c r="ADR53" s="113"/>
      <c r="ADS53" s="113"/>
      <c r="ADT53" s="113"/>
      <c r="ADU53" s="113"/>
      <c r="ADV53" s="113"/>
      <c r="ADW53" s="113"/>
      <c r="ADX53" s="113"/>
      <c r="ADY53" s="113"/>
      <c r="ADZ53" s="113"/>
      <c r="AEA53" s="113"/>
      <c r="AEB53" s="113"/>
      <c r="AEC53" s="113"/>
      <c r="AED53" s="113"/>
      <c r="AEE53" s="113"/>
      <c r="AEF53" s="113"/>
      <c r="AEG53" s="113"/>
      <c r="AEH53" s="113"/>
      <c r="AEI53" s="113"/>
      <c r="AEJ53" s="113"/>
      <c r="AEK53" s="113"/>
      <c r="AEL53" s="113"/>
      <c r="AEM53" s="113"/>
      <c r="AEN53" s="113"/>
      <c r="AEO53" s="113"/>
      <c r="AEP53" s="113"/>
      <c r="AEQ53" s="113"/>
      <c r="AER53" s="113"/>
      <c r="AES53" s="113"/>
      <c r="AET53" s="113"/>
      <c r="AEU53" s="113"/>
      <c r="AEV53" s="113"/>
      <c r="AEW53" s="113"/>
      <c r="AEX53" s="113"/>
      <c r="AEY53" s="113"/>
      <c r="AEZ53" s="113"/>
      <c r="AFA53" s="113"/>
      <c r="AFB53" s="113"/>
      <c r="AFC53" s="113"/>
      <c r="AFD53" s="113"/>
      <c r="AFE53" s="113"/>
      <c r="AFF53" s="113"/>
      <c r="AFG53" s="113"/>
      <c r="AFH53" s="113"/>
      <c r="AFI53" s="113"/>
      <c r="AFJ53" s="113"/>
      <c r="AFK53" s="113"/>
      <c r="AFL53" s="113"/>
      <c r="AFM53" s="113"/>
      <c r="AFN53" s="113"/>
      <c r="AFO53" s="113"/>
      <c r="AFP53" s="113"/>
      <c r="AFQ53" s="113"/>
      <c r="AFR53" s="113"/>
      <c r="AFS53" s="113"/>
      <c r="AFT53" s="113"/>
      <c r="AFU53" s="113"/>
      <c r="AFV53" s="113"/>
      <c r="AFW53" s="113"/>
      <c r="AFX53" s="113"/>
      <c r="AFY53" s="113"/>
      <c r="AFZ53" s="113"/>
      <c r="AGA53" s="113"/>
      <c r="AGB53" s="113"/>
      <c r="AGC53" s="113"/>
      <c r="AGD53" s="113"/>
      <c r="AGE53" s="113"/>
      <c r="AGF53" s="113"/>
      <c r="AGG53" s="113"/>
      <c r="AGH53" s="113"/>
      <c r="AGI53" s="113"/>
      <c r="AGJ53" s="113"/>
      <c r="AGK53" s="113"/>
      <c r="AGL53" s="113"/>
      <c r="AGM53" s="113"/>
      <c r="AGN53" s="113"/>
      <c r="AGO53" s="113"/>
      <c r="AGP53" s="113"/>
      <c r="AGQ53" s="113"/>
      <c r="AGR53" s="113"/>
      <c r="AGS53" s="113"/>
      <c r="AGT53" s="113"/>
      <c r="AGU53" s="113"/>
      <c r="AGV53" s="113"/>
      <c r="AGW53" s="113"/>
      <c r="AGX53" s="113"/>
      <c r="AGY53" s="113"/>
      <c r="AGZ53" s="113"/>
      <c r="AHA53" s="113"/>
      <c r="AHB53" s="113"/>
      <c r="AHC53" s="113"/>
      <c r="AHD53" s="113"/>
      <c r="AHE53" s="113"/>
      <c r="AHF53" s="113"/>
      <c r="AHG53" s="113"/>
      <c r="AHH53" s="113"/>
      <c r="AHI53" s="113"/>
      <c r="AHJ53" s="113"/>
      <c r="AHK53" s="113"/>
      <c r="AHL53" s="113"/>
      <c r="AHM53" s="113"/>
      <c r="AHN53" s="113"/>
      <c r="AHO53" s="113"/>
      <c r="AHP53" s="113"/>
      <c r="AHQ53" s="113"/>
      <c r="AHR53" s="113"/>
      <c r="AHS53" s="113"/>
      <c r="AHT53" s="113"/>
      <c r="AHU53" s="113"/>
      <c r="AHV53" s="113"/>
      <c r="AHW53" s="113"/>
      <c r="AHX53" s="113"/>
      <c r="AHY53" s="113"/>
      <c r="AHZ53" s="113"/>
      <c r="AIA53" s="113"/>
      <c r="AIB53" s="113"/>
      <c r="AIC53" s="113"/>
      <c r="AID53" s="113"/>
      <c r="AIE53" s="113"/>
      <c r="AIF53" s="113"/>
      <c r="AIG53" s="113"/>
      <c r="AIH53" s="113"/>
      <c r="AII53" s="113"/>
      <c r="AIJ53" s="113"/>
      <c r="AIK53" s="113"/>
      <c r="AIL53" s="113"/>
      <c r="AIM53" s="113"/>
      <c r="AIN53" s="113"/>
      <c r="AIO53" s="113"/>
      <c r="AIP53" s="113"/>
      <c r="AIQ53" s="113"/>
      <c r="AIR53" s="113"/>
      <c r="AIS53" s="113"/>
      <c r="AIT53" s="113"/>
      <c r="AIU53" s="113"/>
      <c r="AIV53" s="113"/>
      <c r="AIW53" s="113"/>
      <c r="AIX53" s="113"/>
      <c r="AIY53" s="113"/>
      <c r="AIZ53" s="113"/>
      <c r="AJA53" s="113"/>
      <c r="AJB53" s="113"/>
      <c r="AJC53" s="113"/>
      <c r="AJD53" s="113"/>
      <c r="AJE53" s="113"/>
      <c r="AJF53" s="113"/>
      <c r="AJG53" s="113"/>
      <c r="AJH53" s="113"/>
      <c r="AJI53" s="113"/>
      <c r="AJJ53" s="113"/>
      <c r="AJK53" s="113"/>
      <c r="AJL53" s="113"/>
      <c r="AJM53" s="113"/>
      <c r="AJN53" s="113"/>
      <c r="AJO53" s="113"/>
      <c r="AJP53" s="113"/>
      <c r="AJQ53" s="113"/>
      <c r="AJR53" s="113"/>
      <c r="AJS53" s="113"/>
      <c r="AJT53" s="113"/>
      <c r="AJU53" s="113"/>
      <c r="AJV53" s="113"/>
      <c r="AJW53" s="113"/>
      <c r="AJX53" s="113"/>
      <c r="AJY53" s="113"/>
      <c r="AJZ53" s="113"/>
      <c r="AKA53" s="113"/>
      <c r="AKB53" s="113"/>
      <c r="AKC53" s="113"/>
      <c r="AKD53" s="113"/>
      <c r="AKE53" s="113"/>
      <c r="AKF53" s="113"/>
      <c r="AKG53" s="113"/>
      <c r="AKH53" s="113"/>
      <c r="AKI53" s="113"/>
      <c r="AKJ53" s="113"/>
      <c r="AKK53" s="113"/>
      <c r="AKL53" s="113"/>
      <c r="AKM53" s="113"/>
      <c r="AKN53" s="113"/>
      <c r="AKO53" s="113"/>
      <c r="AKP53" s="113"/>
      <c r="AKQ53" s="113"/>
      <c r="AKR53" s="113"/>
      <c r="AKS53" s="113"/>
      <c r="AKT53" s="113"/>
      <c r="AKU53" s="113"/>
      <c r="AKV53" s="113"/>
      <c r="AKW53" s="113"/>
      <c r="AKX53" s="113"/>
      <c r="AKY53" s="113"/>
      <c r="AKZ53" s="113"/>
      <c r="ALA53" s="113"/>
      <c r="ALB53" s="113"/>
      <c r="ALC53" s="113"/>
      <c r="ALD53" s="113"/>
      <c r="ALE53" s="113"/>
      <c r="ALF53" s="113"/>
      <c r="ALG53" s="113"/>
      <c r="ALH53" s="113"/>
      <c r="ALI53" s="113"/>
      <c r="ALJ53" s="113"/>
      <c r="ALK53" s="113"/>
      <c r="ALL53" s="113"/>
      <c r="ALM53" s="113"/>
      <c r="ALN53" s="113"/>
      <c r="ALO53" s="113"/>
      <c r="ALP53" s="113"/>
      <c r="ALQ53" s="113"/>
      <c r="ALR53" s="113"/>
      <c r="ALS53" s="113"/>
      <c r="ALT53" s="113"/>
      <c r="ALU53" s="113"/>
      <c r="ALV53" s="113"/>
      <c r="ALW53" s="113"/>
      <c r="ALX53" s="113"/>
      <c r="ALY53" s="113"/>
      <c r="ALZ53" s="113"/>
      <c r="AMA53" s="113"/>
      <c r="AMB53" s="113"/>
      <c r="AMC53" s="113"/>
      <c r="AMD53" s="113"/>
      <c r="AME53" s="113"/>
      <c r="AMF53" s="113"/>
      <c r="AMG53" s="113"/>
      <c r="AMH53" s="113"/>
      <c r="AMI53" s="113"/>
      <c r="AMJ53" s="113"/>
      <c r="AMK53" s="113"/>
      <c r="AML53" s="113"/>
      <c r="AMM53" s="113"/>
      <c r="AMN53" s="113"/>
      <c r="AMO53" s="113"/>
      <c r="AMP53" s="113"/>
      <c r="AMQ53" s="113"/>
      <c r="AMR53" s="113"/>
      <c r="AMS53" s="113"/>
      <c r="AMT53" s="113"/>
      <c r="AMU53" s="113"/>
      <c r="AMV53" s="113"/>
      <c r="AMW53" s="113"/>
      <c r="AMX53" s="113"/>
      <c r="AMY53" s="113"/>
      <c r="AMZ53" s="113"/>
      <c r="ANA53" s="113"/>
      <c r="ANB53" s="113"/>
      <c r="ANC53" s="113"/>
      <c r="AND53" s="113"/>
      <c r="ANE53" s="113"/>
      <c r="ANF53" s="113"/>
      <c r="ANG53" s="113"/>
      <c r="ANH53" s="113"/>
      <c r="ANI53" s="113"/>
      <c r="ANJ53" s="113"/>
      <c r="ANK53" s="113"/>
      <c r="ANL53" s="113"/>
      <c r="ANM53" s="113"/>
      <c r="ANN53" s="113"/>
      <c r="ANO53" s="113"/>
      <c r="ANP53" s="113"/>
      <c r="ANQ53" s="113"/>
      <c r="ANR53" s="113"/>
      <c r="ANS53" s="113"/>
      <c r="ANT53" s="113"/>
      <c r="ANU53" s="113"/>
      <c r="ANV53" s="113"/>
      <c r="ANW53" s="113"/>
      <c r="ANX53" s="113"/>
      <c r="ANY53" s="113"/>
      <c r="ANZ53" s="113"/>
      <c r="AOA53" s="113"/>
      <c r="AOB53" s="113"/>
      <c r="AOC53" s="113"/>
      <c r="AOD53" s="113"/>
      <c r="AOE53" s="113"/>
      <c r="AOF53" s="113"/>
      <c r="AOG53" s="113"/>
      <c r="AOH53" s="113"/>
      <c r="AOI53" s="113"/>
      <c r="AOJ53" s="113"/>
      <c r="AOK53" s="113"/>
      <c r="AOL53" s="113"/>
      <c r="AOM53" s="113"/>
      <c r="AON53" s="113"/>
      <c r="AOO53" s="113"/>
      <c r="AOP53" s="113"/>
      <c r="AOQ53" s="113"/>
      <c r="AOR53" s="113"/>
      <c r="AOS53" s="113"/>
      <c r="AOT53" s="113"/>
      <c r="AOU53" s="113"/>
      <c r="AOV53" s="113"/>
      <c r="AOW53" s="113"/>
      <c r="AOX53" s="113"/>
      <c r="AOY53" s="113"/>
      <c r="AOZ53" s="113"/>
      <c r="APA53" s="113"/>
      <c r="APB53" s="113"/>
      <c r="APC53" s="113"/>
      <c r="APD53" s="113"/>
      <c r="APE53" s="113"/>
      <c r="APF53" s="113"/>
      <c r="APG53" s="113"/>
      <c r="APH53" s="113"/>
      <c r="API53" s="113"/>
      <c r="APJ53" s="113"/>
      <c r="APK53" s="113"/>
      <c r="APL53" s="113"/>
      <c r="APM53" s="113"/>
      <c r="APN53" s="113"/>
      <c r="APO53" s="113"/>
      <c r="APP53" s="113"/>
      <c r="APQ53" s="113"/>
      <c r="APR53" s="113"/>
      <c r="APS53" s="113"/>
      <c r="APT53" s="113"/>
      <c r="APU53" s="113"/>
      <c r="APV53" s="113"/>
      <c r="APW53" s="113"/>
      <c r="APX53" s="113"/>
      <c r="APY53" s="113"/>
      <c r="APZ53" s="113"/>
      <c r="AQA53" s="113"/>
      <c r="AQB53" s="113"/>
      <c r="AQC53" s="113"/>
      <c r="AQD53" s="113"/>
      <c r="AQE53" s="113"/>
      <c r="AQF53" s="113"/>
      <c r="AQG53" s="113"/>
      <c r="AQH53" s="113"/>
      <c r="AQI53" s="113"/>
      <c r="AQJ53" s="113"/>
      <c r="AQK53" s="113"/>
      <c r="AQL53" s="113"/>
      <c r="AQM53" s="113"/>
      <c r="AQN53" s="113"/>
      <c r="AQO53" s="113"/>
      <c r="AQP53" s="113"/>
      <c r="AQQ53" s="113"/>
      <c r="AQR53" s="113"/>
      <c r="AQS53" s="113"/>
      <c r="AQT53" s="113"/>
      <c r="AQU53" s="113"/>
      <c r="AQV53" s="113"/>
      <c r="AQW53" s="113"/>
      <c r="AQX53" s="113"/>
      <c r="AQY53" s="113"/>
      <c r="AQZ53" s="113"/>
      <c r="ARA53" s="113"/>
      <c r="ARB53" s="113"/>
      <c r="ARC53" s="113"/>
      <c r="ARD53" s="113"/>
      <c r="ARE53" s="113"/>
      <c r="ARF53" s="113"/>
      <c r="ARG53" s="113"/>
      <c r="ARH53" s="113"/>
      <c r="ARI53" s="113"/>
      <c r="ARJ53" s="113"/>
      <c r="ARK53" s="113"/>
      <c r="ARL53" s="113"/>
      <c r="ARM53" s="113"/>
      <c r="ARN53" s="113"/>
      <c r="ARO53" s="113"/>
      <c r="ARP53" s="113"/>
      <c r="ARQ53" s="113"/>
      <c r="ARR53" s="113"/>
      <c r="ARS53" s="113"/>
      <c r="ART53" s="113"/>
      <c r="ARU53" s="113"/>
      <c r="ARV53" s="113"/>
      <c r="ARW53" s="113"/>
      <c r="ARX53" s="113"/>
      <c r="ARY53" s="113"/>
      <c r="ARZ53" s="113"/>
      <c r="ASA53" s="113"/>
      <c r="ASB53" s="113"/>
      <c r="ASC53" s="113"/>
      <c r="ASD53" s="113"/>
      <c r="ASE53" s="113"/>
      <c r="ASF53" s="113"/>
      <c r="ASG53" s="113"/>
      <c r="ASH53" s="113"/>
      <c r="ASI53" s="113"/>
      <c r="ASJ53" s="113"/>
      <c r="ASK53" s="113"/>
      <c r="ASL53" s="113"/>
      <c r="ASM53" s="113"/>
      <c r="ASN53" s="113"/>
      <c r="ASO53" s="113"/>
      <c r="ASP53" s="113"/>
      <c r="ASQ53" s="113"/>
      <c r="ASR53" s="113"/>
      <c r="ASS53" s="113"/>
      <c r="AST53" s="113"/>
      <c r="ASU53" s="113"/>
      <c r="ASV53" s="113"/>
      <c r="ASW53" s="113"/>
      <c r="ASX53" s="113"/>
      <c r="ASY53" s="113"/>
      <c r="ASZ53" s="113"/>
      <c r="ATA53" s="113"/>
      <c r="ATB53" s="113"/>
      <c r="ATC53" s="113"/>
      <c r="ATD53" s="113"/>
      <c r="ATE53" s="113"/>
      <c r="ATF53" s="113"/>
      <c r="ATG53" s="113"/>
      <c r="ATH53" s="113"/>
      <c r="ATI53" s="113"/>
      <c r="ATJ53" s="113"/>
      <c r="ATK53" s="113"/>
      <c r="ATL53" s="113"/>
      <c r="ATM53" s="113"/>
      <c r="ATN53" s="113"/>
      <c r="ATO53" s="113"/>
      <c r="ATP53" s="113"/>
      <c r="ATQ53" s="113"/>
      <c r="ATR53" s="113"/>
      <c r="ATS53" s="113"/>
      <c r="ATT53" s="113"/>
      <c r="ATU53" s="113"/>
      <c r="ATV53" s="113"/>
      <c r="ATW53" s="113"/>
      <c r="ATX53" s="113"/>
      <c r="ATY53" s="113"/>
      <c r="ATZ53" s="113"/>
      <c r="AUA53" s="113"/>
      <c r="AUB53" s="113"/>
      <c r="AUC53" s="113"/>
      <c r="AUD53" s="113"/>
      <c r="AUE53" s="113"/>
      <c r="AUF53" s="113"/>
      <c r="AUG53" s="113"/>
      <c r="AUH53" s="113"/>
      <c r="AUI53" s="113"/>
      <c r="AUJ53" s="113"/>
      <c r="AUK53" s="113"/>
      <c r="AUL53" s="113"/>
      <c r="AUM53" s="113"/>
      <c r="AUN53" s="113"/>
      <c r="AUO53" s="113"/>
      <c r="AUP53" s="113"/>
      <c r="AUQ53" s="113"/>
      <c r="AUR53" s="113"/>
      <c r="AUS53" s="113"/>
      <c r="AUT53" s="113"/>
      <c r="AUU53" s="113"/>
      <c r="AUV53" s="113"/>
      <c r="AUW53" s="113"/>
      <c r="AUX53" s="113"/>
      <c r="AUY53" s="113"/>
      <c r="AUZ53" s="113"/>
      <c r="AVA53" s="113"/>
      <c r="AVB53" s="113"/>
      <c r="AVC53" s="113"/>
      <c r="AVD53" s="113"/>
      <c r="AVE53" s="113"/>
      <c r="AVF53" s="113"/>
      <c r="AVG53" s="113"/>
      <c r="AVH53" s="113"/>
      <c r="AVI53" s="113"/>
      <c r="AVJ53" s="113"/>
      <c r="AVK53" s="113"/>
      <c r="AVL53" s="113"/>
      <c r="AVM53" s="113"/>
      <c r="AVN53" s="113"/>
      <c r="AVO53" s="113"/>
      <c r="AVP53" s="113"/>
      <c r="AVQ53" s="113"/>
      <c r="AVR53" s="113"/>
      <c r="AVS53" s="113"/>
      <c r="AVT53" s="113"/>
      <c r="AVU53" s="113"/>
      <c r="AVV53" s="113"/>
      <c r="AVW53" s="113"/>
      <c r="AVX53" s="113"/>
      <c r="AVY53" s="113"/>
      <c r="AVZ53" s="113"/>
      <c r="AWA53" s="113"/>
      <c r="AWB53" s="113"/>
      <c r="AWC53" s="113"/>
      <c r="AWD53" s="113"/>
      <c r="AWE53" s="113"/>
      <c r="AWF53" s="113"/>
      <c r="AWG53" s="113"/>
      <c r="AWH53" s="113"/>
      <c r="AWI53" s="113"/>
      <c r="AWJ53" s="113"/>
      <c r="AWK53" s="113"/>
      <c r="AWL53" s="113"/>
      <c r="AWM53" s="113"/>
      <c r="AWN53" s="113"/>
      <c r="AWO53" s="113"/>
      <c r="AWP53" s="113"/>
      <c r="AWQ53" s="113"/>
      <c r="AWR53" s="113"/>
      <c r="AWS53" s="113"/>
      <c r="AWT53" s="113"/>
      <c r="AWU53" s="113"/>
      <c r="AWV53" s="113"/>
      <c r="AWW53" s="113"/>
      <c r="AWX53" s="113"/>
      <c r="AWY53" s="113"/>
      <c r="AWZ53" s="113"/>
      <c r="AXA53" s="113"/>
      <c r="AXB53" s="113"/>
      <c r="AXC53" s="113"/>
      <c r="AXD53" s="113"/>
      <c r="AXE53" s="113"/>
      <c r="AXF53" s="113"/>
      <c r="AXG53" s="113"/>
      <c r="AXH53" s="113"/>
      <c r="AXI53" s="113"/>
      <c r="AXJ53" s="113"/>
      <c r="AXK53" s="113"/>
      <c r="AXL53" s="113"/>
      <c r="AXM53" s="113"/>
      <c r="AXN53" s="113"/>
      <c r="AXO53" s="113"/>
      <c r="AXP53" s="113"/>
      <c r="AXQ53" s="113"/>
      <c r="AXR53" s="113"/>
      <c r="AXS53" s="113"/>
      <c r="AXT53" s="113"/>
      <c r="AXU53" s="113"/>
      <c r="AXV53" s="113"/>
      <c r="AXW53" s="113"/>
      <c r="AXX53" s="113"/>
      <c r="AXY53" s="113"/>
      <c r="AXZ53" s="113"/>
      <c r="AYA53" s="113"/>
      <c r="AYB53" s="113"/>
      <c r="AYC53" s="113"/>
      <c r="AYD53" s="113"/>
      <c r="AYE53" s="113"/>
      <c r="AYF53" s="113"/>
      <c r="AYG53" s="113"/>
      <c r="AYH53" s="113"/>
      <c r="AYI53" s="113"/>
      <c r="AYJ53" s="113"/>
      <c r="AYK53" s="113"/>
      <c r="AYL53" s="113"/>
      <c r="AYM53" s="113"/>
      <c r="AYN53" s="113"/>
      <c r="AYO53" s="113"/>
      <c r="AYP53" s="113"/>
      <c r="AYQ53" s="113"/>
      <c r="AYR53" s="113"/>
      <c r="AYS53" s="113"/>
      <c r="AYT53" s="113"/>
      <c r="AYU53" s="113"/>
      <c r="AYV53" s="113"/>
      <c r="AYW53" s="113"/>
      <c r="AYX53" s="113"/>
      <c r="AYY53" s="113"/>
      <c r="AYZ53" s="113"/>
      <c r="AZA53" s="113"/>
      <c r="AZB53" s="113"/>
      <c r="AZC53" s="113"/>
      <c r="AZD53" s="113"/>
      <c r="AZE53" s="113"/>
      <c r="AZF53" s="113"/>
      <c r="AZG53" s="113"/>
      <c r="AZH53" s="113"/>
      <c r="AZI53" s="113"/>
      <c r="AZJ53" s="113"/>
      <c r="AZK53" s="113"/>
      <c r="AZL53" s="113"/>
      <c r="AZM53" s="113"/>
      <c r="AZN53" s="113"/>
      <c r="AZO53" s="113"/>
      <c r="AZP53" s="113"/>
      <c r="AZQ53" s="113"/>
      <c r="AZR53" s="113"/>
      <c r="AZS53" s="113"/>
      <c r="AZT53" s="113"/>
      <c r="AZU53" s="113"/>
      <c r="AZV53" s="113"/>
      <c r="AZW53" s="113"/>
      <c r="AZX53" s="113"/>
      <c r="AZY53" s="113"/>
      <c r="AZZ53" s="113"/>
      <c r="BAA53" s="113"/>
      <c r="BAB53" s="113"/>
      <c r="BAC53" s="113"/>
      <c r="BAD53" s="113"/>
      <c r="BAE53" s="113"/>
      <c r="BAF53" s="113"/>
      <c r="BAG53" s="113"/>
      <c r="BAH53" s="113"/>
      <c r="BAI53" s="113"/>
      <c r="BAJ53" s="113"/>
      <c r="BAK53" s="113"/>
      <c r="BAL53" s="113"/>
      <c r="BAM53" s="113"/>
      <c r="BAN53" s="113"/>
      <c r="BAO53" s="113"/>
      <c r="BAP53" s="113"/>
      <c r="BAQ53" s="113"/>
      <c r="BAR53" s="113"/>
      <c r="BAS53" s="113"/>
      <c r="BAT53" s="113"/>
      <c r="BAU53" s="113"/>
      <c r="BAV53" s="113"/>
      <c r="BAW53" s="113"/>
      <c r="BAX53" s="113"/>
      <c r="BAY53" s="113"/>
      <c r="BAZ53" s="113"/>
      <c r="BBA53" s="113"/>
      <c r="BBB53" s="113"/>
      <c r="BBC53" s="113"/>
      <c r="BBD53" s="113"/>
      <c r="BBE53" s="113"/>
      <c r="BBF53" s="113"/>
      <c r="BBG53" s="113"/>
      <c r="BBH53" s="113"/>
      <c r="BBI53" s="113"/>
      <c r="BBJ53" s="113"/>
      <c r="BBK53" s="113"/>
      <c r="BBL53" s="113"/>
      <c r="BBM53" s="113"/>
      <c r="BBN53" s="113"/>
      <c r="BBO53" s="113"/>
      <c r="BBP53" s="113"/>
      <c r="BBQ53" s="113"/>
      <c r="BBR53" s="113"/>
      <c r="BBS53" s="113"/>
      <c r="BBT53" s="113"/>
      <c r="BBU53" s="113"/>
      <c r="BBV53" s="113"/>
      <c r="BBW53" s="113"/>
      <c r="BBX53" s="113"/>
      <c r="BBY53" s="113"/>
      <c r="BBZ53" s="113"/>
      <c r="BCA53" s="113"/>
      <c r="BCB53" s="113"/>
      <c r="BCC53" s="113"/>
      <c r="BCD53" s="113"/>
      <c r="BCE53" s="113"/>
      <c r="BCF53" s="113"/>
      <c r="BCG53" s="113"/>
      <c r="BCH53" s="113"/>
      <c r="BCI53" s="113"/>
      <c r="BCJ53" s="113"/>
      <c r="BCK53" s="113"/>
      <c r="BCL53" s="113"/>
      <c r="BCM53" s="113"/>
      <c r="BCN53" s="113"/>
      <c r="BCO53" s="113"/>
      <c r="BCP53" s="113"/>
      <c r="BCQ53" s="113"/>
      <c r="BCR53" s="113"/>
      <c r="BCS53" s="113"/>
      <c r="BCT53" s="113"/>
      <c r="BCU53" s="113"/>
      <c r="BCV53" s="113"/>
      <c r="BCW53" s="113"/>
      <c r="BCX53" s="113"/>
      <c r="BCY53" s="113"/>
      <c r="BCZ53" s="113"/>
      <c r="BDA53" s="113"/>
      <c r="BDB53" s="113"/>
      <c r="BDC53" s="113"/>
      <c r="BDD53" s="113"/>
      <c r="BDE53" s="113"/>
      <c r="BDF53" s="113"/>
      <c r="BDG53" s="113"/>
      <c r="BDH53" s="113"/>
      <c r="BDI53" s="113"/>
      <c r="BDJ53" s="113"/>
      <c r="BDK53" s="113"/>
      <c r="BDL53" s="113"/>
      <c r="BDM53" s="113"/>
      <c r="BDN53" s="113"/>
      <c r="BDO53" s="113"/>
      <c r="BDP53" s="113"/>
      <c r="BDQ53" s="113"/>
      <c r="BDR53" s="113"/>
      <c r="BDS53" s="113"/>
      <c r="BDT53" s="113"/>
      <c r="BDU53" s="113"/>
      <c r="BDV53" s="113"/>
      <c r="BDW53" s="113"/>
      <c r="BDX53" s="113"/>
      <c r="BDY53" s="113"/>
      <c r="BDZ53" s="113"/>
      <c r="BEA53" s="113"/>
      <c r="BEB53" s="113"/>
      <c r="BEC53" s="113"/>
      <c r="BED53" s="113"/>
      <c r="BEE53" s="113"/>
      <c r="BEF53" s="113"/>
      <c r="BEG53" s="113"/>
      <c r="BEH53" s="113"/>
      <c r="BEI53" s="113"/>
      <c r="BEJ53" s="113"/>
      <c r="BEK53" s="113"/>
      <c r="BEL53" s="113"/>
      <c r="BEM53" s="113"/>
      <c r="BEN53" s="113"/>
      <c r="BEO53" s="113"/>
      <c r="BEP53" s="113"/>
      <c r="BEQ53" s="113"/>
      <c r="BER53" s="113"/>
      <c r="BES53" s="113"/>
      <c r="BET53" s="113"/>
      <c r="BEU53" s="113"/>
      <c r="BEV53" s="113"/>
      <c r="BEW53" s="113"/>
      <c r="BEX53" s="113"/>
      <c r="BEY53" s="113"/>
      <c r="BEZ53" s="113"/>
      <c r="BFA53" s="113"/>
      <c r="BFB53" s="113"/>
      <c r="BFC53" s="113"/>
      <c r="BFD53" s="113"/>
      <c r="BFE53" s="113"/>
      <c r="BFF53" s="113"/>
      <c r="BFG53" s="113"/>
      <c r="BFH53" s="113"/>
      <c r="BFI53" s="113"/>
      <c r="BFJ53" s="113"/>
      <c r="BFK53" s="113"/>
      <c r="BFL53" s="113"/>
      <c r="BFM53" s="113"/>
      <c r="BFN53" s="113"/>
      <c r="BFO53" s="113"/>
      <c r="BFP53" s="113"/>
      <c r="BFQ53" s="113"/>
      <c r="BFR53" s="113"/>
      <c r="BFS53" s="113"/>
      <c r="BFT53" s="113"/>
      <c r="BFU53" s="113"/>
      <c r="BFV53" s="113"/>
      <c r="BFW53" s="113"/>
      <c r="BFX53" s="113"/>
      <c r="BFY53" s="113"/>
      <c r="BFZ53" s="113"/>
      <c r="BGA53" s="113"/>
      <c r="BGB53" s="113"/>
      <c r="BGC53" s="113"/>
      <c r="BGD53" s="113"/>
      <c r="BGE53" s="113"/>
      <c r="BGF53" s="113"/>
      <c r="BGG53" s="113"/>
      <c r="BGH53" s="113"/>
      <c r="BGI53" s="113"/>
      <c r="BGJ53" s="113"/>
      <c r="BGK53" s="113"/>
      <c r="BGL53" s="113"/>
      <c r="BGM53" s="113"/>
      <c r="BGN53" s="113"/>
      <c r="BGO53" s="113"/>
      <c r="BGP53" s="113"/>
      <c r="BGQ53" s="113"/>
      <c r="BGR53" s="113"/>
      <c r="BGS53" s="113"/>
      <c r="BGT53" s="113"/>
      <c r="BGU53" s="113"/>
      <c r="BGV53" s="113"/>
      <c r="BGW53" s="113"/>
      <c r="BGX53" s="113"/>
      <c r="BGY53" s="113"/>
      <c r="BGZ53" s="113"/>
      <c r="BHA53" s="113"/>
      <c r="BHB53" s="113"/>
      <c r="BHC53" s="113"/>
      <c r="BHD53" s="113"/>
      <c r="BHE53" s="113"/>
      <c r="BHF53" s="113"/>
      <c r="BHG53" s="113"/>
      <c r="BHH53" s="113"/>
      <c r="BHI53" s="113"/>
      <c r="BHJ53" s="113"/>
      <c r="BHK53" s="113"/>
      <c r="BHL53" s="113"/>
      <c r="BHM53" s="113"/>
      <c r="BHN53" s="113"/>
      <c r="BHO53" s="113"/>
      <c r="BHP53" s="113"/>
      <c r="BHQ53" s="113"/>
      <c r="BHR53" s="113"/>
      <c r="BHS53" s="113"/>
      <c r="BHT53" s="113"/>
      <c r="BHU53" s="113"/>
      <c r="BHV53" s="113"/>
      <c r="BHW53" s="113"/>
      <c r="BHX53" s="113"/>
      <c r="BHY53" s="113"/>
      <c r="BHZ53" s="113"/>
      <c r="BIA53" s="113"/>
      <c r="BIB53" s="113"/>
      <c r="BIC53" s="113"/>
      <c r="BID53" s="113"/>
      <c r="BIE53" s="113"/>
      <c r="BIF53" s="113"/>
      <c r="BIG53" s="113"/>
      <c r="BIH53" s="113"/>
      <c r="BII53" s="113"/>
      <c r="BIJ53" s="113"/>
      <c r="BIK53" s="113"/>
      <c r="BIL53" s="113"/>
      <c r="BIM53" s="113"/>
      <c r="BIN53" s="113"/>
      <c r="BIO53" s="113"/>
      <c r="BIP53" s="113"/>
      <c r="BIQ53" s="113"/>
      <c r="BIR53" s="113"/>
      <c r="BIS53" s="113"/>
      <c r="BIT53" s="113"/>
      <c r="BIU53" s="113"/>
      <c r="BIV53" s="113"/>
      <c r="BIW53" s="113"/>
      <c r="BIX53" s="113"/>
      <c r="BIY53" s="113"/>
      <c r="BIZ53" s="113"/>
      <c r="BJA53" s="113"/>
      <c r="BJB53" s="113"/>
      <c r="BJC53" s="113"/>
      <c r="BJD53" s="113"/>
      <c r="BJE53" s="113"/>
      <c r="BJF53" s="113"/>
      <c r="BJG53" s="113"/>
      <c r="BJH53" s="113"/>
      <c r="BJI53" s="113"/>
      <c r="BJJ53" s="113"/>
      <c r="BJK53" s="113"/>
      <c r="BJL53" s="113"/>
      <c r="BJM53" s="113"/>
      <c r="BJN53" s="113"/>
      <c r="BJO53" s="113"/>
      <c r="BJP53" s="113"/>
      <c r="BJQ53" s="113"/>
      <c r="BJR53" s="113"/>
      <c r="BJS53" s="113"/>
      <c r="BJT53" s="113"/>
      <c r="BJU53" s="113"/>
      <c r="BJV53" s="113"/>
      <c r="BJW53" s="113"/>
      <c r="BJX53" s="113"/>
      <c r="BJY53" s="113"/>
      <c r="BJZ53" s="113"/>
      <c r="BKA53" s="113"/>
      <c r="BKB53" s="113"/>
      <c r="BKC53" s="113"/>
      <c r="BKD53" s="113"/>
      <c r="BKE53" s="113"/>
      <c r="BKF53" s="113"/>
      <c r="BKG53" s="113"/>
      <c r="BKH53" s="113"/>
      <c r="BKI53" s="113"/>
      <c r="BKJ53" s="113"/>
      <c r="BKK53" s="113"/>
      <c r="BKL53" s="113"/>
      <c r="BKM53" s="113"/>
      <c r="BKN53" s="113"/>
      <c r="BKO53" s="113"/>
      <c r="BKP53" s="113"/>
      <c r="BKQ53" s="113"/>
      <c r="BKR53" s="113"/>
      <c r="BKS53" s="113"/>
      <c r="BKT53" s="113"/>
      <c r="BKU53" s="113"/>
      <c r="BKV53" s="113"/>
      <c r="BKW53" s="113"/>
      <c r="BKX53" s="113"/>
      <c r="BKY53" s="113"/>
      <c r="BKZ53" s="113"/>
      <c r="BLA53" s="113"/>
      <c r="BLB53" s="113"/>
      <c r="BLC53" s="113"/>
      <c r="BLD53" s="113"/>
      <c r="BLE53" s="113"/>
      <c r="BLF53" s="113"/>
      <c r="BLG53" s="113"/>
      <c r="BLH53" s="113"/>
      <c r="BLI53" s="113"/>
      <c r="BLJ53" s="113"/>
      <c r="BLK53" s="113"/>
      <c r="BLL53" s="113"/>
      <c r="BLM53" s="113"/>
      <c r="BLN53" s="113"/>
      <c r="BLO53" s="113"/>
      <c r="BLP53" s="113"/>
      <c r="BLQ53" s="113"/>
      <c r="BLR53" s="113"/>
      <c r="BLS53" s="113"/>
      <c r="BLT53" s="113"/>
      <c r="BLU53" s="113"/>
      <c r="BLV53" s="113"/>
      <c r="BLW53" s="113"/>
      <c r="BLX53" s="113"/>
      <c r="BLY53" s="113"/>
      <c r="BLZ53" s="113"/>
      <c r="BMA53" s="113"/>
      <c r="BMB53" s="113"/>
      <c r="BMC53" s="113"/>
      <c r="BMD53" s="113"/>
      <c r="BME53" s="113"/>
      <c r="BMF53" s="113"/>
      <c r="BMG53" s="113"/>
      <c r="BMH53" s="113"/>
      <c r="BMI53" s="113"/>
      <c r="BMJ53" s="113"/>
      <c r="BMK53" s="113"/>
      <c r="BML53" s="113"/>
      <c r="BMM53" s="113"/>
      <c r="BMN53" s="113"/>
      <c r="BMO53" s="113"/>
      <c r="BMP53" s="113"/>
      <c r="BMQ53" s="113"/>
      <c r="BMR53" s="113"/>
      <c r="BMS53" s="113"/>
      <c r="BMT53" s="113"/>
      <c r="BMU53" s="113"/>
      <c r="BMV53" s="113"/>
      <c r="BMW53" s="113"/>
      <c r="BMX53" s="113"/>
      <c r="BMY53" s="113"/>
      <c r="BMZ53" s="113"/>
      <c r="BNA53" s="113"/>
      <c r="BNB53" s="113"/>
      <c r="BNC53" s="113"/>
      <c r="BND53" s="113"/>
      <c r="BNE53" s="113"/>
      <c r="BNF53" s="113"/>
      <c r="BNG53" s="113"/>
      <c r="BNH53" s="113"/>
      <c r="BNI53" s="113"/>
      <c r="BNJ53" s="113"/>
      <c r="BNK53" s="113"/>
      <c r="BNL53" s="113"/>
      <c r="BNM53" s="113"/>
      <c r="BNN53" s="113"/>
      <c r="BNO53" s="113"/>
      <c r="BNP53" s="113"/>
      <c r="BNQ53" s="113"/>
      <c r="BNR53" s="113"/>
      <c r="BNS53" s="113"/>
      <c r="BNT53" s="113"/>
      <c r="BNU53" s="113"/>
      <c r="BNV53" s="113"/>
      <c r="BNW53" s="113"/>
      <c r="BNX53" s="113"/>
      <c r="BNY53" s="113"/>
      <c r="BNZ53" s="113"/>
      <c r="BOA53" s="113"/>
      <c r="BOB53" s="113"/>
      <c r="BOC53" s="113"/>
      <c r="BOD53" s="113"/>
      <c r="BOE53" s="113"/>
      <c r="BOF53" s="113"/>
      <c r="BOG53" s="113"/>
      <c r="BOH53" s="113"/>
      <c r="BOI53" s="113"/>
      <c r="BOJ53" s="113"/>
      <c r="BOK53" s="113"/>
      <c r="BOL53" s="113"/>
      <c r="BOM53" s="113"/>
      <c r="BON53" s="113"/>
      <c r="BOO53" s="113"/>
      <c r="BOP53" s="113"/>
      <c r="BOQ53" s="113"/>
      <c r="BOR53" s="113"/>
      <c r="BOS53" s="113"/>
      <c r="BOT53" s="113"/>
      <c r="BOU53" s="113"/>
      <c r="BOV53" s="113"/>
      <c r="BOW53" s="113"/>
      <c r="BOX53" s="113"/>
      <c r="BOY53" s="113"/>
      <c r="BOZ53" s="113"/>
      <c r="BPA53" s="113"/>
      <c r="BPB53" s="113"/>
      <c r="BPC53" s="113"/>
      <c r="BPD53" s="113"/>
      <c r="BPE53" s="113"/>
      <c r="BPF53" s="113"/>
      <c r="BPG53" s="113"/>
      <c r="BPH53" s="113"/>
      <c r="BPI53" s="113"/>
      <c r="BPJ53" s="113"/>
      <c r="BPK53" s="113"/>
      <c r="BPL53" s="113"/>
      <c r="BPM53" s="113"/>
      <c r="BPN53" s="113"/>
      <c r="BPO53" s="113"/>
      <c r="BPP53" s="113"/>
      <c r="BPQ53" s="113"/>
      <c r="BPR53" s="113"/>
      <c r="BPS53" s="113"/>
      <c r="BPT53" s="113"/>
      <c r="BPU53" s="113"/>
      <c r="BPV53" s="113"/>
      <c r="BPW53" s="113"/>
      <c r="BPX53" s="113"/>
      <c r="BPY53" s="113"/>
      <c r="BPZ53" s="113"/>
      <c r="BQA53" s="113"/>
      <c r="BQB53" s="113"/>
      <c r="BQC53" s="113"/>
      <c r="BQD53" s="113"/>
      <c r="BQE53" s="113"/>
      <c r="BQF53" s="113"/>
      <c r="BQG53" s="113"/>
      <c r="BQH53" s="113"/>
      <c r="BQI53" s="113"/>
      <c r="BQJ53" s="113"/>
      <c r="BQK53" s="113"/>
      <c r="BQL53" s="113"/>
      <c r="BQM53" s="113"/>
      <c r="BQN53" s="113"/>
      <c r="BQO53" s="113"/>
      <c r="BQP53" s="113"/>
      <c r="BQQ53" s="113"/>
      <c r="BQR53" s="113"/>
      <c r="BQS53" s="113"/>
      <c r="BQT53" s="113"/>
      <c r="BQU53" s="113"/>
      <c r="BQV53" s="113"/>
      <c r="BQW53" s="113"/>
      <c r="BQX53" s="113"/>
      <c r="BQY53" s="113"/>
      <c r="BQZ53" s="113"/>
      <c r="BRA53" s="113"/>
      <c r="BRB53" s="113"/>
      <c r="BRC53" s="113"/>
      <c r="BRD53" s="113"/>
      <c r="BRE53" s="113"/>
      <c r="BRF53" s="113"/>
      <c r="BRG53" s="113"/>
      <c r="BRH53" s="113"/>
      <c r="BRI53" s="113"/>
      <c r="BRJ53" s="113"/>
      <c r="BRK53" s="113"/>
      <c r="BRL53" s="113"/>
      <c r="BRM53" s="113"/>
      <c r="BRN53" s="113"/>
      <c r="BRO53" s="113"/>
      <c r="BRP53" s="113"/>
      <c r="BRQ53" s="113"/>
      <c r="BRR53" s="113"/>
      <c r="BRS53" s="113"/>
      <c r="BRT53" s="113"/>
      <c r="BRU53" s="113"/>
      <c r="BRV53" s="113"/>
      <c r="BRW53" s="113"/>
      <c r="BRX53" s="113"/>
      <c r="BRY53" s="113"/>
      <c r="BRZ53" s="113"/>
      <c r="BSA53" s="113"/>
      <c r="BSB53" s="113"/>
      <c r="BSC53" s="113"/>
      <c r="BSD53" s="113"/>
      <c r="BSE53" s="113"/>
      <c r="BSF53" s="113"/>
      <c r="BSG53" s="113"/>
      <c r="BSH53" s="113"/>
      <c r="BSI53" s="113"/>
      <c r="BSJ53" s="113"/>
      <c r="BSK53" s="113"/>
      <c r="BSL53" s="113"/>
      <c r="BSM53" s="113"/>
      <c r="BSN53" s="113"/>
      <c r="BSO53" s="113"/>
      <c r="BSP53" s="113"/>
      <c r="BSQ53" s="113"/>
      <c r="BSR53" s="113"/>
      <c r="BSS53" s="113"/>
      <c r="BST53" s="113"/>
      <c r="BSU53" s="113"/>
      <c r="BSV53" s="113"/>
      <c r="BSW53" s="113"/>
      <c r="BSX53" s="113"/>
      <c r="BSY53" s="113"/>
      <c r="BSZ53" s="113"/>
      <c r="BTA53" s="113"/>
      <c r="BTB53" s="113"/>
      <c r="BTC53" s="113"/>
      <c r="BTD53" s="113"/>
      <c r="BTE53" s="113"/>
      <c r="BTF53" s="113"/>
      <c r="BTG53" s="113"/>
      <c r="BTH53" s="113"/>
      <c r="BTI53" s="113"/>
      <c r="BTJ53" s="113"/>
      <c r="BTK53" s="113"/>
      <c r="BTL53" s="113"/>
      <c r="BTM53" s="113"/>
      <c r="BTN53" s="113"/>
      <c r="BTO53" s="113"/>
      <c r="BTP53" s="113"/>
      <c r="BTQ53" s="113"/>
      <c r="BTR53" s="113"/>
      <c r="BTS53" s="113"/>
      <c r="BTT53" s="113"/>
      <c r="BTU53" s="113"/>
      <c r="BTV53" s="113"/>
      <c r="BTW53" s="113"/>
      <c r="BTX53" s="113"/>
      <c r="BTY53" s="113"/>
      <c r="BTZ53" s="113"/>
      <c r="BUA53" s="113"/>
      <c r="BUB53" s="113"/>
      <c r="BUC53" s="113"/>
      <c r="BUD53" s="113"/>
      <c r="BUE53" s="113"/>
      <c r="BUF53" s="113"/>
      <c r="BUG53" s="113"/>
      <c r="BUH53" s="113"/>
      <c r="BUI53" s="113"/>
      <c r="BUJ53" s="113"/>
      <c r="BUK53" s="113"/>
      <c r="BUL53" s="113"/>
      <c r="BUM53" s="113"/>
      <c r="BUN53" s="113"/>
      <c r="BUO53" s="113"/>
      <c r="BUP53" s="113"/>
      <c r="BUQ53" s="113"/>
      <c r="BUR53" s="113"/>
      <c r="BUS53" s="113"/>
      <c r="BUT53" s="113"/>
      <c r="BUU53" s="113"/>
      <c r="BUV53" s="113"/>
      <c r="BUW53" s="113"/>
      <c r="BUX53" s="113"/>
      <c r="BUY53" s="113"/>
      <c r="BUZ53" s="113"/>
      <c r="BVA53" s="113"/>
      <c r="BVB53" s="113"/>
      <c r="BVC53" s="113"/>
      <c r="BVD53" s="113"/>
      <c r="BVE53" s="113"/>
      <c r="BVF53" s="113"/>
      <c r="BVG53" s="113"/>
      <c r="BVH53" s="113"/>
      <c r="BVI53" s="113"/>
      <c r="BVJ53" s="113"/>
      <c r="BVK53" s="113"/>
      <c r="BVL53" s="113"/>
      <c r="BVM53" s="113"/>
      <c r="BVN53" s="113"/>
      <c r="BVO53" s="113"/>
      <c r="BVP53" s="113"/>
      <c r="BVQ53" s="113"/>
      <c r="BVR53" s="113"/>
      <c r="BVS53" s="113"/>
      <c r="BVT53" s="113"/>
      <c r="BVU53" s="113"/>
      <c r="BVV53" s="113"/>
      <c r="BVW53" s="113"/>
      <c r="BVX53" s="113"/>
      <c r="BVY53" s="113"/>
      <c r="BVZ53" s="113"/>
      <c r="BWA53" s="113"/>
      <c r="BWB53" s="113"/>
      <c r="BWC53" s="113"/>
      <c r="BWD53" s="113"/>
      <c r="BWE53" s="113"/>
      <c r="BWF53" s="113"/>
      <c r="BWG53" s="113"/>
      <c r="BWH53" s="113"/>
      <c r="BWI53" s="113"/>
      <c r="BWJ53" s="113"/>
      <c r="BWK53" s="113"/>
      <c r="BWL53" s="113"/>
      <c r="BWM53" s="113"/>
      <c r="BWN53" s="113"/>
      <c r="BWO53" s="113"/>
      <c r="BWP53" s="113"/>
      <c r="BWQ53" s="113"/>
      <c r="BWR53" s="113"/>
      <c r="BWS53" s="113"/>
      <c r="BWT53" s="113"/>
      <c r="BWU53" s="113"/>
      <c r="BWV53" s="113"/>
      <c r="BWW53" s="113"/>
      <c r="BWX53" s="113"/>
      <c r="BWY53" s="113"/>
      <c r="BWZ53" s="113"/>
      <c r="BXA53" s="113"/>
      <c r="BXB53" s="113"/>
      <c r="BXC53" s="113"/>
      <c r="BXD53" s="113"/>
      <c r="BXE53" s="113"/>
      <c r="BXF53" s="113"/>
      <c r="BXG53" s="113"/>
      <c r="BXH53" s="113"/>
      <c r="BXI53" s="113"/>
      <c r="BXJ53" s="113"/>
      <c r="BXK53" s="113"/>
      <c r="BXL53" s="113"/>
      <c r="BXM53" s="113"/>
      <c r="BXN53" s="113"/>
      <c r="BXO53" s="113"/>
      <c r="BXP53" s="113"/>
      <c r="BXQ53" s="113"/>
      <c r="BXR53" s="113"/>
      <c r="BXS53" s="113"/>
      <c r="BXT53" s="113"/>
      <c r="BXU53" s="113"/>
      <c r="BXV53" s="113"/>
      <c r="BXW53" s="113"/>
      <c r="BXX53" s="113"/>
      <c r="BXY53" s="113"/>
      <c r="BXZ53" s="113"/>
      <c r="BYA53" s="113"/>
      <c r="BYB53" s="113"/>
      <c r="BYC53" s="113"/>
      <c r="BYD53" s="113"/>
      <c r="BYE53" s="113"/>
      <c r="BYF53" s="113"/>
      <c r="BYG53" s="113"/>
      <c r="BYH53" s="113"/>
      <c r="BYI53" s="113"/>
      <c r="BYJ53" s="113"/>
      <c r="BYK53" s="113"/>
      <c r="BYL53" s="113"/>
      <c r="BYM53" s="113"/>
      <c r="BYN53" s="113"/>
      <c r="BYO53" s="113"/>
      <c r="BYP53" s="113"/>
      <c r="BYQ53" s="113"/>
      <c r="BYR53" s="113"/>
      <c r="BYS53" s="113"/>
      <c r="BYT53" s="113"/>
      <c r="BYU53" s="113"/>
      <c r="BYV53" s="113"/>
      <c r="BYW53" s="113"/>
      <c r="BYX53" s="113"/>
      <c r="BYY53" s="113"/>
      <c r="BYZ53" s="113"/>
      <c r="BZA53" s="113"/>
      <c r="BZB53" s="113"/>
      <c r="BZC53" s="113"/>
      <c r="BZD53" s="113"/>
      <c r="BZE53" s="113"/>
      <c r="BZF53" s="113"/>
      <c r="BZG53" s="113"/>
      <c r="BZH53" s="113"/>
      <c r="BZI53" s="113"/>
      <c r="BZJ53" s="113"/>
      <c r="BZK53" s="113"/>
      <c r="BZL53" s="113"/>
      <c r="BZM53" s="113"/>
      <c r="BZN53" s="113"/>
      <c r="BZO53" s="113"/>
      <c r="BZP53" s="113"/>
      <c r="BZQ53" s="113"/>
      <c r="BZR53" s="113"/>
      <c r="BZS53" s="113"/>
      <c r="BZT53" s="113"/>
      <c r="BZU53" s="113"/>
      <c r="BZV53" s="113"/>
      <c r="BZW53" s="113"/>
      <c r="BZX53" s="113"/>
      <c r="BZY53" s="113"/>
      <c r="BZZ53" s="113"/>
      <c r="CAA53" s="113"/>
      <c r="CAB53" s="113"/>
      <c r="CAC53" s="113"/>
      <c r="CAD53" s="113"/>
      <c r="CAE53" s="113"/>
      <c r="CAF53" s="113"/>
      <c r="CAG53" s="113"/>
      <c r="CAH53" s="113"/>
      <c r="CAI53" s="113"/>
      <c r="CAJ53" s="113"/>
      <c r="CAK53" s="113"/>
      <c r="CAL53" s="113"/>
      <c r="CAM53" s="113"/>
      <c r="CAN53" s="113"/>
      <c r="CAO53" s="113"/>
      <c r="CAP53" s="113"/>
      <c r="CAQ53" s="113"/>
      <c r="CAR53" s="113"/>
      <c r="CAS53" s="113"/>
      <c r="CAT53" s="113"/>
      <c r="CAU53" s="113"/>
      <c r="CAV53" s="113"/>
      <c r="CAW53" s="113"/>
      <c r="CAX53" s="113"/>
      <c r="CAY53" s="113"/>
      <c r="CAZ53" s="113"/>
      <c r="CBA53" s="113"/>
      <c r="CBB53" s="113"/>
      <c r="CBC53" s="113"/>
      <c r="CBD53" s="113"/>
      <c r="CBE53" s="113"/>
      <c r="CBF53" s="113"/>
      <c r="CBG53" s="113"/>
      <c r="CBH53" s="113"/>
      <c r="CBI53" s="113"/>
      <c r="CBJ53" s="113"/>
      <c r="CBK53" s="113"/>
      <c r="CBL53" s="113"/>
      <c r="CBM53" s="113"/>
      <c r="CBN53" s="113"/>
      <c r="CBO53" s="113"/>
      <c r="CBP53" s="113"/>
      <c r="CBQ53" s="113"/>
      <c r="CBR53" s="113"/>
      <c r="CBS53" s="113"/>
      <c r="CBT53" s="113"/>
      <c r="CBU53" s="113"/>
      <c r="CBV53" s="113"/>
      <c r="CBW53" s="113"/>
      <c r="CBX53" s="113"/>
      <c r="CBY53" s="113"/>
      <c r="CBZ53" s="113"/>
      <c r="CCA53" s="113"/>
      <c r="CCB53" s="113"/>
      <c r="CCC53" s="113"/>
      <c r="CCD53" s="113"/>
      <c r="CCE53" s="113"/>
      <c r="CCF53" s="113"/>
      <c r="CCG53" s="113"/>
      <c r="CCH53" s="113"/>
      <c r="CCI53" s="113"/>
      <c r="CCJ53" s="113"/>
      <c r="CCK53" s="113"/>
      <c r="CCL53" s="113"/>
      <c r="CCM53" s="113"/>
      <c r="CCN53" s="113"/>
      <c r="CCO53" s="113"/>
      <c r="CCP53" s="113"/>
      <c r="CCQ53" s="113"/>
      <c r="CCR53" s="113"/>
      <c r="CCS53" s="113"/>
      <c r="CCT53" s="113"/>
      <c r="CCU53" s="113"/>
      <c r="CCV53" s="113"/>
      <c r="CCW53" s="113"/>
      <c r="CCX53" s="113"/>
      <c r="CCY53" s="113"/>
      <c r="CCZ53" s="113"/>
      <c r="CDA53" s="113"/>
      <c r="CDB53" s="113"/>
      <c r="CDC53" s="113"/>
      <c r="CDD53" s="113"/>
      <c r="CDE53" s="113"/>
      <c r="CDF53" s="113"/>
      <c r="CDG53" s="113"/>
      <c r="CDH53" s="113"/>
      <c r="CDI53" s="113"/>
      <c r="CDJ53" s="113"/>
      <c r="CDK53" s="113"/>
      <c r="CDL53" s="113"/>
      <c r="CDM53" s="113"/>
      <c r="CDN53" s="113"/>
      <c r="CDO53" s="113"/>
      <c r="CDP53" s="113"/>
      <c r="CDQ53" s="113"/>
      <c r="CDR53" s="113"/>
      <c r="CDS53" s="113"/>
      <c r="CDT53" s="113"/>
      <c r="CDU53" s="113"/>
      <c r="CDV53" s="113"/>
      <c r="CDW53" s="113"/>
      <c r="CDX53" s="113"/>
      <c r="CDY53" s="113"/>
      <c r="CDZ53" s="113"/>
      <c r="CEA53" s="113"/>
      <c r="CEB53" s="113"/>
      <c r="CEC53" s="113"/>
      <c r="CED53" s="113"/>
      <c r="CEE53" s="113"/>
      <c r="CEF53" s="113"/>
      <c r="CEG53" s="113"/>
      <c r="CEH53" s="113"/>
      <c r="CEI53" s="113"/>
      <c r="CEJ53" s="113"/>
      <c r="CEK53" s="113"/>
      <c r="CEL53" s="113"/>
      <c r="CEM53" s="113"/>
      <c r="CEN53" s="113"/>
      <c r="CEO53" s="113"/>
      <c r="CEP53" s="113"/>
      <c r="CEQ53" s="113"/>
      <c r="CER53" s="113"/>
      <c r="CES53" s="113"/>
      <c r="CET53" s="113"/>
      <c r="CEU53" s="113"/>
      <c r="CEV53" s="113"/>
      <c r="CEW53" s="113"/>
      <c r="CEX53" s="113"/>
      <c r="CEY53" s="113"/>
      <c r="CEZ53" s="113"/>
      <c r="CFA53" s="113"/>
      <c r="CFB53" s="113"/>
      <c r="CFC53" s="113"/>
      <c r="CFD53" s="113"/>
      <c r="CFE53" s="113"/>
      <c r="CFF53" s="113"/>
      <c r="CFG53" s="113"/>
      <c r="CFH53" s="113"/>
      <c r="CFI53" s="113"/>
      <c r="CFJ53" s="113"/>
      <c r="CFK53" s="113"/>
      <c r="CFL53" s="113"/>
      <c r="CFM53" s="113"/>
      <c r="CFN53" s="113"/>
      <c r="CFO53" s="113"/>
      <c r="CFP53" s="113"/>
      <c r="CFQ53" s="113"/>
      <c r="CFR53" s="113"/>
      <c r="CFS53" s="113"/>
      <c r="CFT53" s="113"/>
      <c r="CFU53" s="113"/>
      <c r="CFV53" s="113"/>
      <c r="CFW53" s="113"/>
      <c r="CFX53" s="113"/>
      <c r="CFY53" s="113"/>
      <c r="CFZ53" s="113"/>
      <c r="CGA53" s="113"/>
      <c r="CGB53" s="113"/>
      <c r="CGC53" s="113"/>
      <c r="CGD53" s="113"/>
      <c r="CGE53" s="113"/>
      <c r="CGF53" s="113"/>
      <c r="CGG53" s="113"/>
      <c r="CGH53" s="113"/>
      <c r="CGI53" s="113"/>
      <c r="CGJ53" s="113"/>
      <c r="CGK53" s="113"/>
      <c r="CGL53" s="113"/>
      <c r="CGM53" s="113"/>
      <c r="CGN53" s="113"/>
      <c r="CGO53" s="113"/>
      <c r="CGP53" s="113"/>
      <c r="CGQ53" s="113"/>
      <c r="CGR53" s="113"/>
      <c r="CGS53" s="113"/>
      <c r="CGT53" s="113"/>
      <c r="CGU53" s="113"/>
      <c r="CGV53" s="113"/>
      <c r="CGW53" s="113"/>
      <c r="CGX53" s="113"/>
      <c r="CGY53" s="113"/>
      <c r="CGZ53" s="113"/>
      <c r="CHA53" s="113"/>
      <c r="CHB53" s="113"/>
      <c r="CHC53" s="113"/>
      <c r="CHD53" s="113"/>
      <c r="CHE53" s="113"/>
      <c r="CHF53" s="113"/>
      <c r="CHG53" s="113"/>
      <c r="CHH53" s="113"/>
      <c r="CHI53" s="113"/>
      <c r="CHJ53" s="113"/>
      <c r="CHK53" s="113"/>
      <c r="CHL53" s="113"/>
      <c r="CHM53" s="113"/>
      <c r="CHN53" s="113"/>
      <c r="CHO53" s="113"/>
      <c r="CHP53" s="113"/>
      <c r="CHQ53" s="113"/>
      <c r="CHR53" s="113"/>
      <c r="CHS53" s="113"/>
      <c r="CHT53" s="113"/>
      <c r="CHU53" s="113"/>
      <c r="CHV53" s="113"/>
      <c r="CHW53" s="113"/>
      <c r="CHX53" s="113"/>
      <c r="CHY53" s="113"/>
      <c r="CHZ53" s="113"/>
      <c r="CIA53" s="113"/>
      <c r="CIB53" s="113"/>
      <c r="CIC53" s="113"/>
      <c r="CID53" s="113"/>
      <c r="CIE53" s="113"/>
      <c r="CIF53" s="113"/>
      <c r="CIG53" s="113"/>
      <c r="CIH53" s="113"/>
      <c r="CII53" s="113"/>
      <c r="CIJ53" s="113"/>
      <c r="CIK53" s="113"/>
      <c r="CIL53" s="113"/>
      <c r="CIM53" s="113"/>
      <c r="CIN53" s="113"/>
      <c r="CIO53" s="113"/>
      <c r="CIP53" s="113"/>
      <c r="CIQ53" s="113"/>
      <c r="CIR53" s="113"/>
      <c r="CIS53" s="113"/>
      <c r="CIT53" s="113"/>
      <c r="CIU53" s="113"/>
      <c r="CIV53" s="113"/>
      <c r="CIW53" s="113"/>
      <c r="CIX53" s="113"/>
      <c r="CIY53" s="113"/>
      <c r="CIZ53" s="113"/>
      <c r="CJA53" s="113"/>
      <c r="CJB53" s="113"/>
      <c r="CJC53" s="113"/>
      <c r="CJD53" s="113"/>
      <c r="CJE53" s="113"/>
      <c r="CJF53" s="113"/>
      <c r="CJG53" s="113"/>
      <c r="CJH53" s="113"/>
      <c r="CJI53" s="113"/>
      <c r="CJJ53" s="113"/>
      <c r="CJK53" s="113"/>
      <c r="CJL53" s="113"/>
      <c r="CJM53" s="113"/>
      <c r="CJN53" s="113"/>
      <c r="CJO53" s="113"/>
      <c r="CJP53" s="113"/>
      <c r="CJQ53" s="113"/>
      <c r="CJR53" s="113"/>
      <c r="CJS53" s="113"/>
      <c r="CJT53" s="113"/>
      <c r="CJU53" s="113"/>
      <c r="CJV53" s="113"/>
      <c r="CJW53" s="113"/>
      <c r="CJX53" s="113"/>
      <c r="CJY53" s="113"/>
      <c r="CJZ53" s="113"/>
      <c r="CKA53" s="113"/>
      <c r="CKB53" s="113"/>
      <c r="CKC53" s="113"/>
      <c r="CKD53" s="113"/>
      <c r="CKE53" s="113"/>
      <c r="CKF53" s="113"/>
      <c r="CKG53" s="113"/>
      <c r="CKH53" s="113"/>
      <c r="CKI53" s="113"/>
      <c r="CKJ53" s="113"/>
      <c r="CKK53" s="113"/>
      <c r="CKL53" s="113"/>
      <c r="CKM53" s="113"/>
      <c r="CKN53" s="113"/>
      <c r="CKO53" s="113"/>
      <c r="CKP53" s="113"/>
      <c r="CKQ53" s="113"/>
      <c r="CKR53" s="113"/>
      <c r="CKS53" s="113"/>
      <c r="CKT53" s="113"/>
      <c r="CKU53" s="113"/>
      <c r="CKV53" s="113"/>
      <c r="CKW53" s="113"/>
      <c r="CKX53" s="113"/>
      <c r="CKY53" s="113"/>
      <c r="CKZ53" s="113"/>
      <c r="CLA53" s="113"/>
      <c r="CLB53" s="113"/>
      <c r="CLC53" s="113"/>
      <c r="CLD53" s="113"/>
      <c r="CLE53" s="113"/>
      <c r="CLF53" s="113"/>
      <c r="CLG53" s="113"/>
      <c r="CLH53" s="113"/>
      <c r="CLI53" s="113"/>
      <c r="CLJ53" s="113"/>
      <c r="CLK53" s="113"/>
      <c r="CLL53" s="113"/>
      <c r="CLM53" s="113"/>
      <c r="CLN53" s="113"/>
      <c r="CLO53" s="113"/>
      <c r="CLP53" s="113"/>
      <c r="CLQ53" s="113"/>
      <c r="CLR53" s="113"/>
      <c r="CLS53" s="113"/>
      <c r="CLT53" s="113"/>
      <c r="CLU53" s="113"/>
      <c r="CLV53" s="113"/>
      <c r="CLW53" s="113"/>
      <c r="CLX53" s="113"/>
      <c r="CLY53" s="113"/>
      <c r="CLZ53" s="113"/>
      <c r="CMA53" s="113"/>
      <c r="CMB53" s="113"/>
      <c r="CMC53" s="113"/>
      <c r="CMD53" s="113"/>
      <c r="CME53" s="113"/>
      <c r="CMF53" s="113"/>
      <c r="CMG53" s="113"/>
      <c r="CMH53" s="113"/>
      <c r="CMI53" s="113"/>
      <c r="CMJ53" s="113"/>
      <c r="CMK53" s="113"/>
      <c r="CML53" s="113"/>
      <c r="CMM53" s="113"/>
      <c r="CMN53" s="113"/>
      <c r="CMO53" s="113"/>
      <c r="CMP53" s="113"/>
      <c r="CMQ53" s="113"/>
      <c r="CMR53" s="113"/>
      <c r="CMS53" s="113"/>
      <c r="CMT53" s="113"/>
      <c r="CMU53" s="113"/>
      <c r="CMV53" s="113"/>
      <c r="CMW53" s="113"/>
      <c r="CMX53" s="113"/>
      <c r="CMY53" s="113"/>
      <c r="CMZ53" s="113"/>
      <c r="CNA53" s="113"/>
      <c r="CNB53" s="113"/>
      <c r="CNC53" s="113"/>
      <c r="CND53" s="113"/>
      <c r="CNE53" s="113"/>
      <c r="CNF53" s="113"/>
      <c r="CNG53" s="113"/>
      <c r="CNH53" s="113"/>
      <c r="CNI53" s="113"/>
      <c r="CNJ53" s="113"/>
      <c r="CNK53" s="113"/>
      <c r="CNL53" s="113"/>
      <c r="CNM53" s="113"/>
      <c r="CNN53" s="113"/>
      <c r="CNO53" s="113"/>
      <c r="CNP53" s="113"/>
      <c r="CNQ53" s="113"/>
      <c r="CNR53" s="113"/>
      <c r="CNS53" s="113"/>
      <c r="CNT53" s="113"/>
      <c r="CNU53" s="113"/>
      <c r="CNV53" s="113"/>
      <c r="CNW53" s="113"/>
      <c r="CNX53" s="113"/>
      <c r="CNY53" s="113"/>
      <c r="CNZ53" s="113"/>
      <c r="COA53" s="113"/>
      <c r="COB53" s="113"/>
      <c r="COC53" s="113"/>
      <c r="COD53" s="113"/>
      <c r="COE53" s="113"/>
      <c r="COF53" s="113"/>
      <c r="COG53" s="113"/>
      <c r="COH53" s="113"/>
      <c r="COI53" s="113"/>
      <c r="COJ53" s="113"/>
      <c r="COK53" s="113"/>
      <c r="COL53" s="113"/>
      <c r="COM53" s="113"/>
      <c r="CON53" s="113"/>
      <c r="COO53" s="113"/>
      <c r="COP53" s="113"/>
      <c r="COQ53" s="113"/>
      <c r="COR53" s="113"/>
      <c r="COS53" s="113"/>
      <c r="COT53" s="113"/>
      <c r="COU53" s="113"/>
      <c r="COV53" s="113"/>
      <c r="COW53" s="113"/>
      <c r="COX53" s="113"/>
      <c r="COY53" s="113"/>
      <c r="COZ53" s="113"/>
      <c r="CPA53" s="113"/>
      <c r="CPB53" s="113"/>
      <c r="CPC53" s="113"/>
      <c r="CPD53" s="113"/>
      <c r="CPE53" s="113"/>
      <c r="CPF53" s="113"/>
      <c r="CPG53" s="113"/>
      <c r="CPH53" s="113"/>
      <c r="CPI53" s="113"/>
      <c r="CPJ53" s="113"/>
      <c r="CPK53" s="113"/>
      <c r="CPL53" s="113"/>
      <c r="CPM53" s="113"/>
      <c r="CPN53" s="113"/>
      <c r="CPO53" s="113"/>
      <c r="CPP53" s="113"/>
      <c r="CPQ53" s="113"/>
      <c r="CPR53" s="113"/>
      <c r="CPS53" s="113"/>
      <c r="CPT53" s="113"/>
      <c r="CPU53" s="113"/>
      <c r="CPV53" s="113"/>
      <c r="CPW53" s="113"/>
      <c r="CPX53" s="113"/>
      <c r="CPY53" s="113"/>
      <c r="CPZ53" s="113"/>
      <c r="CQA53" s="113"/>
      <c r="CQB53" s="113"/>
      <c r="CQC53" s="113"/>
      <c r="CQD53" s="113"/>
      <c r="CQE53" s="113"/>
      <c r="CQF53" s="113"/>
      <c r="CQG53" s="113"/>
      <c r="CQH53" s="113"/>
      <c r="CQI53" s="113"/>
      <c r="CQJ53" s="113"/>
      <c r="CQK53" s="113"/>
      <c r="CQL53" s="113"/>
      <c r="CQM53" s="113"/>
      <c r="CQN53" s="113"/>
      <c r="CQO53" s="113"/>
      <c r="CQP53" s="113"/>
      <c r="CQQ53" s="113"/>
      <c r="CQR53" s="113"/>
      <c r="CQS53" s="113"/>
      <c r="CQT53" s="113"/>
      <c r="CQU53" s="113"/>
      <c r="CQV53" s="113"/>
      <c r="CQW53" s="113"/>
      <c r="CQX53" s="113"/>
      <c r="CQY53" s="113"/>
      <c r="CQZ53" s="113"/>
      <c r="CRA53" s="113"/>
      <c r="CRB53" s="113"/>
      <c r="CRC53" s="113"/>
      <c r="CRD53" s="113"/>
      <c r="CRE53" s="113"/>
      <c r="CRF53" s="113"/>
      <c r="CRG53" s="113"/>
      <c r="CRH53" s="113"/>
      <c r="CRI53" s="113"/>
      <c r="CRJ53" s="113"/>
      <c r="CRK53" s="113"/>
      <c r="CRL53" s="113"/>
      <c r="CRM53" s="113"/>
      <c r="CRN53" s="113"/>
      <c r="CRO53" s="113"/>
      <c r="CRP53" s="113"/>
      <c r="CRQ53" s="113"/>
      <c r="CRR53" s="113"/>
      <c r="CRS53" s="113"/>
      <c r="CRT53" s="113"/>
      <c r="CRU53" s="113"/>
      <c r="CRV53" s="113"/>
      <c r="CRW53" s="113"/>
      <c r="CRX53" s="113"/>
      <c r="CRY53" s="113"/>
      <c r="CRZ53" s="113"/>
      <c r="CSA53" s="113"/>
      <c r="CSB53" s="113"/>
      <c r="CSC53" s="113"/>
      <c r="CSD53" s="113"/>
      <c r="CSE53" s="113"/>
      <c r="CSF53" s="113"/>
      <c r="CSG53" s="113"/>
      <c r="CSH53" s="113"/>
      <c r="CSI53" s="113"/>
      <c r="CSJ53" s="113"/>
      <c r="CSK53" s="113"/>
      <c r="CSL53" s="113"/>
      <c r="CSM53" s="113"/>
      <c r="CSN53" s="113"/>
      <c r="CSO53" s="113"/>
      <c r="CSP53" s="113"/>
      <c r="CSQ53" s="113"/>
      <c r="CSR53" s="113"/>
      <c r="CSS53" s="113"/>
      <c r="CST53" s="113"/>
      <c r="CSU53" s="113"/>
      <c r="CSV53" s="113"/>
      <c r="CSW53" s="113"/>
      <c r="CSX53" s="113"/>
      <c r="CSY53" s="113"/>
      <c r="CSZ53" s="113"/>
      <c r="CTA53" s="113"/>
      <c r="CTB53" s="113"/>
      <c r="CTC53" s="113"/>
      <c r="CTD53" s="113"/>
      <c r="CTE53" s="113"/>
      <c r="CTF53" s="113"/>
      <c r="CTG53" s="113"/>
      <c r="CTH53" s="113"/>
      <c r="CTI53" s="113"/>
      <c r="CTJ53" s="113"/>
      <c r="CTK53" s="113"/>
      <c r="CTL53" s="113"/>
      <c r="CTM53" s="113"/>
      <c r="CTN53" s="113"/>
      <c r="CTO53" s="113"/>
      <c r="CTP53" s="113"/>
      <c r="CTQ53" s="113"/>
      <c r="CTR53" s="113"/>
      <c r="CTS53" s="113"/>
      <c r="CTT53" s="113"/>
      <c r="CTU53" s="113"/>
      <c r="CTV53" s="113"/>
      <c r="CTW53" s="113"/>
      <c r="CTX53" s="113"/>
      <c r="CTY53" s="113"/>
      <c r="CTZ53" s="113"/>
      <c r="CUA53" s="113"/>
      <c r="CUB53" s="113"/>
      <c r="CUC53" s="113"/>
      <c r="CUD53" s="113"/>
      <c r="CUE53" s="113"/>
      <c r="CUF53" s="113"/>
      <c r="CUG53" s="113"/>
      <c r="CUH53" s="113"/>
      <c r="CUI53" s="113"/>
      <c r="CUJ53" s="113"/>
      <c r="CUK53" s="113"/>
      <c r="CUL53" s="113"/>
      <c r="CUM53" s="113"/>
      <c r="CUN53" s="113"/>
      <c r="CUO53" s="113"/>
      <c r="CUP53" s="113"/>
      <c r="CUQ53" s="113"/>
      <c r="CUR53" s="113"/>
      <c r="CUS53" s="113"/>
      <c r="CUT53" s="113"/>
      <c r="CUU53" s="113"/>
      <c r="CUV53" s="113"/>
      <c r="CUW53" s="113"/>
      <c r="CUX53" s="113"/>
      <c r="CUY53" s="113"/>
      <c r="CUZ53" s="113"/>
      <c r="CVA53" s="113"/>
      <c r="CVB53" s="113"/>
      <c r="CVC53" s="113"/>
      <c r="CVD53" s="113"/>
      <c r="CVE53" s="113"/>
      <c r="CVF53" s="113"/>
      <c r="CVG53" s="113"/>
      <c r="CVH53" s="113"/>
      <c r="CVI53" s="113"/>
      <c r="CVJ53" s="113"/>
      <c r="CVK53" s="113"/>
      <c r="CVL53" s="113"/>
      <c r="CVM53" s="113"/>
      <c r="CVN53" s="113"/>
      <c r="CVO53" s="113"/>
      <c r="CVP53" s="113"/>
      <c r="CVQ53" s="113"/>
      <c r="CVR53" s="113"/>
      <c r="CVS53" s="113"/>
      <c r="CVT53" s="113"/>
      <c r="CVU53" s="113"/>
      <c r="CVV53" s="113"/>
      <c r="CVW53" s="113"/>
      <c r="CVX53" s="113"/>
      <c r="CVY53" s="113"/>
      <c r="CVZ53" s="113"/>
      <c r="CWA53" s="113"/>
      <c r="CWB53" s="113"/>
      <c r="CWC53" s="113"/>
      <c r="CWD53" s="113"/>
      <c r="CWE53" s="113"/>
      <c r="CWF53" s="113"/>
      <c r="CWG53" s="113"/>
      <c r="CWH53" s="113"/>
      <c r="CWI53" s="113"/>
      <c r="CWJ53" s="113"/>
      <c r="CWK53" s="113"/>
      <c r="CWL53" s="113"/>
      <c r="CWM53" s="113"/>
      <c r="CWN53" s="113"/>
      <c r="CWO53" s="113"/>
      <c r="CWP53" s="113"/>
      <c r="CWQ53" s="113"/>
      <c r="CWR53" s="113"/>
      <c r="CWS53" s="113"/>
      <c r="CWT53" s="113"/>
      <c r="CWU53" s="113"/>
      <c r="CWV53" s="113"/>
      <c r="CWW53" s="113"/>
      <c r="CWX53" s="113"/>
      <c r="CWY53" s="113"/>
      <c r="CWZ53" s="113"/>
      <c r="CXA53" s="113"/>
      <c r="CXB53" s="113"/>
      <c r="CXC53" s="113"/>
      <c r="CXD53" s="113"/>
      <c r="CXE53" s="113"/>
      <c r="CXF53" s="113"/>
      <c r="CXG53" s="113"/>
      <c r="CXH53" s="113"/>
      <c r="CXI53" s="113"/>
      <c r="CXJ53" s="113"/>
      <c r="CXK53" s="113"/>
      <c r="CXL53" s="113"/>
      <c r="CXM53" s="113"/>
      <c r="CXN53" s="113"/>
      <c r="CXO53" s="113"/>
      <c r="CXP53" s="113"/>
      <c r="CXQ53" s="113"/>
      <c r="CXR53" s="113"/>
      <c r="CXS53" s="113"/>
      <c r="CXT53" s="113"/>
      <c r="CXU53" s="113"/>
      <c r="CXV53" s="113"/>
      <c r="CXW53" s="113"/>
      <c r="CXX53" s="113"/>
      <c r="CXY53" s="113"/>
      <c r="CXZ53" s="113"/>
      <c r="CYA53" s="113"/>
      <c r="CYB53" s="113"/>
      <c r="CYC53" s="113"/>
      <c r="CYD53" s="113"/>
      <c r="CYE53" s="113"/>
      <c r="CYF53" s="113"/>
      <c r="CYG53" s="113"/>
      <c r="CYH53" s="113"/>
      <c r="CYI53" s="113"/>
      <c r="CYJ53" s="113"/>
      <c r="CYK53" s="113"/>
      <c r="CYL53" s="113"/>
      <c r="CYM53" s="113"/>
      <c r="CYN53" s="113"/>
      <c r="CYO53" s="113"/>
      <c r="CYP53" s="113"/>
      <c r="CYQ53" s="113"/>
      <c r="CYR53" s="113"/>
      <c r="CYS53" s="113"/>
      <c r="CYT53" s="113"/>
      <c r="CYU53" s="113"/>
      <c r="CYV53" s="113"/>
      <c r="CYW53" s="113"/>
      <c r="CYX53" s="113"/>
      <c r="CYY53" s="113"/>
      <c r="CYZ53" s="113"/>
      <c r="CZA53" s="113"/>
      <c r="CZB53" s="113"/>
      <c r="CZC53" s="113"/>
      <c r="CZD53" s="113"/>
      <c r="CZE53" s="113"/>
      <c r="CZF53" s="113"/>
      <c r="CZG53" s="113"/>
      <c r="CZH53" s="113"/>
      <c r="CZI53" s="113"/>
      <c r="CZJ53" s="113"/>
      <c r="CZK53" s="113"/>
      <c r="CZL53" s="113"/>
      <c r="CZM53" s="113"/>
      <c r="CZN53" s="113"/>
      <c r="CZO53" s="113"/>
      <c r="CZP53" s="113"/>
      <c r="CZQ53" s="113"/>
      <c r="CZR53" s="113"/>
      <c r="CZS53" s="113"/>
      <c r="CZT53" s="113"/>
      <c r="CZU53" s="113"/>
      <c r="CZV53" s="113"/>
      <c r="CZW53" s="113"/>
      <c r="CZX53" s="113"/>
      <c r="CZY53" s="113"/>
      <c r="CZZ53" s="113"/>
      <c r="DAA53" s="113"/>
      <c r="DAB53" s="113"/>
      <c r="DAC53" s="113"/>
      <c r="DAD53" s="113"/>
      <c r="DAE53" s="113"/>
      <c r="DAF53" s="113"/>
      <c r="DAG53" s="113"/>
      <c r="DAH53" s="113"/>
      <c r="DAI53" s="113"/>
      <c r="DAJ53" s="113"/>
      <c r="DAK53" s="113"/>
      <c r="DAL53" s="113"/>
      <c r="DAM53" s="113"/>
      <c r="DAN53" s="113"/>
      <c r="DAO53" s="113"/>
      <c r="DAP53" s="113"/>
      <c r="DAQ53" s="113"/>
      <c r="DAR53" s="113"/>
      <c r="DAS53" s="113"/>
      <c r="DAT53" s="113"/>
      <c r="DAU53" s="113"/>
      <c r="DAV53" s="113"/>
      <c r="DAW53" s="113"/>
      <c r="DAX53" s="113"/>
      <c r="DAY53" s="113"/>
      <c r="DAZ53" s="113"/>
      <c r="DBA53" s="113"/>
      <c r="DBB53" s="113"/>
      <c r="DBC53" s="113"/>
      <c r="DBD53" s="113"/>
      <c r="DBE53" s="113"/>
      <c r="DBF53" s="113"/>
      <c r="DBG53" s="113"/>
      <c r="DBH53" s="113"/>
      <c r="DBI53" s="113"/>
      <c r="DBJ53" s="113"/>
      <c r="DBK53" s="113"/>
      <c r="DBL53" s="113"/>
      <c r="DBM53" s="113"/>
      <c r="DBN53" s="113"/>
      <c r="DBO53" s="113"/>
      <c r="DBP53" s="113"/>
      <c r="DBQ53" s="113"/>
      <c r="DBR53" s="113"/>
      <c r="DBS53" s="113"/>
      <c r="DBT53" s="113"/>
      <c r="DBU53" s="113"/>
      <c r="DBV53" s="113"/>
      <c r="DBW53" s="113"/>
      <c r="DBX53" s="113"/>
      <c r="DBY53" s="113"/>
      <c r="DBZ53" s="113"/>
      <c r="DCA53" s="113"/>
      <c r="DCB53" s="113"/>
      <c r="DCC53" s="113"/>
      <c r="DCD53" s="113"/>
      <c r="DCE53" s="113"/>
      <c r="DCF53" s="113"/>
      <c r="DCG53" s="113"/>
      <c r="DCH53" s="113"/>
      <c r="DCI53" s="113"/>
      <c r="DCJ53" s="113"/>
      <c r="DCK53" s="113"/>
      <c r="DCL53" s="113"/>
      <c r="DCM53" s="113"/>
      <c r="DCN53" s="113"/>
      <c r="DCO53" s="113"/>
      <c r="DCP53" s="113"/>
      <c r="DCQ53" s="113"/>
      <c r="DCR53" s="113"/>
      <c r="DCS53" s="113"/>
      <c r="DCT53" s="113"/>
      <c r="DCU53" s="113"/>
      <c r="DCV53" s="113"/>
      <c r="DCW53" s="113"/>
      <c r="DCX53" s="113"/>
      <c r="DCY53" s="113"/>
      <c r="DCZ53" s="113"/>
      <c r="DDA53" s="113"/>
      <c r="DDB53" s="113"/>
      <c r="DDC53" s="113"/>
      <c r="DDD53" s="113"/>
      <c r="DDE53" s="113"/>
      <c r="DDF53" s="113"/>
      <c r="DDG53" s="113"/>
      <c r="DDH53" s="113"/>
      <c r="DDI53" s="113"/>
      <c r="DDJ53" s="113"/>
      <c r="DDK53" s="113"/>
      <c r="DDL53" s="113"/>
      <c r="DDM53" s="113"/>
      <c r="DDN53" s="113"/>
      <c r="DDO53" s="113"/>
      <c r="DDP53" s="113"/>
      <c r="DDQ53" s="113"/>
      <c r="DDR53" s="113"/>
      <c r="DDS53" s="113"/>
      <c r="DDT53" s="113"/>
      <c r="DDU53" s="113"/>
      <c r="DDV53" s="113"/>
      <c r="DDW53" s="113"/>
      <c r="DDX53" s="113"/>
      <c r="DDY53" s="113"/>
      <c r="DDZ53" s="113"/>
      <c r="DEA53" s="113"/>
      <c r="DEB53" s="113"/>
      <c r="DEC53" s="113"/>
      <c r="DED53" s="113"/>
      <c r="DEE53" s="113"/>
      <c r="DEF53" s="113"/>
      <c r="DEG53" s="113"/>
      <c r="DEH53" s="113"/>
      <c r="DEI53" s="113"/>
      <c r="DEJ53" s="113"/>
      <c r="DEK53" s="113"/>
      <c r="DEL53" s="113"/>
      <c r="DEM53" s="113"/>
      <c r="DEN53" s="113"/>
      <c r="DEO53" s="113"/>
      <c r="DEP53" s="113"/>
      <c r="DEQ53" s="113"/>
      <c r="DER53" s="113"/>
      <c r="DES53" s="113"/>
      <c r="DET53" s="113"/>
      <c r="DEU53" s="113"/>
      <c r="DEV53" s="113"/>
      <c r="DEW53" s="113"/>
      <c r="DEX53" s="113"/>
      <c r="DEY53" s="113"/>
      <c r="DEZ53" s="113"/>
      <c r="DFA53" s="113"/>
      <c r="DFB53" s="113"/>
      <c r="DFC53" s="113"/>
      <c r="DFD53" s="113"/>
      <c r="DFE53" s="113"/>
      <c r="DFF53" s="113"/>
      <c r="DFG53" s="113"/>
      <c r="DFH53" s="113"/>
      <c r="DFI53" s="113"/>
      <c r="DFJ53" s="113"/>
      <c r="DFK53" s="113"/>
      <c r="DFL53" s="113"/>
      <c r="DFM53" s="113"/>
      <c r="DFN53" s="113"/>
      <c r="DFO53" s="113"/>
      <c r="DFP53" s="113"/>
      <c r="DFQ53" s="113"/>
      <c r="DFR53" s="113"/>
      <c r="DFS53" s="113"/>
      <c r="DFT53" s="113"/>
      <c r="DFU53" s="113"/>
      <c r="DFV53" s="113"/>
      <c r="DFW53" s="113"/>
      <c r="DFX53" s="113"/>
      <c r="DFY53" s="113"/>
      <c r="DFZ53" s="113"/>
      <c r="DGA53" s="113"/>
      <c r="DGB53" s="113"/>
      <c r="DGC53" s="113"/>
      <c r="DGD53" s="113"/>
      <c r="DGE53" s="113"/>
      <c r="DGF53" s="113"/>
      <c r="DGG53" s="113"/>
      <c r="DGH53" s="113"/>
      <c r="DGI53" s="113"/>
      <c r="DGJ53" s="113"/>
      <c r="DGK53" s="113"/>
      <c r="DGL53" s="113"/>
      <c r="DGM53" s="113"/>
      <c r="DGN53" s="113"/>
      <c r="DGO53" s="113"/>
      <c r="DGP53" s="113"/>
      <c r="DGQ53" s="113"/>
      <c r="DGR53" s="113"/>
      <c r="DGS53" s="113"/>
      <c r="DGT53" s="113"/>
      <c r="DGU53" s="113"/>
      <c r="DGV53" s="113"/>
      <c r="DGW53" s="113"/>
      <c r="DGX53" s="113"/>
      <c r="DGY53" s="113"/>
      <c r="DGZ53" s="113"/>
      <c r="DHA53" s="113"/>
      <c r="DHB53" s="113"/>
      <c r="DHC53" s="113"/>
      <c r="DHD53" s="113"/>
      <c r="DHE53" s="113"/>
      <c r="DHF53" s="113"/>
      <c r="DHG53" s="113"/>
      <c r="DHH53" s="113"/>
      <c r="DHI53" s="113"/>
      <c r="DHJ53" s="113"/>
      <c r="DHK53" s="113"/>
      <c r="DHL53" s="113"/>
      <c r="DHM53" s="113"/>
      <c r="DHN53" s="113"/>
      <c r="DHO53" s="113"/>
      <c r="DHP53" s="113"/>
      <c r="DHQ53" s="113"/>
      <c r="DHR53" s="113"/>
      <c r="DHS53" s="113"/>
      <c r="DHT53" s="113"/>
      <c r="DHU53" s="113"/>
      <c r="DHV53" s="113"/>
      <c r="DHW53" s="113"/>
      <c r="DHX53" s="113"/>
      <c r="DHY53" s="113"/>
      <c r="DHZ53" s="113"/>
      <c r="DIA53" s="113"/>
      <c r="DIB53" s="113"/>
      <c r="DIC53" s="113"/>
      <c r="DID53" s="113"/>
      <c r="DIE53" s="113"/>
      <c r="DIF53" s="113"/>
      <c r="DIG53" s="113"/>
      <c r="DIH53" s="113"/>
      <c r="DII53" s="113"/>
      <c r="DIJ53" s="113"/>
      <c r="DIK53" s="113"/>
      <c r="DIL53" s="113"/>
      <c r="DIM53" s="113"/>
      <c r="DIN53" s="113"/>
      <c r="DIO53" s="113"/>
      <c r="DIP53" s="113"/>
      <c r="DIQ53" s="113"/>
      <c r="DIR53" s="113"/>
      <c r="DIS53" s="113"/>
      <c r="DIT53" s="113"/>
      <c r="DIU53" s="113"/>
      <c r="DIV53" s="113"/>
      <c r="DIW53" s="113"/>
      <c r="DIX53" s="113"/>
      <c r="DIY53" s="113"/>
      <c r="DIZ53" s="113"/>
      <c r="DJA53" s="113"/>
      <c r="DJB53" s="113"/>
      <c r="DJC53" s="113"/>
      <c r="DJD53" s="113"/>
      <c r="DJE53" s="113"/>
      <c r="DJF53" s="113"/>
      <c r="DJG53" s="113"/>
      <c r="DJH53" s="113"/>
      <c r="DJI53" s="113"/>
      <c r="DJJ53" s="113"/>
      <c r="DJK53" s="113"/>
      <c r="DJL53" s="113"/>
      <c r="DJM53" s="113"/>
      <c r="DJN53" s="113"/>
      <c r="DJO53" s="113"/>
      <c r="DJP53" s="113"/>
      <c r="DJQ53" s="113"/>
      <c r="DJR53" s="113"/>
      <c r="DJS53" s="113"/>
      <c r="DJT53" s="113"/>
      <c r="DJU53" s="113"/>
      <c r="DJV53" s="113"/>
      <c r="DJW53" s="113"/>
      <c r="DJX53" s="113"/>
      <c r="DJY53" s="113"/>
      <c r="DJZ53" s="113"/>
      <c r="DKA53" s="113"/>
      <c r="DKB53" s="113"/>
      <c r="DKC53" s="113"/>
      <c r="DKD53" s="113"/>
      <c r="DKE53" s="113"/>
      <c r="DKF53" s="113"/>
      <c r="DKG53" s="113"/>
      <c r="DKH53" s="113"/>
      <c r="DKI53" s="113"/>
      <c r="DKJ53" s="113"/>
      <c r="DKK53" s="113"/>
      <c r="DKL53" s="113"/>
      <c r="DKM53" s="113"/>
      <c r="DKN53" s="113"/>
      <c r="DKO53" s="113"/>
      <c r="DKP53" s="113"/>
      <c r="DKQ53" s="113"/>
      <c r="DKR53" s="113"/>
      <c r="DKS53" s="113"/>
      <c r="DKT53" s="113"/>
      <c r="DKU53" s="113"/>
      <c r="DKV53" s="113"/>
      <c r="DKW53" s="113"/>
      <c r="DKX53" s="113"/>
      <c r="DKY53" s="113"/>
      <c r="DKZ53" s="113"/>
      <c r="DLA53" s="113"/>
      <c r="DLB53" s="113"/>
      <c r="DLC53" s="113"/>
      <c r="DLD53" s="113"/>
      <c r="DLE53" s="113"/>
      <c r="DLF53" s="113"/>
      <c r="DLG53" s="113"/>
      <c r="DLH53" s="113"/>
      <c r="DLI53" s="113"/>
      <c r="DLJ53" s="113"/>
      <c r="DLK53" s="113"/>
      <c r="DLL53" s="113"/>
      <c r="DLM53" s="113"/>
      <c r="DLN53" s="113"/>
      <c r="DLO53" s="113"/>
      <c r="DLP53" s="113"/>
      <c r="DLQ53" s="113"/>
      <c r="DLR53" s="113"/>
      <c r="DLS53" s="113"/>
      <c r="DLT53" s="113"/>
      <c r="DLU53" s="113"/>
      <c r="DLV53" s="113"/>
      <c r="DLW53" s="113"/>
      <c r="DLX53" s="113"/>
      <c r="DLY53" s="113"/>
      <c r="DLZ53" s="113"/>
      <c r="DMA53" s="113"/>
      <c r="DMB53" s="113"/>
      <c r="DMC53" s="113"/>
      <c r="DMD53" s="113"/>
      <c r="DME53" s="113"/>
      <c r="DMF53" s="113"/>
      <c r="DMG53" s="113"/>
      <c r="DMH53" s="113"/>
      <c r="DMI53" s="113"/>
      <c r="DMJ53" s="113"/>
      <c r="DMK53" s="113"/>
      <c r="DML53" s="113"/>
      <c r="DMM53" s="113"/>
      <c r="DMN53" s="113"/>
      <c r="DMO53" s="113"/>
      <c r="DMP53" s="113"/>
      <c r="DMQ53" s="113"/>
      <c r="DMR53" s="113"/>
      <c r="DMS53" s="113"/>
      <c r="DMT53" s="113"/>
      <c r="DMU53" s="113"/>
      <c r="DMV53" s="113"/>
      <c r="DMW53" s="113"/>
      <c r="DMX53" s="113"/>
      <c r="DMY53" s="113"/>
      <c r="DMZ53" s="113"/>
      <c r="DNA53" s="113"/>
      <c r="DNB53" s="113"/>
      <c r="DNC53" s="113"/>
      <c r="DND53" s="113"/>
      <c r="DNE53" s="113"/>
      <c r="DNF53" s="113"/>
      <c r="DNG53" s="113"/>
      <c r="DNH53" s="113"/>
      <c r="DNI53" s="113"/>
      <c r="DNJ53" s="113"/>
      <c r="DNK53" s="113"/>
      <c r="DNL53" s="113"/>
      <c r="DNM53" s="113"/>
      <c r="DNN53" s="113"/>
      <c r="DNO53" s="113"/>
      <c r="DNP53" s="113"/>
      <c r="DNQ53" s="113"/>
      <c r="DNR53" s="113"/>
      <c r="DNS53" s="113"/>
      <c r="DNT53" s="113"/>
      <c r="DNU53" s="113"/>
      <c r="DNV53" s="113"/>
      <c r="DNW53" s="113"/>
      <c r="DNX53" s="113"/>
      <c r="DNY53" s="113"/>
      <c r="DNZ53" s="113"/>
      <c r="DOA53" s="113"/>
      <c r="DOB53" s="113"/>
      <c r="DOC53" s="113"/>
      <c r="DOD53" s="113"/>
      <c r="DOE53" s="113"/>
      <c r="DOF53" s="113"/>
      <c r="DOG53" s="113"/>
      <c r="DOH53" s="113"/>
      <c r="DOI53" s="113"/>
      <c r="DOJ53" s="113"/>
      <c r="DOK53" s="113"/>
      <c r="DOL53" s="113"/>
      <c r="DOM53" s="113"/>
      <c r="DON53" s="113"/>
      <c r="DOO53" s="113"/>
      <c r="DOP53" s="113"/>
      <c r="DOQ53" s="113"/>
      <c r="DOR53" s="113"/>
      <c r="DOS53" s="113"/>
      <c r="DOT53" s="113"/>
      <c r="DOU53" s="113"/>
      <c r="DOV53" s="113"/>
      <c r="DOW53" s="113"/>
      <c r="DOX53" s="113"/>
      <c r="DOY53" s="113"/>
      <c r="DOZ53" s="113"/>
      <c r="DPA53" s="113"/>
      <c r="DPB53" s="113"/>
      <c r="DPC53" s="113"/>
      <c r="DPD53" s="113"/>
      <c r="DPE53" s="113"/>
      <c r="DPF53" s="113"/>
      <c r="DPG53" s="113"/>
      <c r="DPH53" s="113"/>
      <c r="DPI53" s="113"/>
      <c r="DPJ53" s="113"/>
      <c r="DPK53" s="113"/>
      <c r="DPL53" s="113"/>
      <c r="DPM53" s="113"/>
      <c r="DPN53" s="113"/>
      <c r="DPO53" s="113"/>
      <c r="DPP53" s="113"/>
      <c r="DPQ53" s="113"/>
      <c r="DPR53" s="113"/>
      <c r="DPS53" s="113"/>
      <c r="DPT53" s="113"/>
      <c r="DPU53" s="113"/>
      <c r="DPV53" s="113"/>
      <c r="DPW53" s="113"/>
      <c r="DPX53" s="113"/>
      <c r="DPY53" s="113"/>
      <c r="DPZ53" s="113"/>
      <c r="DQA53" s="113"/>
      <c r="DQB53" s="113"/>
      <c r="DQC53" s="113"/>
      <c r="DQD53" s="113"/>
      <c r="DQE53" s="113"/>
      <c r="DQF53" s="113"/>
      <c r="DQG53" s="113"/>
      <c r="DQH53" s="113"/>
      <c r="DQI53" s="113"/>
      <c r="DQJ53" s="113"/>
      <c r="DQK53" s="113"/>
      <c r="DQL53" s="113"/>
      <c r="DQM53" s="113"/>
      <c r="DQN53" s="113"/>
      <c r="DQO53" s="113"/>
      <c r="DQP53" s="113"/>
      <c r="DQQ53" s="113"/>
      <c r="DQR53" s="113"/>
      <c r="DQS53" s="113"/>
      <c r="DQT53" s="113"/>
      <c r="DQU53" s="113"/>
      <c r="DQV53" s="113"/>
      <c r="DQW53" s="113"/>
      <c r="DQX53" s="113"/>
      <c r="DQY53" s="113"/>
      <c r="DQZ53" s="113"/>
      <c r="DRA53" s="113"/>
      <c r="DRB53" s="113"/>
      <c r="DRC53" s="113"/>
      <c r="DRD53" s="113"/>
      <c r="DRE53" s="113"/>
      <c r="DRF53" s="113"/>
      <c r="DRG53" s="113"/>
      <c r="DRH53" s="113"/>
      <c r="DRI53" s="113"/>
      <c r="DRJ53" s="113"/>
      <c r="DRK53" s="113"/>
      <c r="DRL53" s="113"/>
      <c r="DRM53" s="113"/>
      <c r="DRN53" s="113"/>
      <c r="DRO53" s="113"/>
      <c r="DRP53" s="113"/>
      <c r="DRQ53" s="113"/>
      <c r="DRR53" s="113"/>
      <c r="DRS53" s="113"/>
      <c r="DRT53" s="113"/>
      <c r="DRU53" s="113"/>
      <c r="DRV53" s="113"/>
      <c r="DRW53" s="113"/>
      <c r="DRX53" s="113"/>
      <c r="DRY53" s="113"/>
      <c r="DRZ53" s="113"/>
      <c r="DSA53" s="113"/>
      <c r="DSB53" s="113"/>
      <c r="DSC53" s="113"/>
      <c r="DSD53" s="113"/>
      <c r="DSE53" s="113"/>
      <c r="DSF53" s="113"/>
      <c r="DSG53" s="113"/>
      <c r="DSH53" s="113"/>
      <c r="DSI53" s="113"/>
      <c r="DSJ53" s="113"/>
      <c r="DSK53" s="113"/>
      <c r="DSL53" s="113"/>
      <c r="DSM53" s="113"/>
      <c r="DSN53" s="113"/>
      <c r="DSO53" s="113"/>
      <c r="DSP53" s="113"/>
      <c r="DSQ53" s="113"/>
      <c r="DSR53" s="113"/>
      <c r="DSS53" s="113"/>
      <c r="DST53" s="113"/>
      <c r="DSU53" s="113"/>
      <c r="DSV53" s="113"/>
      <c r="DSW53" s="113"/>
      <c r="DSX53" s="113"/>
      <c r="DSY53" s="113"/>
      <c r="DSZ53" s="113"/>
      <c r="DTA53" s="113"/>
      <c r="DTB53" s="113"/>
      <c r="DTC53" s="113"/>
      <c r="DTD53" s="113"/>
      <c r="DTE53" s="113"/>
      <c r="DTF53" s="113"/>
      <c r="DTG53" s="113"/>
      <c r="DTH53" s="113"/>
      <c r="DTI53" s="113"/>
      <c r="DTJ53" s="113"/>
      <c r="DTK53" s="113"/>
      <c r="DTL53" s="113"/>
      <c r="DTM53" s="113"/>
      <c r="DTN53" s="113"/>
      <c r="DTO53" s="113"/>
      <c r="DTP53" s="113"/>
      <c r="DTQ53" s="113"/>
      <c r="DTR53" s="113"/>
      <c r="DTS53" s="113"/>
      <c r="DTT53" s="113"/>
      <c r="DTU53" s="113"/>
      <c r="DTV53" s="113"/>
      <c r="DTW53" s="113"/>
      <c r="DTX53" s="113"/>
      <c r="DTY53" s="113"/>
      <c r="DTZ53" s="113"/>
      <c r="DUA53" s="113"/>
      <c r="DUB53" s="113"/>
      <c r="DUC53" s="113"/>
      <c r="DUD53" s="113"/>
      <c r="DUE53" s="113"/>
      <c r="DUF53" s="113"/>
      <c r="DUG53" s="113"/>
      <c r="DUH53" s="113"/>
      <c r="DUI53" s="113"/>
      <c r="DUJ53" s="113"/>
      <c r="DUK53" s="113"/>
      <c r="DUL53" s="113"/>
      <c r="DUM53" s="113"/>
      <c r="DUN53" s="113"/>
      <c r="DUO53" s="113"/>
      <c r="DUP53" s="113"/>
      <c r="DUQ53" s="113"/>
      <c r="DUR53" s="113"/>
      <c r="DUS53" s="113"/>
      <c r="DUT53" s="113"/>
      <c r="DUU53" s="113"/>
      <c r="DUV53" s="113"/>
      <c r="DUW53" s="113"/>
      <c r="DUX53" s="113"/>
      <c r="DUY53" s="113"/>
      <c r="DUZ53" s="113"/>
      <c r="DVA53" s="113"/>
      <c r="DVB53" s="113"/>
      <c r="DVC53" s="113"/>
      <c r="DVD53" s="113"/>
      <c r="DVE53" s="113"/>
      <c r="DVF53" s="113"/>
      <c r="DVG53" s="113"/>
      <c r="DVH53" s="113"/>
      <c r="DVI53" s="113"/>
      <c r="DVJ53" s="113"/>
      <c r="DVK53" s="113"/>
      <c r="DVL53" s="113"/>
      <c r="DVM53" s="113"/>
      <c r="DVN53" s="113"/>
      <c r="DVO53" s="113"/>
      <c r="DVP53" s="113"/>
      <c r="DVQ53" s="113"/>
      <c r="DVR53" s="113"/>
      <c r="DVS53" s="113"/>
      <c r="DVT53" s="113"/>
      <c r="DVU53" s="113"/>
      <c r="DVV53" s="113"/>
      <c r="DVW53" s="113"/>
      <c r="DVX53" s="113"/>
      <c r="DVY53" s="113"/>
      <c r="DVZ53" s="113"/>
      <c r="DWA53" s="113"/>
      <c r="DWB53" s="113"/>
      <c r="DWC53" s="113"/>
      <c r="DWD53" s="113"/>
      <c r="DWE53" s="113"/>
      <c r="DWF53" s="113"/>
      <c r="DWG53" s="113"/>
      <c r="DWH53" s="113"/>
      <c r="DWI53" s="113"/>
      <c r="DWJ53" s="113"/>
      <c r="DWK53" s="113"/>
      <c r="DWL53" s="113"/>
      <c r="DWM53" s="113"/>
      <c r="DWN53" s="113"/>
      <c r="DWO53" s="113"/>
      <c r="DWP53" s="113"/>
      <c r="DWQ53" s="113"/>
      <c r="DWR53" s="113"/>
      <c r="DWS53" s="113"/>
      <c r="DWT53" s="113"/>
      <c r="DWU53" s="113"/>
      <c r="DWV53" s="113"/>
      <c r="DWW53" s="113"/>
      <c r="DWX53" s="113"/>
      <c r="DWY53" s="113"/>
      <c r="DWZ53" s="113"/>
      <c r="DXA53" s="113"/>
      <c r="DXB53" s="113"/>
      <c r="DXC53" s="113"/>
      <c r="DXD53" s="113"/>
      <c r="DXE53" s="113"/>
      <c r="DXF53" s="113"/>
      <c r="DXG53" s="113"/>
      <c r="DXH53" s="113"/>
      <c r="DXI53" s="113"/>
      <c r="DXJ53" s="113"/>
      <c r="DXK53" s="113"/>
      <c r="DXL53" s="113"/>
      <c r="DXM53" s="113"/>
      <c r="DXN53" s="113"/>
      <c r="DXO53" s="113"/>
      <c r="DXP53" s="113"/>
      <c r="DXQ53" s="113"/>
      <c r="DXR53" s="113"/>
      <c r="DXS53" s="113"/>
      <c r="DXT53" s="113"/>
      <c r="DXU53" s="113"/>
      <c r="DXV53" s="113"/>
      <c r="DXW53" s="113"/>
      <c r="DXX53" s="113"/>
      <c r="DXY53" s="113"/>
      <c r="DXZ53" s="113"/>
      <c r="DYA53" s="113"/>
      <c r="DYB53" s="113"/>
      <c r="DYC53" s="113"/>
      <c r="DYD53" s="113"/>
      <c r="DYE53" s="113"/>
      <c r="DYF53" s="113"/>
      <c r="DYG53" s="113"/>
      <c r="DYH53" s="113"/>
      <c r="DYI53" s="113"/>
      <c r="DYJ53" s="113"/>
      <c r="DYK53" s="113"/>
      <c r="DYL53" s="113"/>
      <c r="DYM53" s="113"/>
      <c r="DYN53" s="113"/>
      <c r="DYO53" s="113"/>
      <c r="DYP53" s="113"/>
      <c r="DYQ53" s="113"/>
      <c r="DYR53" s="113"/>
      <c r="DYS53" s="113"/>
      <c r="DYT53" s="113"/>
      <c r="DYU53" s="113"/>
      <c r="DYV53" s="113"/>
      <c r="DYW53" s="113"/>
      <c r="DYX53" s="113"/>
      <c r="DYY53" s="113"/>
      <c r="DYZ53" s="113"/>
      <c r="DZA53" s="113"/>
      <c r="DZB53" s="113"/>
      <c r="DZC53" s="113"/>
      <c r="DZD53" s="113"/>
      <c r="DZE53" s="113"/>
      <c r="DZF53" s="113"/>
      <c r="DZG53" s="113"/>
      <c r="DZH53" s="113"/>
      <c r="DZI53" s="113"/>
      <c r="DZJ53" s="113"/>
      <c r="DZK53" s="113"/>
      <c r="DZL53" s="113"/>
      <c r="DZM53" s="113"/>
      <c r="DZN53" s="113"/>
      <c r="DZO53" s="113"/>
      <c r="DZP53" s="113"/>
      <c r="DZQ53" s="113"/>
      <c r="DZR53" s="113"/>
      <c r="DZS53" s="113"/>
      <c r="DZT53" s="113"/>
      <c r="DZU53" s="113"/>
      <c r="DZV53" s="113"/>
      <c r="DZW53" s="113"/>
      <c r="DZX53" s="113"/>
      <c r="DZY53" s="113"/>
      <c r="DZZ53" s="113"/>
      <c r="EAA53" s="113"/>
      <c r="EAB53" s="113"/>
      <c r="EAC53" s="113"/>
      <c r="EAD53" s="113"/>
      <c r="EAE53" s="113"/>
      <c r="EAF53" s="113"/>
      <c r="EAG53" s="113"/>
      <c r="EAH53" s="113"/>
      <c r="EAI53" s="113"/>
      <c r="EAJ53" s="113"/>
      <c r="EAK53" s="113"/>
      <c r="EAL53" s="113"/>
      <c r="EAM53" s="113"/>
      <c r="EAN53" s="113"/>
      <c r="EAO53" s="113"/>
      <c r="EAP53" s="113"/>
      <c r="EAQ53" s="113"/>
      <c r="EAR53" s="113"/>
      <c r="EAS53" s="113"/>
      <c r="EAT53" s="113"/>
      <c r="EAU53" s="113"/>
      <c r="EAV53" s="113"/>
      <c r="EAW53" s="113"/>
      <c r="EAX53" s="113"/>
      <c r="EAY53" s="113"/>
      <c r="EAZ53" s="113"/>
      <c r="EBA53" s="113"/>
      <c r="EBB53" s="113"/>
      <c r="EBC53" s="113"/>
      <c r="EBD53" s="113"/>
      <c r="EBE53" s="113"/>
      <c r="EBF53" s="113"/>
      <c r="EBG53" s="113"/>
      <c r="EBH53" s="113"/>
      <c r="EBI53" s="113"/>
      <c r="EBJ53" s="113"/>
      <c r="EBK53" s="113"/>
      <c r="EBL53" s="113"/>
      <c r="EBM53" s="113"/>
      <c r="EBN53" s="113"/>
      <c r="EBO53" s="113"/>
      <c r="EBP53" s="113"/>
      <c r="EBQ53" s="113"/>
      <c r="EBR53" s="113"/>
      <c r="EBS53" s="113"/>
      <c r="EBT53" s="113"/>
      <c r="EBU53" s="113"/>
      <c r="EBV53" s="113"/>
      <c r="EBW53" s="113"/>
      <c r="EBX53" s="113"/>
      <c r="EBY53" s="113"/>
      <c r="EBZ53" s="113"/>
      <c r="ECA53" s="113"/>
      <c r="ECB53" s="113"/>
      <c r="ECC53" s="113"/>
      <c r="ECD53" s="113"/>
      <c r="ECE53" s="113"/>
      <c r="ECF53" s="113"/>
      <c r="ECG53" s="113"/>
      <c r="ECH53" s="113"/>
      <c r="ECI53" s="113"/>
      <c r="ECJ53" s="113"/>
      <c r="ECK53" s="113"/>
      <c r="ECL53" s="113"/>
      <c r="ECM53" s="113"/>
      <c r="ECN53" s="113"/>
      <c r="ECO53" s="113"/>
      <c r="ECP53" s="113"/>
      <c r="ECQ53" s="113"/>
      <c r="ECR53" s="113"/>
      <c r="ECS53" s="113"/>
      <c r="ECT53" s="113"/>
      <c r="ECU53" s="113"/>
      <c r="ECV53" s="113"/>
      <c r="ECW53" s="113"/>
      <c r="ECX53" s="113"/>
      <c r="ECY53" s="113"/>
      <c r="ECZ53" s="113"/>
      <c r="EDA53" s="113"/>
      <c r="EDB53" s="113"/>
      <c r="EDC53" s="113"/>
      <c r="EDD53" s="113"/>
      <c r="EDE53" s="113"/>
      <c r="EDF53" s="113"/>
      <c r="EDG53" s="113"/>
      <c r="EDH53" s="113"/>
      <c r="EDI53" s="113"/>
      <c r="EDJ53" s="113"/>
      <c r="EDK53" s="113"/>
      <c r="EDL53" s="113"/>
      <c r="EDM53" s="113"/>
      <c r="EDN53" s="113"/>
      <c r="EDO53" s="113"/>
      <c r="EDP53" s="113"/>
      <c r="EDQ53" s="113"/>
      <c r="EDR53" s="113"/>
      <c r="EDS53" s="113"/>
      <c r="EDT53" s="113"/>
      <c r="EDU53" s="113"/>
      <c r="EDV53" s="113"/>
      <c r="EDW53" s="113"/>
      <c r="EDX53" s="113"/>
      <c r="EDY53" s="113"/>
      <c r="EDZ53" s="113"/>
      <c r="EEA53" s="113"/>
      <c r="EEB53" s="113"/>
      <c r="EEC53" s="113"/>
      <c r="EED53" s="113"/>
      <c r="EEE53" s="113"/>
      <c r="EEF53" s="113"/>
      <c r="EEG53" s="113"/>
      <c r="EEH53" s="113"/>
      <c r="EEI53" s="113"/>
      <c r="EEJ53" s="113"/>
      <c r="EEK53" s="113"/>
      <c r="EEL53" s="113"/>
      <c r="EEM53" s="113"/>
      <c r="EEN53" s="113"/>
      <c r="EEO53" s="113"/>
      <c r="EEP53" s="113"/>
      <c r="EEQ53" s="113"/>
      <c r="EER53" s="113"/>
      <c r="EES53" s="113"/>
      <c r="EET53" s="113"/>
      <c r="EEU53" s="113"/>
      <c r="EEV53" s="113"/>
      <c r="EEW53" s="113"/>
      <c r="EEX53" s="113"/>
      <c r="EEY53" s="113"/>
      <c r="EEZ53" s="113"/>
      <c r="EFA53" s="113"/>
      <c r="EFB53" s="113"/>
      <c r="EFC53" s="113"/>
      <c r="EFD53" s="113"/>
      <c r="EFE53" s="113"/>
      <c r="EFF53" s="113"/>
      <c r="EFG53" s="113"/>
      <c r="EFH53" s="113"/>
      <c r="EFI53" s="113"/>
      <c r="EFJ53" s="113"/>
      <c r="EFK53" s="113"/>
      <c r="EFL53" s="113"/>
      <c r="EFM53" s="113"/>
      <c r="EFN53" s="113"/>
      <c r="EFO53" s="113"/>
      <c r="EFP53" s="113"/>
      <c r="EFQ53" s="113"/>
      <c r="EFR53" s="113"/>
      <c r="EFS53" s="113"/>
      <c r="EFT53" s="113"/>
      <c r="EFU53" s="113"/>
      <c r="EFV53" s="113"/>
      <c r="EFW53" s="113"/>
      <c r="EFX53" s="113"/>
      <c r="EFY53" s="113"/>
      <c r="EFZ53" s="113"/>
      <c r="EGA53" s="113"/>
      <c r="EGB53" s="113"/>
      <c r="EGC53" s="113"/>
      <c r="EGD53" s="113"/>
      <c r="EGE53" s="113"/>
      <c r="EGF53" s="113"/>
      <c r="EGG53" s="113"/>
      <c r="EGH53" s="113"/>
      <c r="EGI53" s="113"/>
      <c r="EGJ53" s="113"/>
      <c r="EGK53" s="113"/>
      <c r="EGL53" s="113"/>
      <c r="EGM53" s="113"/>
      <c r="EGN53" s="113"/>
      <c r="EGO53" s="113"/>
      <c r="EGP53" s="113"/>
      <c r="EGQ53" s="113"/>
      <c r="EGR53" s="113"/>
      <c r="EGS53" s="113"/>
      <c r="EGT53" s="113"/>
      <c r="EGU53" s="113"/>
      <c r="EGV53" s="113"/>
      <c r="EGW53" s="113"/>
      <c r="EGX53" s="113"/>
      <c r="EGY53" s="113"/>
      <c r="EGZ53" s="113"/>
      <c r="EHA53" s="113"/>
      <c r="EHB53" s="113"/>
      <c r="EHC53" s="113"/>
      <c r="EHD53" s="113"/>
      <c r="EHE53" s="113"/>
      <c r="EHF53" s="113"/>
      <c r="EHG53" s="113"/>
      <c r="EHH53" s="113"/>
      <c r="EHI53" s="113"/>
      <c r="EHJ53" s="113"/>
      <c r="EHK53" s="113"/>
      <c r="EHL53" s="113"/>
      <c r="EHM53" s="113"/>
      <c r="EHN53" s="113"/>
      <c r="EHO53" s="113"/>
      <c r="EHP53" s="113"/>
      <c r="EHQ53" s="113"/>
      <c r="EHR53" s="113"/>
      <c r="EHS53" s="113"/>
      <c r="EHT53" s="113"/>
      <c r="EHU53" s="113"/>
      <c r="EHV53" s="113"/>
      <c r="EHW53" s="113"/>
      <c r="EHX53" s="113"/>
      <c r="EHY53" s="113"/>
      <c r="EHZ53" s="113"/>
      <c r="EIA53" s="113"/>
      <c r="EIB53" s="113"/>
      <c r="EIC53" s="113"/>
      <c r="EID53" s="113"/>
      <c r="EIE53" s="113"/>
      <c r="EIF53" s="113"/>
      <c r="EIG53" s="113"/>
      <c r="EIH53" s="113"/>
      <c r="EII53" s="113"/>
      <c r="EIJ53" s="113"/>
      <c r="EIK53" s="113"/>
      <c r="EIL53" s="113"/>
      <c r="EIM53" s="113"/>
      <c r="EIN53" s="113"/>
      <c r="EIO53" s="113"/>
      <c r="EIP53" s="113"/>
      <c r="EIQ53" s="113"/>
      <c r="EIR53" s="113"/>
      <c r="EIS53" s="113"/>
      <c r="EIT53" s="113"/>
      <c r="EIU53" s="113"/>
      <c r="EIV53" s="113"/>
      <c r="EIW53" s="113"/>
      <c r="EIX53" s="113"/>
      <c r="EIY53" s="113"/>
      <c r="EIZ53" s="113"/>
      <c r="EJA53" s="113"/>
      <c r="EJB53" s="113"/>
      <c r="EJC53" s="113"/>
      <c r="EJD53" s="113"/>
      <c r="EJE53" s="113"/>
      <c r="EJF53" s="113"/>
      <c r="EJG53" s="113"/>
      <c r="EJH53" s="113"/>
      <c r="EJI53" s="113"/>
      <c r="EJJ53" s="113"/>
      <c r="EJK53" s="113"/>
      <c r="EJL53" s="113"/>
      <c r="EJM53" s="113"/>
      <c r="EJN53" s="113"/>
      <c r="EJO53" s="113"/>
      <c r="EJP53" s="113"/>
      <c r="EJQ53" s="113"/>
      <c r="EJR53" s="113"/>
      <c r="EJS53" s="113"/>
      <c r="EJT53" s="113"/>
      <c r="EJU53" s="113"/>
      <c r="EJV53" s="113"/>
      <c r="EJW53" s="113"/>
      <c r="EJX53" s="113"/>
      <c r="EJY53" s="113"/>
      <c r="EJZ53" s="113"/>
      <c r="EKA53" s="113"/>
      <c r="EKB53" s="113"/>
      <c r="EKC53" s="113"/>
      <c r="EKD53" s="113"/>
      <c r="EKE53" s="113"/>
      <c r="EKF53" s="113"/>
      <c r="EKG53" s="113"/>
      <c r="EKH53" s="113"/>
      <c r="EKI53" s="113"/>
      <c r="EKJ53" s="113"/>
      <c r="EKK53" s="113"/>
      <c r="EKL53" s="113"/>
      <c r="EKM53" s="113"/>
      <c r="EKN53" s="113"/>
      <c r="EKO53" s="113"/>
      <c r="EKP53" s="113"/>
      <c r="EKQ53" s="113"/>
      <c r="EKR53" s="113"/>
      <c r="EKS53" s="113"/>
      <c r="EKT53" s="113"/>
      <c r="EKU53" s="113"/>
      <c r="EKV53" s="113"/>
      <c r="EKW53" s="113"/>
      <c r="EKX53" s="113"/>
      <c r="EKY53" s="113"/>
      <c r="EKZ53" s="113"/>
      <c r="ELA53" s="113"/>
      <c r="ELB53" s="113"/>
      <c r="ELC53" s="113"/>
      <c r="ELD53" s="113"/>
      <c r="ELE53" s="113"/>
      <c r="ELF53" s="113"/>
      <c r="ELG53" s="113"/>
      <c r="ELH53" s="113"/>
      <c r="ELI53" s="113"/>
      <c r="ELJ53" s="113"/>
      <c r="ELK53" s="113"/>
      <c r="ELL53" s="113"/>
      <c r="ELM53" s="113"/>
      <c r="ELN53" s="113"/>
      <c r="ELO53" s="113"/>
      <c r="ELP53" s="113"/>
      <c r="ELQ53" s="113"/>
      <c r="ELR53" s="113"/>
      <c r="ELS53" s="113"/>
      <c r="ELT53" s="113"/>
      <c r="ELU53" s="113"/>
      <c r="ELV53" s="113"/>
      <c r="ELW53" s="113"/>
      <c r="ELX53" s="113"/>
      <c r="ELY53" s="113"/>
      <c r="ELZ53" s="113"/>
      <c r="EMA53" s="113"/>
      <c r="EMB53" s="113"/>
      <c r="EMC53" s="113"/>
      <c r="EMD53" s="113"/>
      <c r="EME53" s="113"/>
      <c r="EMF53" s="113"/>
      <c r="EMG53" s="113"/>
      <c r="EMH53" s="113"/>
      <c r="EMI53" s="113"/>
      <c r="EMJ53" s="113"/>
      <c r="EMK53" s="113"/>
      <c r="EML53" s="113"/>
      <c r="EMM53" s="113"/>
      <c r="EMN53" s="113"/>
      <c r="EMO53" s="113"/>
      <c r="EMP53" s="113"/>
      <c r="EMQ53" s="113"/>
      <c r="EMR53" s="113"/>
      <c r="EMS53" s="113"/>
      <c r="EMT53" s="113"/>
      <c r="EMU53" s="113"/>
      <c r="EMV53" s="113"/>
      <c r="EMW53" s="113"/>
      <c r="EMX53" s="113"/>
      <c r="EMY53" s="113"/>
      <c r="EMZ53" s="113"/>
      <c r="ENA53" s="113"/>
      <c r="ENB53" s="113"/>
      <c r="ENC53" s="113"/>
      <c r="END53" s="113"/>
      <c r="ENE53" s="113"/>
      <c r="ENF53" s="113"/>
      <c r="ENG53" s="113"/>
      <c r="ENH53" s="113"/>
      <c r="ENI53" s="113"/>
      <c r="ENJ53" s="113"/>
      <c r="ENK53" s="113"/>
      <c r="ENL53" s="113"/>
      <c r="ENM53" s="113"/>
      <c r="ENN53" s="113"/>
      <c r="ENO53" s="113"/>
      <c r="ENP53" s="113"/>
      <c r="ENQ53" s="113"/>
      <c r="ENR53" s="113"/>
      <c r="ENS53" s="113"/>
      <c r="ENT53" s="113"/>
      <c r="ENU53" s="113"/>
      <c r="ENV53" s="113"/>
      <c r="ENW53" s="113"/>
      <c r="ENX53" s="113"/>
      <c r="ENY53" s="113"/>
      <c r="ENZ53" s="113"/>
      <c r="EOA53" s="113"/>
      <c r="EOB53" s="113"/>
      <c r="EOC53" s="113"/>
      <c r="EOD53" s="113"/>
      <c r="EOE53" s="113"/>
      <c r="EOF53" s="113"/>
      <c r="EOG53" s="113"/>
      <c r="EOH53" s="113"/>
      <c r="EOI53" s="113"/>
      <c r="EOJ53" s="113"/>
      <c r="EOK53" s="113"/>
      <c r="EOL53" s="113"/>
      <c r="EOM53" s="113"/>
      <c r="EON53" s="113"/>
      <c r="EOO53" s="113"/>
      <c r="EOP53" s="113"/>
      <c r="EOQ53" s="113"/>
      <c r="EOR53" s="113"/>
      <c r="EOS53" s="113"/>
      <c r="EOT53" s="113"/>
      <c r="EOU53" s="113"/>
      <c r="EOV53" s="113"/>
      <c r="EOW53" s="113"/>
      <c r="EOX53" s="113"/>
      <c r="EOY53" s="113"/>
      <c r="EOZ53" s="113"/>
      <c r="EPA53" s="113"/>
      <c r="EPB53" s="113"/>
      <c r="EPC53" s="113"/>
      <c r="EPD53" s="113"/>
      <c r="EPE53" s="113"/>
      <c r="EPF53" s="113"/>
      <c r="EPG53" s="113"/>
      <c r="EPH53" s="113"/>
      <c r="EPI53" s="113"/>
      <c r="EPJ53" s="113"/>
      <c r="EPK53" s="113"/>
      <c r="EPL53" s="113"/>
      <c r="EPM53" s="113"/>
      <c r="EPN53" s="113"/>
      <c r="EPO53" s="113"/>
      <c r="EPP53" s="113"/>
      <c r="EPQ53" s="113"/>
      <c r="EPR53" s="113"/>
      <c r="EPS53" s="113"/>
      <c r="EPT53" s="113"/>
      <c r="EPU53" s="113"/>
      <c r="EPV53" s="113"/>
      <c r="EPW53" s="113"/>
      <c r="EPX53" s="113"/>
      <c r="EPY53" s="113"/>
      <c r="EPZ53" s="113"/>
      <c r="EQA53" s="113"/>
      <c r="EQB53" s="113"/>
      <c r="EQC53" s="113"/>
      <c r="EQD53" s="113"/>
      <c r="EQE53" s="113"/>
      <c r="EQF53" s="113"/>
      <c r="EQG53" s="113"/>
      <c r="EQH53" s="113"/>
      <c r="EQI53" s="113"/>
      <c r="EQJ53" s="113"/>
      <c r="EQK53" s="113"/>
      <c r="EQL53" s="113"/>
      <c r="EQM53" s="113"/>
      <c r="EQN53" s="113"/>
      <c r="EQO53" s="113"/>
      <c r="EQP53" s="113"/>
      <c r="EQQ53" s="113"/>
      <c r="EQR53" s="113"/>
      <c r="EQS53" s="113"/>
      <c r="EQT53" s="113"/>
      <c r="EQU53" s="113"/>
      <c r="EQV53" s="113"/>
      <c r="EQW53" s="113"/>
      <c r="EQX53" s="113"/>
      <c r="EQY53" s="113"/>
      <c r="EQZ53" s="113"/>
      <c r="ERA53" s="113"/>
      <c r="ERB53" s="113"/>
      <c r="ERC53" s="113"/>
      <c r="ERD53" s="113"/>
      <c r="ERE53" s="113"/>
      <c r="ERF53" s="113"/>
      <c r="ERG53" s="113"/>
      <c r="ERH53" s="113"/>
      <c r="ERI53" s="113"/>
      <c r="ERJ53" s="113"/>
      <c r="ERK53" s="113"/>
      <c r="ERL53" s="113"/>
      <c r="ERM53" s="113"/>
      <c r="ERN53" s="113"/>
      <c r="ERO53" s="113"/>
      <c r="ERP53" s="113"/>
      <c r="ERQ53" s="113"/>
      <c r="ERR53" s="113"/>
      <c r="ERS53" s="113"/>
      <c r="ERT53" s="113"/>
      <c r="ERU53" s="113"/>
      <c r="ERV53" s="113"/>
      <c r="ERW53" s="113"/>
      <c r="ERX53" s="113"/>
      <c r="ERY53" s="113"/>
      <c r="ERZ53" s="113"/>
      <c r="ESA53" s="113"/>
      <c r="ESB53" s="113"/>
      <c r="ESC53" s="113"/>
      <c r="ESD53" s="113"/>
      <c r="ESE53" s="113"/>
      <c r="ESF53" s="113"/>
      <c r="ESG53" s="113"/>
      <c r="ESH53" s="113"/>
      <c r="ESI53" s="113"/>
      <c r="ESJ53" s="113"/>
      <c r="ESK53" s="113"/>
      <c r="ESL53" s="113"/>
      <c r="ESM53" s="113"/>
      <c r="ESN53" s="113"/>
      <c r="ESO53" s="113"/>
      <c r="ESP53" s="113"/>
      <c r="ESQ53" s="113"/>
      <c r="ESR53" s="113"/>
      <c r="ESS53" s="113"/>
      <c r="EST53" s="113"/>
      <c r="ESU53" s="113"/>
      <c r="ESV53" s="113"/>
      <c r="ESW53" s="113"/>
      <c r="ESX53" s="113"/>
      <c r="ESY53" s="113"/>
      <c r="ESZ53" s="113"/>
      <c r="ETA53" s="113"/>
      <c r="ETB53" s="113"/>
      <c r="ETC53" s="113"/>
      <c r="ETD53" s="113"/>
      <c r="ETE53" s="113"/>
      <c r="ETF53" s="113"/>
      <c r="ETG53" s="113"/>
      <c r="ETH53" s="113"/>
      <c r="ETI53" s="113"/>
      <c r="ETJ53" s="113"/>
      <c r="ETK53" s="113"/>
      <c r="ETL53" s="113"/>
      <c r="ETM53" s="113"/>
      <c r="ETN53" s="113"/>
      <c r="ETO53" s="113"/>
      <c r="ETP53" s="113"/>
      <c r="ETQ53" s="113"/>
      <c r="ETR53" s="113"/>
      <c r="ETS53" s="113"/>
      <c r="ETT53" s="113"/>
      <c r="ETU53" s="113"/>
      <c r="ETV53" s="113"/>
      <c r="ETW53" s="113"/>
      <c r="ETX53" s="113"/>
      <c r="ETY53" s="113"/>
      <c r="ETZ53" s="113"/>
      <c r="EUA53" s="113"/>
      <c r="EUB53" s="113"/>
      <c r="EUC53" s="113"/>
      <c r="EUD53" s="113"/>
      <c r="EUE53" s="113"/>
      <c r="EUF53" s="113"/>
      <c r="EUG53" s="113"/>
      <c r="EUH53" s="113"/>
      <c r="EUI53" s="113"/>
      <c r="EUJ53" s="113"/>
      <c r="EUK53" s="113"/>
      <c r="EUL53" s="113"/>
      <c r="EUM53" s="113"/>
      <c r="EUN53" s="113"/>
      <c r="EUO53" s="113"/>
      <c r="EUP53" s="113"/>
      <c r="EUQ53" s="113"/>
      <c r="EUR53" s="113"/>
      <c r="EUS53" s="113"/>
      <c r="EUT53" s="113"/>
      <c r="EUU53" s="113"/>
      <c r="EUV53" s="113"/>
      <c r="EUW53" s="113"/>
      <c r="EUX53" s="113"/>
      <c r="EUY53" s="113"/>
      <c r="EUZ53" s="113"/>
      <c r="EVA53" s="113"/>
      <c r="EVB53" s="113"/>
      <c r="EVC53" s="113"/>
      <c r="EVD53" s="113"/>
      <c r="EVE53" s="113"/>
      <c r="EVF53" s="113"/>
      <c r="EVG53" s="113"/>
      <c r="EVH53" s="113"/>
      <c r="EVI53" s="113"/>
      <c r="EVJ53" s="113"/>
      <c r="EVK53" s="113"/>
      <c r="EVL53" s="113"/>
      <c r="EVM53" s="113"/>
      <c r="EVN53" s="113"/>
      <c r="EVO53" s="113"/>
      <c r="EVP53" s="113"/>
      <c r="EVQ53" s="113"/>
      <c r="EVR53" s="113"/>
      <c r="EVS53" s="113"/>
      <c r="EVT53" s="113"/>
      <c r="EVU53" s="113"/>
      <c r="EVV53" s="113"/>
      <c r="EVW53" s="113"/>
      <c r="EVX53" s="113"/>
      <c r="EVY53" s="113"/>
      <c r="EVZ53" s="113"/>
      <c r="EWA53" s="113"/>
      <c r="EWB53" s="113"/>
      <c r="EWC53" s="113"/>
      <c r="EWD53" s="113"/>
      <c r="EWE53" s="113"/>
      <c r="EWF53" s="113"/>
      <c r="EWG53" s="113"/>
      <c r="EWH53" s="113"/>
      <c r="EWI53" s="113"/>
      <c r="EWJ53" s="113"/>
      <c r="EWK53" s="113"/>
      <c r="EWL53" s="113"/>
      <c r="EWM53" s="113"/>
      <c r="EWN53" s="113"/>
      <c r="EWO53" s="113"/>
      <c r="EWP53" s="113"/>
      <c r="EWQ53" s="113"/>
      <c r="EWR53" s="113"/>
      <c r="EWS53" s="113"/>
      <c r="EWT53" s="113"/>
      <c r="EWU53" s="113"/>
      <c r="EWV53" s="113"/>
      <c r="EWW53" s="113"/>
      <c r="EWX53" s="113"/>
      <c r="EWY53" s="113"/>
      <c r="EWZ53" s="113"/>
      <c r="EXA53" s="113"/>
      <c r="EXB53" s="113"/>
      <c r="EXC53" s="113"/>
      <c r="EXD53" s="113"/>
      <c r="EXE53" s="113"/>
      <c r="EXF53" s="113"/>
      <c r="EXG53" s="113"/>
      <c r="EXH53" s="113"/>
      <c r="EXI53" s="113"/>
      <c r="EXJ53" s="113"/>
      <c r="EXK53" s="113"/>
      <c r="EXL53" s="113"/>
      <c r="EXM53" s="113"/>
      <c r="EXN53" s="113"/>
      <c r="EXO53" s="113"/>
      <c r="EXP53" s="113"/>
      <c r="EXQ53" s="113"/>
      <c r="EXR53" s="113"/>
      <c r="EXS53" s="113"/>
      <c r="EXT53" s="113"/>
      <c r="EXU53" s="113"/>
      <c r="EXV53" s="113"/>
      <c r="EXW53" s="113"/>
      <c r="EXX53" s="113"/>
      <c r="EXY53" s="113"/>
      <c r="EXZ53" s="113"/>
      <c r="EYA53" s="113"/>
      <c r="EYB53" s="113"/>
      <c r="EYC53" s="113"/>
      <c r="EYD53" s="113"/>
      <c r="EYE53" s="113"/>
      <c r="EYF53" s="113"/>
      <c r="EYG53" s="113"/>
      <c r="EYH53" s="113"/>
      <c r="EYI53" s="113"/>
      <c r="EYJ53" s="113"/>
      <c r="EYK53" s="113"/>
      <c r="EYL53" s="113"/>
      <c r="EYM53" s="113"/>
      <c r="EYN53" s="113"/>
      <c r="EYO53" s="113"/>
      <c r="EYP53" s="113"/>
      <c r="EYQ53" s="113"/>
      <c r="EYR53" s="113"/>
      <c r="EYS53" s="113"/>
      <c r="EYT53" s="113"/>
      <c r="EYU53" s="113"/>
      <c r="EYV53" s="113"/>
      <c r="EYW53" s="113"/>
      <c r="EYX53" s="113"/>
      <c r="EYY53" s="113"/>
      <c r="EYZ53" s="113"/>
      <c r="EZA53" s="113"/>
      <c r="EZB53" s="113"/>
      <c r="EZC53" s="113"/>
      <c r="EZD53" s="113"/>
      <c r="EZE53" s="113"/>
      <c r="EZF53" s="113"/>
      <c r="EZG53" s="113"/>
      <c r="EZH53" s="113"/>
      <c r="EZI53" s="113"/>
      <c r="EZJ53" s="113"/>
      <c r="EZK53" s="113"/>
      <c r="EZL53" s="113"/>
      <c r="EZM53" s="113"/>
      <c r="EZN53" s="113"/>
      <c r="EZO53" s="113"/>
      <c r="EZP53" s="113"/>
      <c r="EZQ53" s="113"/>
      <c r="EZR53" s="113"/>
      <c r="EZS53" s="113"/>
      <c r="EZT53" s="113"/>
      <c r="EZU53" s="113"/>
      <c r="EZV53" s="113"/>
      <c r="EZW53" s="113"/>
      <c r="EZX53" s="113"/>
      <c r="EZY53" s="113"/>
      <c r="EZZ53" s="113"/>
      <c r="FAA53" s="113"/>
      <c r="FAB53" s="113"/>
      <c r="FAC53" s="113"/>
      <c r="FAD53" s="113"/>
      <c r="FAE53" s="113"/>
      <c r="FAF53" s="113"/>
      <c r="FAG53" s="113"/>
      <c r="FAH53" s="113"/>
      <c r="FAI53" s="113"/>
      <c r="FAJ53" s="113"/>
      <c r="FAK53" s="113"/>
      <c r="FAL53" s="113"/>
      <c r="FAM53" s="113"/>
      <c r="FAN53" s="113"/>
      <c r="FAO53" s="113"/>
      <c r="FAP53" s="113"/>
      <c r="FAQ53" s="113"/>
      <c r="FAR53" s="113"/>
      <c r="FAS53" s="113"/>
      <c r="FAT53" s="113"/>
      <c r="FAU53" s="113"/>
      <c r="FAV53" s="113"/>
      <c r="FAW53" s="113"/>
      <c r="FAX53" s="113"/>
      <c r="FAY53" s="113"/>
      <c r="FAZ53" s="113"/>
      <c r="FBA53" s="113"/>
      <c r="FBB53" s="113"/>
      <c r="FBC53" s="113"/>
      <c r="FBD53" s="113"/>
      <c r="FBE53" s="113"/>
      <c r="FBF53" s="113"/>
      <c r="FBG53" s="113"/>
      <c r="FBH53" s="113"/>
      <c r="FBI53" s="113"/>
      <c r="FBJ53" s="113"/>
      <c r="FBK53" s="113"/>
      <c r="FBL53" s="113"/>
      <c r="FBM53" s="113"/>
      <c r="FBN53" s="113"/>
      <c r="FBO53" s="113"/>
      <c r="FBP53" s="113"/>
      <c r="FBQ53" s="113"/>
      <c r="FBR53" s="113"/>
      <c r="FBS53" s="113"/>
      <c r="FBT53" s="113"/>
      <c r="FBU53" s="113"/>
      <c r="FBV53" s="113"/>
      <c r="FBW53" s="113"/>
      <c r="FBX53" s="113"/>
      <c r="FBY53" s="113"/>
      <c r="FBZ53" s="113"/>
      <c r="FCA53" s="113"/>
      <c r="FCB53" s="113"/>
      <c r="FCC53" s="113"/>
      <c r="FCD53" s="113"/>
      <c r="FCE53" s="113"/>
      <c r="FCF53" s="113"/>
      <c r="FCG53" s="113"/>
      <c r="FCH53" s="113"/>
      <c r="FCI53" s="113"/>
      <c r="FCJ53" s="113"/>
      <c r="FCK53" s="113"/>
      <c r="FCL53" s="113"/>
      <c r="FCM53" s="113"/>
      <c r="FCN53" s="113"/>
      <c r="FCO53" s="113"/>
      <c r="FCP53" s="113"/>
      <c r="FCQ53" s="113"/>
      <c r="FCR53" s="113"/>
      <c r="FCS53" s="113"/>
      <c r="FCT53" s="113"/>
      <c r="FCU53" s="113"/>
      <c r="FCV53" s="113"/>
      <c r="FCW53" s="113"/>
      <c r="FCX53" s="113"/>
      <c r="FCY53" s="113"/>
      <c r="FCZ53" s="113"/>
      <c r="FDA53" s="113"/>
      <c r="FDB53" s="113"/>
      <c r="FDC53" s="113"/>
      <c r="FDD53" s="113"/>
      <c r="FDE53" s="113"/>
      <c r="FDF53" s="113"/>
      <c r="FDG53" s="113"/>
      <c r="FDH53" s="113"/>
      <c r="FDI53" s="113"/>
      <c r="FDJ53" s="113"/>
      <c r="FDK53" s="113"/>
      <c r="FDL53" s="113"/>
      <c r="FDM53" s="113"/>
      <c r="FDN53" s="113"/>
      <c r="FDO53" s="113"/>
      <c r="FDP53" s="113"/>
      <c r="FDQ53" s="113"/>
      <c r="FDR53" s="113"/>
      <c r="FDS53" s="113"/>
      <c r="FDT53" s="113"/>
      <c r="FDU53" s="113"/>
      <c r="FDV53" s="113"/>
      <c r="FDW53" s="113"/>
      <c r="FDX53" s="113"/>
      <c r="FDY53" s="113"/>
      <c r="FDZ53" s="113"/>
      <c r="FEA53" s="113"/>
      <c r="FEB53" s="113"/>
      <c r="FEC53" s="113"/>
      <c r="FED53" s="113"/>
      <c r="FEE53" s="113"/>
      <c r="FEF53" s="113"/>
      <c r="FEG53" s="113"/>
      <c r="FEH53" s="113"/>
      <c r="FEI53" s="113"/>
      <c r="FEJ53" s="113"/>
      <c r="FEK53" s="113"/>
      <c r="FEL53" s="113"/>
      <c r="FEM53" s="113"/>
      <c r="FEN53" s="113"/>
      <c r="FEO53" s="113"/>
      <c r="FEP53" s="113"/>
      <c r="FEQ53" s="113"/>
      <c r="FER53" s="113"/>
      <c r="FES53" s="113"/>
      <c r="FET53" s="113"/>
      <c r="FEU53" s="113"/>
      <c r="FEV53" s="113"/>
      <c r="FEW53" s="113"/>
      <c r="FEX53" s="113"/>
      <c r="FEY53" s="113"/>
      <c r="FEZ53" s="113"/>
      <c r="FFA53" s="113"/>
      <c r="FFB53" s="113"/>
      <c r="FFC53" s="113"/>
      <c r="FFD53" s="113"/>
      <c r="FFE53" s="113"/>
      <c r="FFF53" s="113"/>
      <c r="FFG53" s="113"/>
      <c r="FFH53" s="113"/>
      <c r="FFI53" s="113"/>
      <c r="FFJ53" s="113"/>
      <c r="FFK53" s="113"/>
      <c r="FFL53" s="113"/>
      <c r="FFM53" s="113"/>
      <c r="FFN53" s="113"/>
      <c r="FFO53" s="113"/>
      <c r="FFP53" s="113"/>
      <c r="FFQ53" s="113"/>
      <c r="FFR53" s="113"/>
      <c r="FFS53" s="113"/>
      <c r="FFT53" s="113"/>
      <c r="FFU53" s="113"/>
      <c r="FFV53" s="113"/>
      <c r="FFW53" s="113"/>
      <c r="FFX53" s="113"/>
      <c r="FFY53" s="113"/>
      <c r="FFZ53" s="113"/>
      <c r="FGA53" s="113"/>
      <c r="FGB53" s="113"/>
      <c r="FGC53" s="113"/>
      <c r="FGD53" s="113"/>
      <c r="FGE53" s="113"/>
      <c r="FGF53" s="113"/>
      <c r="FGG53" s="113"/>
      <c r="FGH53" s="113"/>
      <c r="FGI53" s="113"/>
      <c r="FGJ53" s="113"/>
      <c r="FGK53" s="113"/>
      <c r="FGL53" s="113"/>
      <c r="FGM53" s="113"/>
      <c r="FGN53" s="113"/>
      <c r="FGO53" s="113"/>
      <c r="FGP53" s="113"/>
      <c r="FGQ53" s="113"/>
      <c r="FGR53" s="113"/>
      <c r="FGS53" s="113"/>
      <c r="FGT53" s="113"/>
      <c r="FGU53" s="113"/>
      <c r="FGV53" s="113"/>
      <c r="FGW53" s="113"/>
      <c r="FGX53" s="113"/>
      <c r="FGY53" s="113"/>
      <c r="FGZ53" s="113"/>
      <c r="FHA53" s="113"/>
      <c r="FHB53" s="113"/>
      <c r="FHC53" s="113"/>
      <c r="FHD53" s="113"/>
      <c r="FHE53" s="113"/>
      <c r="FHF53" s="113"/>
      <c r="FHG53" s="113"/>
      <c r="FHH53" s="113"/>
      <c r="FHI53" s="113"/>
      <c r="FHJ53" s="113"/>
      <c r="FHK53" s="113"/>
      <c r="FHL53" s="113"/>
      <c r="FHM53" s="113"/>
      <c r="FHN53" s="113"/>
      <c r="FHO53" s="113"/>
      <c r="FHP53" s="113"/>
      <c r="FHQ53" s="113"/>
      <c r="FHR53" s="113"/>
      <c r="FHS53" s="113"/>
      <c r="FHT53" s="113"/>
      <c r="FHU53" s="113"/>
      <c r="FHV53" s="113"/>
      <c r="FHW53" s="113"/>
      <c r="FHX53" s="113"/>
      <c r="FHY53" s="113"/>
      <c r="FHZ53" s="113"/>
      <c r="FIA53" s="113"/>
      <c r="FIB53" s="113"/>
      <c r="FIC53" s="113"/>
      <c r="FID53" s="113"/>
      <c r="FIE53" s="113"/>
      <c r="FIF53" s="113"/>
      <c r="FIG53" s="113"/>
      <c r="FIH53" s="113"/>
      <c r="FII53" s="113"/>
      <c r="FIJ53" s="113"/>
      <c r="FIK53" s="113"/>
      <c r="FIL53" s="113"/>
      <c r="FIM53" s="113"/>
      <c r="FIN53" s="113"/>
      <c r="FIO53" s="113"/>
      <c r="FIP53" s="113"/>
      <c r="FIQ53" s="113"/>
      <c r="FIR53" s="113"/>
      <c r="FIS53" s="113"/>
      <c r="FIT53" s="113"/>
      <c r="FIU53" s="113"/>
      <c r="FIV53" s="113"/>
      <c r="FIW53" s="113"/>
      <c r="FIX53" s="113"/>
      <c r="FIY53" s="113"/>
      <c r="FIZ53" s="113"/>
      <c r="FJA53" s="113"/>
      <c r="FJB53" s="113"/>
      <c r="FJC53" s="113"/>
      <c r="FJD53" s="113"/>
      <c r="FJE53" s="113"/>
      <c r="FJF53" s="113"/>
      <c r="FJG53" s="113"/>
      <c r="FJH53" s="113"/>
      <c r="FJI53" s="113"/>
      <c r="FJJ53" s="113"/>
      <c r="FJK53" s="113"/>
      <c r="FJL53" s="113"/>
      <c r="FJM53" s="113"/>
      <c r="FJN53" s="113"/>
      <c r="FJO53" s="113"/>
      <c r="FJP53" s="113"/>
      <c r="FJQ53" s="113"/>
      <c r="FJR53" s="113"/>
      <c r="FJS53" s="113"/>
      <c r="FJT53" s="113"/>
      <c r="FJU53" s="113"/>
      <c r="FJV53" s="113"/>
      <c r="FJW53" s="113"/>
      <c r="FJX53" s="113"/>
      <c r="FJY53" s="113"/>
      <c r="FJZ53" s="113"/>
      <c r="FKA53" s="113"/>
      <c r="FKB53" s="113"/>
      <c r="FKC53" s="113"/>
      <c r="FKD53" s="113"/>
      <c r="FKE53" s="113"/>
      <c r="FKF53" s="113"/>
      <c r="FKG53" s="113"/>
      <c r="FKH53" s="113"/>
      <c r="FKI53" s="113"/>
      <c r="FKJ53" s="113"/>
      <c r="FKK53" s="113"/>
      <c r="FKL53" s="113"/>
      <c r="FKM53" s="113"/>
      <c r="FKN53" s="113"/>
      <c r="FKO53" s="113"/>
      <c r="FKP53" s="113"/>
      <c r="FKQ53" s="113"/>
      <c r="FKR53" s="113"/>
      <c r="FKS53" s="113"/>
      <c r="FKT53" s="113"/>
      <c r="FKU53" s="113"/>
      <c r="FKV53" s="113"/>
      <c r="FKW53" s="113"/>
      <c r="FKX53" s="113"/>
      <c r="FKY53" s="113"/>
      <c r="FKZ53" s="113"/>
      <c r="FLA53" s="113"/>
      <c r="FLB53" s="113"/>
      <c r="FLC53" s="113"/>
      <c r="FLD53" s="113"/>
      <c r="FLE53" s="113"/>
      <c r="FLF53" s="113"/>
      <c r="FLG53" s="113"/>
      <c r="FLH53" s="113"/>
      <c r="FLI53" s="113"/>
      <c r="FLJ53" s="113"/>
      <c r="FLK53" s="113"/>
      <c r="FLL53" s="113"/>
      <c r="FLM53" s="113"/>
      <c r="FLN53" s="113"/>
      <c r="FLO53" s="113"/>
      <c r="FLP53" s="113"/>
      <c r="FLQ53" s="113"/>
      <c r="FLR53" s="113"/>
      <c r="FLS53" s="113"/>
      <c r="FLT53" s="113"/>
      <c r="FLU53" s="113"/>
      <c r="FLV53" s="113"/>
      <c r="FLW53" s="113"/>
      <c r="FLX53" s="113"/>
      <c r="FLY53" s="113"/>
      <c r="FLZ53" s="113"/>
      <c r="FMA53" s="113"/>
      <c r="FMB53" s="113"/>
      <c r="FMC53" s="113"/>
      <c r="FMD53" s="113"/>
      <c r="FME53" s="113"/>
      <c r="FMF53" s="113"/>
      <c r="FMG53" s="113"/>
      <c r="FMH53" s="113"/>
      <c r="FMI53" s="113"/>
      <c r="FMJ53" s="113"/>
      <c r="FMK53" s="113"/>
      <c r="FML53" s="113"/>
      <c r="FMM53" s="113"/>
      <c r="FMN53" s="113"/>
      <c r="FMO53" s="113"/>
      <c r="FMP53" s="113"/>
      <c r="FMQ53" s="113"/>
      <c r="FMR53" s="113"/>
      <c r="FMS53" s="113"/>
      <c r="FMT53" s="113"/>
      <c r="FMU53" s="113"/>
      <c r="FMV53" s="113"/>
      <c r="FMW53" s="113"/>
      <c r="FMX53" s="113"/>
      <c r="FMY53" s="113"/>
      <c r="FMZ53" s="113"/>
      <c r="FNA53" s="113"/>
      <c r="FNB53" s="113"/>
      <c r="FNC53" s="113"/>
      <c r="FND53" s="113"/>
      <c r="FNE53" s="113"/>
      <c r="FNF53" s="113"/>
      <c r="FNG53" s="113"/>
      <c r="FNH53" s="113"/>
      <c r="FNI53" s="113"/>
      <c r="FNJ53" s="113"/>
      <c r="FNK53" s="113"/>
      <c r="FNL53" s="113"/>
      <c r="FNM53" s="113"/>
      <c r="FNN53" s="113"/>
      <c r="FNO53" s="113"/>
      <c r="FNP53" s="113"/>
      <c r="FNQ53" s="113"/>
      <c r="FNR53" s="113"/>
      <c r="FNS53" s="113"/>
      <c r="FNT53" s="113"/>
      <c r="FNU53" s="113"/>
      <c r="FNV53" s="113"/>
      <c r="FNW53" s="113"/>
      <c r="FNX53" s="113"/>
      <c r="FNY53" s="113"/>
      <c r="FNZ53" s="113"/>
      <c r="FOA53" s="113"/>
      <c r="FOB53" s="113"/>
      <c r="FOC53" s="113"/>
      <c r="FOD53" s="113"/>
      <c r="FOE53" s="113"/>
      <c r="FOF53" s="113"/>
      <c r="FOG53" s="113"/>
      <c r="FOH53" s="113"/>
      <c r="FOI53" s="113"/>
      <c r="FOJ53" s="113"/>
      <c r="FOK53" s="113"/>
      <c r="FOL53" s="113"/>
      <c r="FOM53" s="113"/>
      <c r="FON53" s="113"/>
      <c r="FOO53" s="113"/>
      <c r="FOP53" s="113"/>
      <c r="FOQ53" s="113"/>
      <c r="FOR53" s="113"/>
      <c r="FOS53" s="113"/>
      <c r="FOT53" s="113"/>
      <c r="FOU53" s="113"/>
      <c r="FOV53" s="113"/>
      <c r="FOW53" s="113"/>
      <c r="FOX53" s="113"/>
      <c r="FOY53" s="113"/>
      <c r="FOZ53" s="113"/>
      <c r="FPA53" s="113"/>
      <c r="FPB53" s="113"/>
      <c r="FPC53" s="113"/>
      <c r="FPD53" s="113"/>
      <c r="FPE53" s="113"/>
      <c r="FPF53" s="113"/>
      <c r="FPG53" s="113"/>
      <c r="FPH53" s="113"/>
      <c r="FPI53" s="113"/>
      <c r="FPJ53" s="113"/>
      <c r="FPK53" s="113"/>
      <c r="FPL53" s="113"/>
      <c r="FPM53" s="113"/>
      <c r="FPN53" s="113"/>
      <c r="FPO53" s="113"/>
      <c r="FPP53" s="113"/>
      <c r="FPQ53" s="113"/>
      <c r="FPR53" s="113"/>
      <c r="FPS53" s="113"/>
      <c r="FPT53" s="113"/>
      <c r="FPU53" s="113"/>
      <c r="FPV53" s="113"/>
      <c r="FPW53" s="113"/>
      <c r="FPX53" s="113"/>
      <c r="FPY53" s="113"/>
      <c r="FPZ53" s="113"/>
      <c r="FQA53" s="113"/>
      <c r="FQB53" s="113"/>
      <c r="FQC53" s="113"/>
      <c r="FQD53" s="113"/>
      <c r="FQE53" s="113"/>
      <c r="FQF53" s="113"/>
      <c r="FQG53" s="113"/>
      <c r="FQH53" s="113"/>
      <c r="FQI53" s="113"/>
      <c r="FQJ53" s="113"/>
      <c r="FQK53" s="113"/>
      <c r="FQL53" s="113"/>
      <c r="FQM53" s="113"/>
      <c r="FQN53" s="113"/>
      <c r="FQO53" s="113"/>
      <c r="FQP53" s="113"/>
      <c r="FQQ53" s="113"/>
      <c r="FQR53" s="113"/>
      <c r="FQS53" s="113"/>
      <c r="FQT53" s="113"/>
      <c r="FQU53" s="113"/>
      <c r="FQV53" s="113"/>
      <c r="FQW53" s="113"/>
      <c r="FQX53" s="113"/>
      <c r="FQY53" s="113"/>
      <c r="FQZ53" s="113"/>
      <c r="FRA53" s="113"/>
      <c r="FRB53" s="113"/>
      <c r="FRC53" s="113"/>
      <c r="FRD53" s="113"/>
      <c r="FRE53" s="113"/>
      <c r="FRF53" s="113"/>
      <c r="FRG53" s="113"/>
      <c r="FRH53" s="113"/>
      <c r="FRI53" s="113"/>
      <c r="FRJ53" s="113"/>
      <c r="FRK53" s="113"/>
      <c r="FRL53" s="113"/>
      <c r="FRM53" s="113"/>
      <c r="FRN53" s="113"/>
      <c r="FRO53" s="113"/>
      <c r="FRP53" s="113"/>
      <c r="FRQ53" s="113"/>
      <c r="FRR53" s="113"/>
      <c r="FRS53" s="113"/>
      <c r="FRT53" s="113"/>
      <c r="FRU53" s="113"/>
      <c r="FRV53" s="113"/>
      <c r="FRW53" s="113"/>
      <c r="FRX53" s="113"/>
      <c r="FRY53" s="113"/>
      <c r="FRZ53" s="113"/>
      <c r="FSA53" s="113"/>
      <c r="FSB53" s="113"/>
      <c r="FSC53" s="113"/>
      <c r="FSD53" s="113"/>
      <c r="FSE53" s="113"/>
      <c r="FSF53" s="113"/>
      <c r="FSG53" s="113"/>
      <c r="FSH53" s="113"/>
      <c r="FSI53" s="113"/>
      <c r="FSJ53" s="113"/>
      <c r="FSK53" s="113"/>
      <c r="FSL53" s="113"/>
      <c r="FSM53" s="113"/>
      <c r="FSN53" s="113"/>
      <c r="FSO53" s="113"/>
      <c r="FSP53" s="113"/>
      <c r="FSQ53" s="113"/>
      <c r="FSR53" s="113"/>
      <c r="FSS53" s="113"/>
      <c r="FST53" s="113"/>
      <c r="FSU53" s="113"/>
      <c r="FSV53" s="113"/>
      <c r="FSW53" s="113"/>
      <c r="FSX53" s="113"/>
      <c r="FSY53" s="113"/>
      <c r="FSZ53" s="113"/>
      <c r="FTA53" s="113"/>
      <c r="FTB53" s="113"/>
      <c r="FTC53" s="113"/>
      <c r="FTD53" s="113"/>
      <c r="FTE53" s="113"/>
      <c r="FTF53" s="113"/>
      <c r="FTG53" s="113"/>
      <c r="FTH53" s="113"/>
      <c r="FTI53" s="113"/>
      <c r="FTJ53" s="113"/>
      <c r="FTK53" s="113"/>
      <c r="FTL53" s="113"/>
      <c r="FTM53" s="113"/>
      <c r="FTN53" s="113"/>
      <c r="FTO53" s="113"/>
      <c r="FTP53" s="113"/>
      <c r="FTQ53" s="113"/>
      <c r="FTR53" s="113"/>
      <c r="FTS53" s="113"/>
      <c r="FTT53" s="113"/>
      <c r="FTU53" s="113"/>
      <c r="FTV53" s="113"/>
      <c r="FTW53" s="113"/>
      <c r="FTX53" s="113"/>
      <c r="FTY53" s="113"/>
      <c r="FTZ53" s="113"/>
      <c r="FUA53" s="113"/>
      <c r="FUB53" s="113"/>
      <c r="FUC53" s="113"/>
      <c r="FUD53" s="113"/>
      <c r="FUE53" s="113"/>
      <c r="FUF53" s="113"/>
      <c r="FUG53" s="113"/>
      <c r="FUH53" s="113"/>
      <c r="FUI53" s="113"/>
      <c r="FUJ53" s="113"/>
      <c r="FUK53" s="113"/>
      <c r="FUL53" s="113"/>
      <c r="FUM53" s="113"/>
      <c r="FUN53" s="113"/>
      <c r="FUO53" s="113"/>
      <c r="FUP53" s="113"/>
      <c r="FUQ53" s="113"/>
      <c r="FUR53" s="113"/>
      <c r="FUS53" s="113"/>
      <c r="FUT53" s="113"/>
      <c r="FUU53" s="113"/>
      <c r="FUV53" s="113"/>
      <c r="FUW53" s="113"/>
      <c r="FUX53" s="113"/>
      <c r="FUY53" s="113"/>
      <c r="FUZ53" s="113"/>
      <c r="FVA53" s="113"/>
      <c r="FVB53" s="113"/>
      <c r="FVC53" s="113"/>
      <c r="FVD53" s="113"/>
      <c r="FVE53" s="113"/>
      <c r="FVF53" s="113"/>
      <c r="FVG53" s="113"/>
      <c r="FVH53" s="113"/>
      <c r="FVI53" s="113"/>
      <c r="FVJ53" s="113"/>
      <c r="FVK53" s="113"/>
      <c r="FVL53" s="113"/>
      <c r="FVM53" s="113"/>
      <c r="FVN53" s="113"/>
      <c r="FVO53" s="113"/>
      <c r="FVP53" s="113"/>
      <c r="FVQ53" s="113"/>
      <c r="FVR53" s="113"/>
      <c r="FVS53" s="113"/>
      <c r="FVT53" s="113"/>
      <c r="FVU53" s="113"/>
      <c r="FVV53" s="113"/>
      <c r="FVW53" s="113"/>
      <c r="FVX53" s="113"/>
      <c r="FVY53" s="113"/>
      <c r="FVZ53" s="113"/>
      <c r="FWA53" s="113"/>
      <c r="FWB53" s="113"/>
      <c r="FWC53" s="113"/>
      <c r="FWD53" s="113"/>
      <c r="FWE53" s="113"/>
      <c r="FWF53" s="113"/>
      <c r="FWG53" s="113"/>
      <c r="FWH53" s="113"/>
      <c r="FWI53" s="113"/>
      <c r="FWJ53" s="113"/>
      <c r="FWK53" s="113"/>
      <c r="FWL53" s="113"/>
      <c r="FWM53" s="113"/>
      <c r="FWN53" s="113"/>
      <c r="FWO53" s="113"/>
      <c r="FWP53" s="113"/>
      <c r="FWQ53" s="113"/>
      <c r="FWR53" s="113"/>
      <c r="FWS53" s="113"/>
      <c r="FWT53" s="113"/>
      <c r="FWU53" s="113"/>
      <c r="FWV53" s="113"/>
      <c r="FWW53" s="113"/>
      <c r="FWX53" s="113"/>
      <c r="FWY53" s="113"/>
      <c r="FWZ53" s="113"/>
      <c r="FXA53" s="113"/>
      <c r="FXB53" s="113"/>
      <c r="FXC53" s="113"/>
      <c r="FXD53" s="113"/>
      <c r="FXE53" s="113"/>
      <c r="FXF53" s="113"/>
      <c r="FXG53" s="113"/>
      <c r="FXH53" s="113"/>
      <c r="FXI53" s="113"/>
      <c r="FXJ53" s="113"/>
      <c r="FXK53" s="113"/>
      <c r="FXL53" s="113"/>
      <c r="FXM53" s="113"/>
      <c r="FXN53" s="113"/>
      <c r="FXO53" s="113"/>
      <c r="FXP53" s="113"/>
      <c r="FXQ53" s="113"/>
      <c r="FXR53" s="113"/>
      <c r="FXS53" s="113"/>
      <c r="FXT53" s="113"/>
      <c r="FXU53" s="113"/>
      <c r="FXV53" s="113"/>
      <c r="FXW53" s="113"/>
      <c r="FXX53" s="113"/>
      <c r="FXY53" s="113"/>
      <c r="FXZ53" s="113"/>
      <c r="FYA53" s="113"/>
      <c r="FYB53" s="113"/>
      <c r="FYC53" s="113"/>
      <c r="FYD53" s="113"/>
      <c r="FYE53" s="113"/>
      <c r="FYF53" s="113"/>
      <c r="FYG53" s="113"/>
      <c r="FYH53" s="113"/>
      <c r="FYI53" s="113"/>
      <c r="FYJ53" s="113"/>
      <c r="FYK53" s="113"/>
      <c r="FYL53" s="113"/>
      <c r="FYM53" s="113"/>
      <c r="FYN53" s="113"/>
      <c r="FYO53" s="113"/>
      <c r="FYP53" s="113"/>
      <c r="FYQ53" s="113"/>
      <c r="FYR53" s="113"/>
      <c r="FYS53" s="113"/>
      <c r="FYT53" s="113"/>
      <c r="FYU53" s="113"/>
      <c r="FYV53" s="113"/>
      <c r="FYW53" s="113"/>
      <c r="FYX53" s="113"/>
      <c r="FYY53" s="113"/>
      <c r="FYZ53" s="113"/>
      <c r="FZA53" s="113"/>
      <c r="FZB53" s="113"/>
      <c r="FZC53" s="113"/>
      <c r="FZD53" s="113"/>
      <c r="FZE53" s="113"/>
      <c r="FZF53" s="113"/>
      <c r="FZG53" s="113"/>
      <c r="FZH53" s="113"/>
      <c r="FZI53" s="113"/>
      <c r="FZJ53" s="113"/>
      <c r="FZK53" s="113"/>
      <c r="FZL53" s="113"/>
      <c r="FZM53" s="113"/>
      <c r="FZN53" s="113"/>
      <c r="FZO53" s="113"/>
      <c r="FZP53" s="113"/>
      <c r="FZQ53" s="113"/>
      <c r="FZR53" s="113"/>
      <c r="FZS53" s="113"/>
      <c r="FZT53" s="113"/>
      <c r="FZU53" s="113"/>
      <c r="FZV53" s="113"/>
      <c r="FZW53" s="113"/>
      <c r="FZX53" s="113"/>
      <c r="FZY53" s="113"/>
      <c r="FZZ53" s="113"/>
      <c r="GAA53" s="113"/>
      <c r="GAB53" s="113"/>
      <c r="GAC53" s="113"/>
      <c r="GAD53" s="113"/>
      <c r="GAE53" s="113"/>
      <c r="GAF53" s="113"/>
      <c r="GAG53" s="113"/>
      <c r="GAH53" s="113"/>
      <c r="GAI53" s="113"/>
      <c r="GAJ53" s="113"/>
      <c r="GAK53" s="113"/>
      <c r="GAL53" s="113"/>
      <c r="GAM53" s="113"/>
      <c r="GAN53" s="113"/>
      <c r="GAO53" s="113"/>
      <c r="GAP53" s="113"/>
      <c r="GAQ53" s="113"/>
      <c r="GAR53" s="113"/>
      <c r="GAS53" s="113"/>
      <c r="GAT53" s="113"/>
      <c r="GAU53" s="113"/>
      <c r="GAV53" s="113"/>
      <c r="GAW53" s="113"/>
      <c r="GAX53" s="113"/>
      <c r="GAY53" s="113"/>
      <c r="GAZ53" s="113"/>
      <c r="GBA53" s="113"/>
      <c r="GBB53" s="113"/>
      <c r="GBC53" s="113"/>
      <c r="GBD53" s="113"/>
      <c r="GBE53" s="113"/>
      <c r="GBF53" s="113"/>
      <c r="GBG53" s="113"/>
      <c r="GBH53" s="113"/>
      <c r="GBI53" s="113"/>
      <c r="GBJ53" s="113"/>
      <c r="GBK53" s="113"/>
      <c r="GBL53" s="113"/>
      <c r="GBM53" s="113"/>
      <c r="GBN53" s="113"/>
      <c r="GBO53" s="113"/>
      <c r="GBP53" s="113"/>
      <c r="GBQ53" s="113"/>
      <c r="GBR53" s="113"/>
      <c r="GBS53" s="113"/>
      <c r="GBT53" s="113"/>
      <c r="GBU53" s="113"/>
      <c r="GBV53" s="113"/>
      <c r="GBW53" s="113"/>
      <c r="GBX53" s="113"/>
      <c r="GBY53" s="113"/>
      <c r="GBZ53" s="113"/>
      <c r="GCA53" s="113"/>
      <c r="GCB53" s="113"/>
      <c r="GCC53" s="113"/>
      <c r="GCD53" s="113"/>
      <c r="GCE53" s="113"/>
      <c r="GCF53" s="113"/>
      <c r="GCG53" s="113"/>
      <c r="GCH53" s="113"/>
      <c r="GCI53" s="113"/>
      <c r="GCJ53" s="113"/>
      <c r="GCK53" s="113"/>
      <c r="GCL53" s="113"/>
      <c r="GCM53" s="113"/>
      <c r="GCN53" s="113"/>
      <c r="GCO53" s="113"/>
      <c r="GCP53" s="113"/>
      <c r="GCQ53" s="113"/>
      <c r="GCR53" s="113"/>
      <c r="GCS53" s="113"/>
      <c r="GCT53" s="113"/>
      <c r="GCU53" s="113"/>
      <c r="GCV53" s="113"/>
      <c r="GCW53" s="113"/>
      <c r="GCX53" s="113"/>
      <c r="GCY53" s="113"/>
      <c r="GCZ53" s="113"/>
      <c r="GDA53" s="113"/>
      <c r="GDB53" s="113"/>
      <c r="GDC53" s="113"/>
      <c r="GDD53" s="113"/>
      <c r="GDE53" s="113"/>
      <c r="GDF53" s="113"/>
      <c r="GDG53" s="113"/>
      <c r="GDH53" s="113"/>
      <c r="GDI53" s="113"/>
      <c r="GDJ53" s="113"/>
      <c r="GDK53" s="113"/>
      <c r="GDL53" s="113"/>
      <c r="GDM53" s="113"/>
      <c r="GDN53" s="113"/>
      <c r="GDO53" s="113"/>
      <c r="GDP53" s="113"/>
      <c r="GDQ53" s="113"/>
      <c r="GDR53" s="113"/>
      <c r="GDS53" s="113"/>
      <c r="GDT53" s="113"/>
      <c r="GDU53" s="113"/>
      <c r="GDV53" s="113"/>
      <c r="GDW53" s="113"/>
      <c r="GDX53" s="113"/>
      <c r="GDY53" s="113"/>
      <c r="GDZ53" s="113"/>
      <c r="GEA53" s="113"/>
      <c r="GEB53" s="113"/>
      <c r="GEC53" s="113"/>
      <c r="GED53" s="113"/>
      <c r="GEE53" s="113"/>
      <c r="GEF53" s="113"/>
      <c r="GEG53" s="113"/>
      <c r="GEH53" s="113"/>
      <c r="GEI53" s="113"/>
      <c r="GEJ53" s="113"/>
      <c r="GEK53" s="113"/>
      <c r="GEL53" s="113"/>
      <c r="GEM53" s="113"/>
      <c r="GEN53" s="113"/>
      <c r="GEO53" s="113"/>
      <c r="GEP53" s="113"/>
      <c r="GEQ53" s="113"/>
      <c r="GER53" s="113"/>
      <c r="GES53" s="113"/>
      <c r="GET53" s="113"/>
      <c r="GEU53" s="113"/>
      <c r="GEV53" s="113"/>
      <c r="GEW53" s="113"/>
      <c r="GEX53" s="113"/>
      <c r="GEY53" s="113"/>
      <c r="GEZ53" s="113"/>
      <c r="GFA53" s="113"/>
      <c r="GFB53" s="113"/>
      <c r="GFC53" s="113"/>
      <c r="GFD53" s="113"/>
      <c r="GFE53" s="113"/>
      <c r="GFF53" s="113"/>
      <c r="GFG53" s="113"/>
      <c r="GFH53" s="113"/>
      <c r="GFI53" s="113"/>
      <c r="GFJ53" s="113"/>
      <c r="GFK53" s="113"/>
      <c r="GFL53" s="113"/>
      <c r="GFM53" s="113"/>
      <c r="GFN53" s="113"/>
      <c r="GFO53" s="113"/>
      <c r="GFP53" s="113"/>
      <c r="GFQ53" s="113"/>
      <c r="GFR53" s="113"/>
      <c r="GFS53" s="113"/>
      <c r="GFT53" s="113"/>
      <c r="GFU53" s="113"/>
      <c r="GFV53" s="113"/>
      <c r="GFW53" s="113"/>
      <c r="GFX53" s="113"/>
      <c r="GFY53" s="113"/>
      <c r="GFZ53" s="113"/>
      <c r="GGA53" s="113"/>
      <c r="GGB53" s="113"/>
      <c r="GGC53" s="113"/>
      <c r="GGD53" s="113"/>
      <c r="GGE53" s="113"/>
      <c r="GGF53" s="113"/>
      <c r="GGG53" s="113"/>
      <c r="GGH53" s="113"/>
      <c r="GGI53" s="113"/>
      <c r="GGJ53" s="113"/>
      <c r="GGK53" s="113"/>
      <c r="GGL53" s="113"/>
      <c r="GGM53" s="113"/>
      <c r="GGN53" s="113"/>
      <c r="GGO53" s="113"/>
      <c r="GGP53" s="113"/>
      <c r="GGQ53" s="113"/>
      <c r="GGR53" s="113"/>
      <c r="GGS53" s="113"/>
      <c r="GGT53" s="113"/>
      <c r="GGU53" s="113"/>
      <c r="GGV53" s="113"/>
      <c r="GGW53" s="113"/>
      <c r="GGX53" s="113"/>
      <c r="GGY53" s="113"/>
      <c r="GGZ53" s="113"/>
      <c r="GHA53" s="113"/>
      <c r="GHB53" s="113"/>
      <c r="GHC53" s="113"/>
      <c r="GHD53" s="113"/>
      <c r="GHE53" s="113"/>
      <c r="GHF53" s="113"/>
      <c r="GHG53" s="113"/>
      <c r="GHH53" s="113"/>
      <c r="GHI53" s="113"/>
      <c r="GHJ53" s="113"/>
      <c r="GHK53" s="113"/>
      <c r="GHL53" s="113"/>
      <c r="GHM53" s="113"/>
      <c r="GHN53" s="113"/>
      <c r="GHO53" s="113"/>
      <c r="GHP53" s="113"/>
      <c r="GHQ53" s="113"/>
      <c r="GHR53" s="113"/>
      <c r="GHS53" s="113"/>
      <c r="GHT53" s="113"/>
      <c r="GHU53" s="113"/>
      <c r="GHV53" s="113"/>
      <c r="GHW53" s="113"/>
      <c r="GHX53" s="113"/>
      <c r="GHY53" s="113"/>
      <c r="GHZ53" s="113"/>
      <c r="GIA53" s="113"/>
      <c r="GIB53" s="113"/>
      <c r="GIC53" s="113"/>
      <c r="GID53" s="113"/>
      <c r="GIE53" s="113"/>
      <c r="GIF53" s="113"/>
      <c r="GIG53" s="113"/>
      <c r="GIH53" s="113"/>
      <c r="GII53" s="113"/>
      <c r="GIJ53" s="113"/>
      <c r="GIK53" s="113"/>
      <c r="GIL53" s="113"/>
      <c r="GIM53" s="113"/>
      <c r="GIN53" s="113"/>
      <c r="GIO53" s="113"/>
      <c r="GIP53" s="113"/>
      <c r="GIQ53" s="113"/>
      <c r="GIR53" s="113"/>
      <c r="GIS53" s="113"/>
      <c r="GIT53" s="113"/>
      <c r="GIU53" s="113"/>
      <c r="GIV53" s="113"/>
      <c r="GIW53" s="113"/>
      <c r="GIX53" s="113"/>
      <c r="GIY53" s="113"/>
      <c r="GIZ53" s="113"/>
      <c r="GJA53" s="113"/>
      <c r="GJB53" s="113"/>
      <c r="GJC53" s="113"/>
      <c r="GJD53" s="113"/>
      <c r="GJE53" s="113"/>
      <c r="GJF53" s="113"/>
      <c r="GJG53" s="113"/>
      <c r="GJH53" s="113"/>
      <c r="GJI53" s="113"/>
      <c r="GJJ53" s="113"/>
      <c r="GJK53" s="113"/>
      <c r="GJL53" s="113"/>
      <c r="GJM53" s="113"/>
      <c r="GJN53" s="113"/>
      <c r="GJO53" s="113"/>
      <c r="GJP53" s="113"/>
      <c r="GJQ53" s="113"/>
      <c r="GJR53" s="113"/>
      <c r="GJS53" s="113"/>
      <c r="GJT53" s="113"/>
      <c r="GJU53" s="113"/>
      <c r="GJV53" s="113"/>
      <c r="GJW53" s="113"/>
      <c r="GJX53" s="113"/>
      <c r="GJY53" s="113"/>
      <c r="GJZ53" s="113"/>
      <c r="GKA53" s="113"/>
      <c r="GKB53" s="113"/>
      <c r="GKC53" s="113"/>
      <c r="GKD53" s="113"/>
      <c r="GKE53" s="113"/>
      <c r="GKF53" s="113"/>
      <c r="GKG53" s="113"/>
      <c r="GKH53" s="113"/>
      <c r="GKI53" s="113"/>
      <c r="GKJ53" s="113"/>
      <c r="GKK53" s="113"/>
      <c r="GKL53" s="113"/>
      <c r="GKM53" s="113"/>
      <c r="GKN53" s="113"/>
      <c r="GKO53" s="113"/>
      <c r="GKP53" s="113"/>
      <c r="GKQ53" s="113"/>
      <c r="GKR53" s="113"/>
      <c r="GKS53" s="113"/>
      <c r="GKT53" s="113"/>
      <c r="GKU53" s="113"/>
      <c r="GKV53" s="113"/>
      <c r="GKW53" s="113"/>
      <c r="GKX53" s="113"/>
      <c r="GKY53" s="113"/>
      <c r="GKZ53" s="113"/>
      <c r="GLA53" s="113"/>
      <c r="GLB53" s="113"/>
      <c r="GLC53" s="113"/>
      <c r="GLD53" s="113"/>
      <c r="GLE53" s="113"/>
      <c r="GLF53" s="113"/>
      <c r="GLG53" s="113"/>
      <c r="GLH53" s="113"/>
      <c r="GLI53" s="113"/>
      <c r="GLJ53" s="113"/>
      <c r="GLK53" s="113"/>
      <c r="GLL53" s="113"/>
      <c r="GLM53" s="113"/>
      <c r="GLN53" s="113"/>
      <c r="GLO53" s="113"/>
      <c r="GLP53" s="113"/>
      <c r="GLQ53" s="113"/>
      <c r="GLR53" s="113"/>
      <c r="GLS53" s="113"/>
      <c r="GLT53" s="113"/>
      <c r="GLU53" s="113"/>
      <c r="GLV53" s="113"/>
      <c r="GLW53" s="113"/>
      <c r="GLX53" s="113"/>
      <c r="GLY53" s="113"/>
      <c r="GLZ53" s="113"/>
      <c r="GMA53" s="113"/>
      <c r="GMB53" s="113"/>
      <c r="GMC53" s="113"/>
      <c r="GMD53" s="113"/>
      <c r="GME53" s="113"/>
      <c r="GMF53" s="113"/>
      <c r="GMG53" s="113"/>
      <c r="GMH53" s="113"/>
      <c r="GMI53" s="113"/>
      <c r="GMJ53" s="113"/>
      <c r="GMK53" s="113"/>
      <c r="GML53" s="113"/>
      <c r="GMM53" s="113"/>
      <c r="GMN53" s="113"/>
      <c r="GMO53" s="113"/>
      <c r="GMP53" s="113"/>
      <c r="GMQ53" s="113"/>
      <c r="GMR53" s="113"/>
      <c r="GMS53" s="113"/>
      <c r="GMT53" s="113"/>
      <c r="GMU53" s="113"/>
      <c r="GMV53" s="113"/>
      <c r="GMW53" s="113"/>
      <c r="GMX53" s="113"/>
      <c r="GMY53" s="113"/>
      <c r="GMZ53" s="113"/>
      <c r="GNA53" s="113"/>
      <c r="GNB53" s="113"/>
      <c r="GNC53" s="113"/>
      <c r="GND53" s="113"/>
      <c r="GNE53" s="113"/>
      <c r="GNF53" s="113"/>
      <c r="GNG53" s="113"/>
      <c r="GNH53" s="113"/>
      <c r="GNI53" s="113"/>
      <c r="GNJ53" s="113"/>
      <c r="GNK53" s="113"/>
      <c r="GNL53" s="113"/>
      <c r="GNM53" s="113"/>
      <c r="GNN53" s="113"/>
      <c r="GNO53" s="113"/>
      <c r="GNP53" s="113"/>
      <c r="GNQ53" s="113"/>
      <c r="GNR53" s="113"/>
      <c r="GNS53" s="113"/>
      <c r="GNT53" s="113"/>
      <c r="GNU53" s="113"/>
      <c r="GNV53" s="113"/>
      <c r="GNW53" s="113"/>
      <c r="GNX53" s="113"/>
      <c r="GNY53" s="113"/>
      <c r="GNZ53" s="113"/>
      <c r="GOA53" s="113"/>
      <c r="GOB53" s="113"/>
      <c r="GOC53" s="113"/>
      <c r="GOD53" s="113"/>
      <c r="GOE53" s="113"/>
      <c r="GOF53" s="113"/>
      <c r="GOG53" s="113"/>
      <c r="GOH53" s="113"/>
      <c r="GOI53" s="113"/>
      <c r="GOJ53" s="113"/>
      <c r="GOK53" s="113"/>
      <c r="GOL53" s="113"/>
      <c r="GOM53" s="113"/>
      <c r="GON53" s="113"/>
      <c r="GOO53" s="113"/>
      <c r="GOP53" s="113"/>
      <c r="GOQ53" s="113"/>
      <c r="GOR53" s="113"/>
      <c r="GOS53" s="113"/>
      <c r="GOT53" s="113"/>
      <c r="GOU53" s="113"/>
      <c r="GOV53" s="113"/>
      <c r="GOW53" s="113"/>
      <c r="GOX53" s="113"/>
      <c r="GOY53" s="113"/>
      <c r="GOZ53" s="113"/>
      <c r="GPA53" s="113"/>
      <c r="GPB53" s="113"/>
      <c r="GPC53" s="113"/>
      <c r="GPD53" s="113"/>
      <c r="GPE53" s="113"/>
      <c r="GPF53" s="113"/>
      <c r="GPG53" s="113"/>
      <c r="GPH53" s="113"/>
      <c r="GPI53" s="113"/>
      <c r="GPJ53" s="113"/>
      <c r="GPK53" s="113"/>
      <c r="GPL53" s="113"/>
      <c r="GPM53" s="113"/>
      <c r="GPN53" s="113"/>
      <c r="GPO53" s="113"/>
      <c r="GPP53" s="113"/>
      <c r="GPQ53" s="113"/>
      <c r="GPR53" s="113"/>
      <c r="GPS53" s="113"/>
      <c r="GPT53" s="113"/>
      <c r="GPU53" s="113"/>
      <c r="GPV53" s="113"/>
      <c r="GPW53" s="113"/>
      <c r="GPX53" s="113"/>
      <c r="GPY53" s="113"/>
      <c r="GPZ53" s="113"/>
      <c r="GQA53" s="113"/>
      <c r="GQB53" s="113"/>
      <c r="GQC53" s="113"/>
      <c r="GQD53" s="113"/>
      <c r="GQE53" s="113"/>
      <c r="GQF53" s="113"/>
      <c r="GQG53" s="113"/>
      <c r="GQH53" s="113"/>
      <c r="GQI53" s="113"/>
      <c r="GQJ53" s="113"/>
      <c r="GQK53" s="113"/>
      <c r="GQL53" s="113"/>
      <c r="GQM53" s="113"/>
      <c r="GQN53" s="113"/>
      <c r="GQO53" s="113"/>
      <c r="GQP53" s="113"/>
      <c r="GQQ53" s="113"/>
      <c r="GQR53" s="113"/>
      <c r="GQS53" s="113"/>
      <c r="GQT53" s="113"/>
      <c r="GQU53" s="113"/>
      <c r="GQV53" s="113"/>
      <c r="GQW53" s="113"/>
      <c r="GQX53" s="113"/>
      <c r="GQY53" s="113"/>
      <c r="GQZ53" s="113"/>
      <c r="GRA53" s="113"/>
      <c r="GRB53" s="113"/>
      <c r="GRC53" s="113"/>
      <c r="GRD53" s="113"/>
      <c r="GRE53" s="113"/>
      <c r="GRF53" s="113"/>
      <c r="GRG53" s="113"/>
      <c r="GRH53" s="113"/>
      <c r="GRI53" s="113"/>
      <c r="GRJ53" s="113"/>
      <c r="GRK53" s="113"/>
      <c r="GRL53" s="113"/>
      <c r="GRM53" s="113"/>
      <c r="GRN53" s="113"/>
      <c r="GRO53" s="113"/>
      <c r="GRP53" s="113"/>
      <c r="GRQ53" s="113"/>
      <c r="GRR53" s="113"/>
      <c r="GRS53" s="113"/>
      <c r="GRT53" s="113"/>
      <c r="GRU53" s="113"/>
      <c r="GRV53" s="113"/>
      <c r="GRW53" s="113"/>
      <c r="GRX53" s="113"/>
      <c r="GRY53" s="113"/>
      <c r="GRZ53" s="113"/>
      <c r="GSA53" s="113"/>
      <c r="GSB53" s="113"/>
      <c r="GSC53" s="113"/>
      <c r="GSD53" s="113"/>
      <c r="GSE53" s="113"/>
      <c r="GSF53" s="113"/>
      <c r="GSG53" s="113"/>
      <c r="GSH53" s="113"/>
      <c r="GSI53" s="113"/>
      <c r="GSJ53" s="113"/>
      <c r="GSK53" s="113"/>
      <c r="GSL53" s="113"/>
      <c r="GSM53" s="113"/>
      <c r="GSN53" s="113"/>
      <c r="GSO53" s="113"/>
      <c r="GSP53" s="113"/>
      <c r="GSQ53" s="113"/>
      <c r="GSR53" s="113"/>
      <c r="GSS53" s="113"/>
      <c r="GST53" s="113"/>
      <c r="GSU53" s="113"/>
      <c r="GSV53" s="113"/>
      <c r="GSW53" s="113"/>
      <c r="GSX53" s="113"/>
      <c r="GSY53" s="113"/>
      <c r="GSZ53" s="113"/>
      <c r="GTA53" s="113"/>
      <c r="GTB53" s="113"/>
      <c r="GTC53" s="113"/>
      <c r="GTD53" s="113"/>
      <c r="GTE53" s="113"/>
      <c r="GTF53" s="113"/>
      <c r="GTG53" s="113"/>
      <c r="GTH53" s="113"/>
      <c r="GTI53" s="113"/>
      <c r="GTJ53" s="113"/>
      <c r="GTK53" s="113"/>
      <c r="GTL53" s="113"/>
      <c r="GTM53" s="113"/>
      <c r="GTN53" s="113"/>
      <c r="GTO53" s="113"/>
      <c r="GTP53" s="113"/>
      <c r="GTQ53" s="113"/>
      <c r="GTR53" s="113"/>
      <c r="GTS53" s="113"/>
      <c r="GTT53" s="113"/>
      <c r="GTU53" s="113"/>
      <c r="GTV53" s="113"/>
      <c r="GTW53" s="113"/>
      <c r="GTX53" s="113"/>
      <c r="GTY53" s="113"/>
      <c r="GTZ53" s="113"/>
      <c r="GUA53" s="113"/>
      <c r="GUB53" s="113"/>
      <c r="GUC53" s="113"/>
      <c r="GUD53" s="113"/>
      <c r="GUE53" s="113"/>
      <c r="GUF53" s="113"/>
      <c r="GUG53" s="113"/>
      <c r="GUH53" s="113"/>
      <c r="GUI53" s="113"/>
      <c r="GUJ53" s="113"/>
      <c r="GUK53" s="113"/>
      <c r="GUL53" s="113"/>
      <c r="GUM53" s="113"/>
      <c r="GUN53" s="113"/>
      <c r="GUO53" s="113"/>
      <c r="GUP53" s="113"/>
      <c r="GUQ53" s="113"/>
      <c r="GUR53" s="113"/>
      <c r="GUS53" s="113"/>
      <c r="GUT53" s="113"/>
      <c r="GUU53" s="113"/>
      <c r="GUV53" s="113"/>
      <c r="GUW53" s="113"/>
      <c r="GUX53" s="113"/>
      <c r="GUY53" s="113"/>
      <c r="GUZ53" s="113"/>
      <c r="GVA53" s="113"/>
      <c r="GVB53" s="113"/>
      <c r="GVC53" s="113"/>
      <c r="GVD53" s="113"/>
      <c r="GVE53" s="113"/>
      <c r="GVF53" s="113"/>
      <c r="GVG53" s="113"/>
      <c r="GVH53" s="113"/>
      <c r="GVI53" s="113"/>
      <c r="GVJ53" s="113"/>
      <c r="GVK53" s="113"/>
      <c r="GVL53" s="113"/>
      <c r="GVM53" s="113"/>
      <c r="GVN53" s="113"/>
      <c r="GVO53" s="113"/>
      <c r="GVP53" s="113"/>
      <c r="GVQ53" s="113"/>
      <c r="GVR53" s="113"/>
      <c r="GVS53" s="113"/>
      <c r="GVT53" s="113"/>
      <c r="GVU53" s="113"/>
      <c r="GVV53" s="113"/>
      <c r="GVW53" s="113"/>
      <c r="GVX53" s="113"/>
      <c r="GVY53" s="113"/>
      <c r="GVZ53" s="113"/>
      <c r="GWA53" s="113"/>
      <c r="GWB53" s="113"/>
      <c r="GWC53" s="113"/>
      <c r="GWD53" s="113"/>
      <c r="GWE53" s="113"/>
      <c r="GWF53" s="113"/>
      <c r="GWG53" s="113"/>
      <c r="GWH53" s="113"/>
      <c r="GWI53" s="113"/>
      <c r="GWJ53" s="113"/>
      <c r="GWK53" s="113"/>
      <c r="GWL53" s="113"/>
      <c r="GWM53" s="113"/>
      <c r="GWN53" s="113"/>
      <c r="GWO53" s="113"/>
      <c r="GWP53" s="113"/>
      <c r="GWQ53" s="113"/>
      <c r="GWR53" s="113"/>
      <c r="GWS53" s="113"/>
      <c r="GWT53" s="113"/>
      <c r="GWU53" s="113"/>
      <c r="GWV53" s="113"/>
      <c r="GWW53" s="113"/>
      <c r="GWX53" s="113"/>
      <c r="GWY53" s="113"/>
      <c r="GWZ53" s="113"/>
      <c r="GXA53" s="113"/>
      <c r="GXB53" s="113"/>
      <c r="GXC53" s="113"/>
      <c r="GXD53" s="113"/>
      <c r="GXE53" s="113"/>
      <c r="GXF53" s="113"/>
      <c r="GXG53" s="113"/>
      <c r="GXH53" s="113"/>
      <c r="GXI53" s="113"/>
      <c r="GXJ53" s="113"/>
      <c r="GXK53" s="113"/>
      <c r="GXL53" s="113"/>
      <c r="GXM53" s="113"/>
      <c r="GXN53" s="113"/>
      <c r="GXO53" s="113"/>
      <c r="GXP53" s="113"/>
      <c r="GXQ53" s="113"/>
      <c r="GXR53" s="113"/>
      <c r="GXS53" s="113"/>
      <c r="GXT53" s="113"/>
      <c r="GXU53" s="113"/>
      <c r="GXV53" s="113"/>
      <c r="GXW53" s="113"/>
      <c r="GXX53" s="113"/>
      <c r="GXY53" s="113"/>
      <c r="GXZ53" s="113"/>
      <c r="GYA53" s="113"/>
      <c r="GYB53" s="113"/>
      <c r="GYC53" s="113"/>
      <c r="GYD53" s="113"/>
      <c r="GYE53" s="113"/>
      <c r="GYF53" s="113"/>
      <c r="GYG53" s="113"/>
      <c r="GYH53" s="113"/>
      <c r="GYI53" s="113"/>
      <c r="GYJ53" s="113"/>
      <c r="GYK53" s="113"/>
      <c r="GYL53" s="113"/>
      <c r="GYM53" s="113"/>
      <c r="GYN53" s="113"/>
      <c r="GYO53" s="113"/>
      <c r="GYP53" s="113"/>
      <c r="GYQ53" s="113"/>
      <c r="GYR53" s="113"/>
      <c r="GYS53" s="113"/>
      <c r="GYT53" s="113"/>
      <c r="GYU53" s="113"/>
      <c r="GYV53" s="113"/>
      <c r="GYW53" s="113"/>
      <c r="GYX53" s="113"/>
      <c r="GYY53" s="113"/>
      <c r="GYZ53" s="113"/>
      <c r="GZA53" s="113"/>
      <c r="GZB53" s="113"/>
      <c r="GZC53" s="113"/>
      <c r="GZD53" s="113"/>
      <c r="GZE53" s="113"/>
      <c r="GZF53" s="113"/>
      <c r="GZG53" s="113"/>
      <c r="GZH53" s="113"/>
      <c r="GZI53" s="113"/>
      <c r="GZJ53" s="113"/>
      <c r="GZK53" s="113"/>
      <c r="GZL53" s="113"/>
      <c r="GZM53" s="113"/>
      <c r="GZN53" s="113"/>
      <c r="GZO53" s="113"/>
      <c r="GZP53" s="113"/>
      <c r="GZQ53" s="113"/>
      <c r="GZR53" s="113"/>
      <c r="GZS53" s="113"/>
      <c r="GZT53" s="113"/>
      <c r="GZU53" s="113"/>
      <c r="GZV53" s="113"/>
      <c r="GZW53" s="113"/>
      <c r="GZX53" s="113"/>
      <c r="GZY53" s="113"/>
      <c r="GZZ53" s="113"/>
      <c r="HAA53" s="113"/>
      <c r="HAB53" s="113"/>
      <c r="HAC53" s="113"/>
      <c r="HAD53" s="113"/>
      <c r="HAE53" s="113"/>
      <c r="HAF53" s="113"/>
      <c r="HAG53" s="113"/>
      <c r="HAH53" s="113"/>
      <c r="HAI53" s="113"/>
      <c r="HAJ53" s="113"/>
      <c r="HAK53" s="113"/>
      <c r="HAL53" s="113"/>
      <c r="HAM53" s="113"/>
      <c r="HAN53" s="113"/>
      <c r="HAO53" s="113"/>
      <c r="HAP53" s="113"/>
      <c r="HAQ53" s="113"/>
      <c r="HAR53" s="113"/>
      <c r="HAS53" s="113"/>
      <c r="HAT53" s="113"/>
      <c r="HAU53" s="113"/>
      <c r="HAV53" s="113"/>
      <c r="HAW53" s="113"/>
      <c r="HAX53" s="113"/>
      <c r="HAY53" s="113"/>
      <c r="HAZ53" s="113"/>
      <c r="HBA53" s="113"/>
      <c r="HBB53" s="113"/>
      <c r="HBC53" s="113"/>
      <c r="HBD53" s="113"/>
      <c r="HBE53" s="113"/>
      <c r="HBF53" s="113"/>
      <c r="HBG53" s="113"/>
      <c r="HBH53" s="113"/>
      <c r="HBI53" s="113"/>
      <c r="HBJ53" s="113"/>
      <c r="HBK53" s="113"/>
      <c r="HBL53" s="113"/>
      <c r="HBM53" s="113"/>
      <c r="HBN53" s="113"/>
      <c r="HBO53" s="113"/>
      <c r="HBP53" s="113"/>
      <c r="HBQ53" s="113"/>
      <c r="HBR53" s="113"/>
      <c r="HBS53" s="113"/>
      <c r="HBT53" s="113"/>
      <c r="HBU53" s="113"/>
      <c r="HBV53" s="113"/>
      <c r="HBW53" s="113"/>
      <c r="HBX53" s="113"/>
      <c r="HBY53" s="113"/>
      <c r="HBZ53" s="113"/>
      <c r="HCA53" s="113"/>
      <c r="HCB53" s="113"/>
      <c r="HCC53" s="113"/>
      <c r="HCD53" s="113"/>
      <c r="HCE53" s="113"/>
      <c r="HCF53" s="113"/>
      <c r="HCG53" s="113"/>
      <c r="HCH53" s="113"/>
      <c r="HCI53" s="113"/>
      <c r="HCJ53" s="113"/>
      <c r="HCK53" s="113"/>
      <c r="HCL53" s="113"/>
      <c r="HCM53" s="113"/>
      <c r="HCN53" s="113"/>
      <c r="HCO53" s="113"/>
      <c r="HCP53" s="113"/>
      <c r="HCQ53" s="113"/>
      <c r="HCR53" s="113"/>
      <c r="HCS53" s="113"/>
      <c r="HCT53" s="113"/>
      <c r="HCU53" s="113"/>
      <c r="HCV53" s="113"/>
      <c r="HCW53" s="113"/>
      <c r="HCX53" s="113"/>
      <c r="HCY53" s="113"/>
      <c r="HCZ53" s="113"/>
      <c r="HDA53" s="113"/>
      <c r="HDB53" s="113"/>
      <c r="HDC53" s="113"/>
      <c r="HDD53" s="113"/>
      <c r="HDE53" s="113"/>
      <c r="HDF53" s="113"/>
      <c r="HDG53" s="113"/>
      <c r="HDH53" s="113"/>
      <c r="HDI53" s="113"/>
      <c r="HDJ53" s="113"/>
      <c r="HDK53" s="113"/>
      <c r="HDL53" s="113"/>
      <c r="HDM53" s="113"/>
      <c r="HDN53" s="113"/>
      <c r="HDO53" s="113"/>
      <c r="HDP53" s="113"/>
      <c r="HDQ53" s="113"/>
      <c r="HDR53" s="113"/>
      <c r="HDS53" s="113"/>
      <c r="HDT53" s="113"/>
      <c r="HDU53" s="113"/>
      <c r="HDV53" s="113"/>
      <c r="HDW53" s="113"/>
      <c r="HDX53" s="113"/>
      <c r="HDY53" s="113"/>
      <c r="HDZ53" s="113"/>
      <c r="HEA53" s="113"/>
      <c r="HEB53" s="113"/>
      <c r="HEC53" s="113"/>
      <c r="HED53" s="113"/>
      <c r="HEE53" s="113"/>
      <c r="HEF53" s="113"/>
      <c r="HEG53" s="113"/>
      <c r="HEH53" s="113"/>
      <c r="HEI53" s="113"/>
      <c r="HEJ53" s="113"/>
      <c r="HEK53" s="113"/>
      <c r="HEL53" s="113"/>
      <c r="HEM53" s="113"/>
      <c r="HEN53" s="113"/>
      <c r="HEO53" s="113"/>
      <c r="HEP53" s="113"/>
      <c r="HEQ53" s="113"/>
      <c r="HER53" s="113"/>
      <c r="HES53" s="113"/>
      <c r="HET53" s="113"/>
      <c r="HEU53" s="113"/>
      <c r="HEV53" s="113"/>
      <c r="HEW53" s="113"/>
      <c r="HEX53" s="113"/>
      <c r="HEY53" s="113"/>
      <c r="HEZ53" s="113"/>
      <c r="HFA53" s="113"/>
      <c r="HFB53" s="113"/>
      <c r="HFC53" s="113"/>
      <c r="HFD53" s="113"/>
      <c r="HFE53" s="113"/>
      <c r="HFF53" s="113"/>
      <c r="HFG53" s="113"/>
      <c r="HFH53" s="113"/>
      <c r="HFI53" s="113"/>
      <c r="HFJ53" s="113"/>
      <c r="HFK53" s="113"/>
      <c r="HFL53" s="113"/>
      <c r="HFM53" s="113"/>
      <c r="HFN53" s="113"/>
      <c r="HFO53" s="113"/>
      <c r="HFP53" s="113"/>
      <c r="HFQ53" s="113"/>
      <c r="HFR53" s="113"/>
      <c r="HFS53" s="113"/>
      <c r="HFT53" s="113"/>
      <c r="HFU53" s="113"/>
      <c r="HFV53" s="113"/>
      <c r="HFW53" s="113"/>
      <c r="HFX53" s="113"/>
      <c r="HFY53" s="113"/>
      <c r="HFZ53" s="113"/>
      <c r="HGA53" s="113"/>
      <c r="HGB53" s="113"/>
      <c r="HGC53" s="113"/>
      <c r="HGD53" s="113"/>
      <c r="HGE53" s="113"/>
      <c r="HGF53" s="113"/>
      <c r="HGG53" s="113"/>
      <c r="HGH53" s="113"/>
      <c r="HGI53" s="113"/>
      <c r="HGJ53" s="113"/>
      <c r="HGK53" s="113"/>
      <c r="HGL53" s="113"/>
      <c r="HGM53" s="113"/>
      <c r="HGN53" s="113"/>
      <c r="HGO53" s="113"/>
      <c r="HGP53" s="113"/>
      <c r="HGQ53" s="113"/>
      <c r="HGR53" s="113"/>
      <c r="HGS53" s="113"/>
      <c r="HGT53" s="113"/>
      <c r="HGU53" s="113"/>
      <c r="HGV53" s="113"/>
      <c r="HGW53" s="113"/>
      <c r="HGX53" s="113"/>
      <c r="HGY53" s="113"/>
      <c r="HGZ53" s="113"/>
      <c r="HHA53" s="113"/>
      <c r="HHB53" s="113"/>
      <c r="HHC53" s="113"/>
      <c r="HHD53" s="113"/>
      <c r="HHE53" s="113"/>
      <c r="HHF53" s="113"/>
      <c r="HHG53" s="113"/>
      <c r="HHH53" s="113"/>
      <c r="HHI53" s="113"/>
      <c r="HHJ53" s="113"/>
      <c r="HHK53" s="113"/>
      <c r="HHL53" s="113"/>
      <c r="HHM53" s="113"/>
      <c r="HHN53" s="113"/>
      <c r="HHO53" s="113"/>
      <c r="HHP53" s="113"/>
      <c r="HHQ53" s="113"/>
      <c r="HHR53" s="113"/>
      <c r="HHS53" s="113"/>
      <c r="HHT53" s="113"/>
      <c r="HHU53" s="113"/>
      <c r="HHV53" s="113"/>
      <c r="HHW53" s="113"/>
      <c r="HHX53" s="113"/>
      <c r="HHY53" s="113"/>
      <c r="HHZ53" s="113"/>
      <c r="HIA53" s="113"/>
      <c r="HIB53" s="113"/>
      <c r="HIC53" s="113"/>
      <c r="HID53" s="113"/>
      <c r="HIE53" s="113"/>
      <c r="HIF53" s="113"/>
      <c r="HIG53" s="113"/>
      <c r="HIH53" s="113"/>
      <c r="HII53" s="113"/>
      <c r="HIJ53" s="113"/>
      <c r="HIK53" s="113"/>
      <c r="HIL53" s="113"/>
      <c r="HIM53" s="113"/>
      <c r="HIN53" s="113"/>
      <c r="HIO53" s="113"/>
      <c r="HIP53" s="113"/>
      <c r="HIQ53" s="113"/>
      <c r="HIR53" s="113"/>
      <c r="HIS53" s="113"/>
      <c r="HIT53" s="113"/>
      <c r="HIU53" s="113"/>
      <c r="HIV53" s="113"/>
      <c r="HIW53" s="113"/>
      <c r="HIX53" s="113"/>
      <c r="HIY53" s="113"/>
      <c r="HIZ53" s="113"/>
      <c r="HJA53" s="113"/>
      <c r="HJB53" s="113"/>
      <c r="HJC53" s="113"/>
      <c r="HJD53" s="113"/>
      <c r="HJE53" s="113"/>
      <c r="HJF53" s="113"/>
      <c r="HJG53" s="113"/>
      <c r="HJH53" s="113"/>
      <c r="HJI53" s="113"/>
      <c r="HJJ53" s="113"/>
      <c r="HJK53" s="113"/>
      <c r="HJL53" s="113"/>
      <c r="HJM53" s="113"/>
      <c r="HJN53" s="113"/>
      <c r="HJO53" s="113"/>
      <c r="HJP53" s="113"/>
      <c r="HJQ53" s="113"/>
      <c r="HJR53" s="113"/>
      <c r="HJS53" s="113"/>
      <c r="HJT53" s="113"/>
      <c r="HJU53" s="113"/>
      <c r="HJV53" s="113"/>
      <c r="HJW53" s="113"/>
      <c r="HJX53" s="113"/>
      <c r="HJY53" s="113"/>
      <c r="HJZ53" s="113"/>
      <c r="HKA53" s="113"/>
      <c r="HKB53" s="113"/>
      <c r="HKC53" s="113"/>
      <c r="HKD53" s="113"/>
      <c r="HKE53" s="113"/>
      <c r="HKF53" s="113"/>
      <c r="HKG53" s="113"/>
      <c r="HKH53" s="113"/>
      <c r="HKI53" s="113"/>
      <c r="HKJ53" s="113"/>
      <c r="HKK53" s="113"/>
      <c r="HKL53" s="113"/>
      <c r="HKM53" s="113"/>
      <c r="HKN53" s="113"/>
      <c r="HKO53" s="113"/>
      <c r="HKP53" s="113"/>
      <c r="HKQ53" s="113"/>
      <c r="HKR53" s="113"/>
      <c r="HKS53" s="113"/>
      <c r="HKT53" s="113"/>
      <c r="HKU53" s="113"/>
      <c r="HKV53" s="113"/>
      <c r="HKW53" s="113"/>
      <c r="HKX53" s="113"/>
      <c r="HKY53" s="113"/>
      <c r="HKZ53" s="113"/>
      <c r="HLA53" s="113"/>
      <c r="HLB53" s="113"/>
      <c r="HLC53" s="113"/>
      <c r="HLD53" s="113"/>
      <c r="HLE53" s="113"/>
      <c r="HLF53" s="113"/>
      <c r="HLG53" s="113"/>
      <c r="HLH53" s="113"/>
      <c r="HLI53" s="113"/>
      <c r="HLJ53" s="113"/>
      <c r="HLK53" s="113"/>
      <c r="HLL53" s="113"/>
      <c r="HLM53" s="113"/>
      <c r="HLN53" s="113"/>
      <c r="HLO53" s="113"/>
      <c r="HLP53" s="113"/>
      <c r="HLQ53" s="113"/>
      <c r="HLR53" s="113"/>
      <c r="HLS53" s="113"/>
      <c r="HLT53" s="113"/>
      <c r="HLU53" s="113"/>
      <c r="HLV53" s="113"/>
      <c r="HLW53" s="113"/>
      <c r="HLX53" s="113"/>
      <c r="HLY53" s="113"/>
      <c r="HLZ53" s="113"/>
      <c r="HMA53" s="113"/>
      <c r="HMB53" s="113"/>
      <c r="HMC53" s="113"/>
      <c r="HMD53" s="113"/>
      <c r="HME53" s="113"/>
      <c r="HMF53" s="113"/>
      <c r="HMG53" s="113"/>
      <c r="HMH53" s="113"/>
      <c r="HMI53" s="113"/>
      <c r="HMJ53" s="113"/>
      <c r="HMK53" s="113"/>
      <c r="HML53" s="113"/>
      <c r="HMM53" s="113"/>
      <c r="HMN53" s="113"/>
      <c r="HMO53" s="113"/>
      <c r="HMP53" s="113"/>
      <c r="HMQ53" s="113"/>
      <c r="HMR53" s="113"/>
      <c r="HMS53" s="113"/>
      <c r="HMT53" s="113"/>
      <c r="HMU53" s="113"/>
      <c r="HMV53" s="113"/>
      <c r="HMW53" s="113"/>
      <c r="HMX53" s="113"/>
      <c r="HMY53" s="113"/>
      <c r="HMZ53" s="113"/>
      <c r="HNA53" s="113"/>
      <c r="HNB53" s="113"/>
      <c r="HNC53" s="113"/>
      <c r="HND53" s="113"/>
      <c r="HNE53" s="113"/>
      <c r="HNF53" s="113"/>
      <c r="HNG53" s="113"/>
      <c r="HNH53" s="113"/>
      <c r="HNI53" s="113"/>
      <c r="HNJ53" s="113"/>
      <c r="HNK53" s="113"/>
      <c r="HNL53" s="113"/>
      <c r="HNM53" s="113"/>
      <c r="HNN53" s="113"/>
      <c r="HNO53" s="113"/>
      <c r="HNP53" s="113"/>
      <c r="HNQ53" s="113"/>
      <c r="HNR53" s="113"/>
      <c r="HNS53" s="113"/>
      <c r="HNT53" s="113"/>
      <c r="HNU53" s="113"/>
      <c r="HNV53" s="113"/>
      <c r="HNW53" s="113"/>
      <c r="HNX53" s="113"/>
      <c r="HNY53" s="113"/>
      <c r="HNZ53" s="113"/>
      <c r="HOA53" s="113"/>
      <c r="HOB53" s="113"/>
      <c r="HOC53" s="113"/>
      <c r="HOD53" s="113"/>
      <c r="HOE53" s="113"/>
      <c r="HOF53" s="113"/>
      <c r="HOG53" s="113"/>
      <c r="HOH53" s="113"/>
      <c r="HOI53" s="113"/>
      <c r="HOJ53" s="113"/>
      <c r="HOK53" s="113"/>
      <c r="HOL53" s="113"/>
      <c r="HOM53" s="113"/>
      <c r="HON53" s="113"/>
      <c r="HOO53" s="113"/>
      <c r="HOP53" s="113"/>
      <c r="HOQ53" s="113"/>
      <c r="HOR53" s="113"/>
      <c r="HOS53" s="113"/>
      <c r="HOT53" s="113"/>
      <c r="HOU53" s="113"/>
      <c r="HOV53" s="113"/>
      <c r="HOW53" s="113"/>
      <c r="HOX53" s="113"/>
      <c r="HOY53" s="113"/>
      <c r="HOZ53" s="113"/>
      <c r="HPA53" s="113"/>
      <c r="HPB53" s="113"/>
      <c r="HPC53" s="113"/>
      <c r="HPD53" s="113"/>
      <c r="HPE53" s="113"/>
      <c r="HPF53" s="113"/>
      <c r="HPG53" s="113"/>
      <c r="HPH53" s="113"/>
      <c r="HPI53" s="113"/>
      <c r="HPJ53" s="113"/>
      <c r="HPK53" s="113"/>
      <c r="HPL53" s="113"/>
      <c r="HPM53" s="113"/>
      <c r="HPN53" s="113"/>
      <c r="HPO53" s="113"/>
      <c r="HPP53" s="113"/>
      <c r="HPQ53" s="113"/>
      <c r="HPR53" s="113"/>
      <c r="HPS53" s="113"/>
      <c r="HPT53" s="113"/>
      <c r="HPU53" s="113"/>
      <c r="HPV53" s="113"/>
      <c r="HPW53" s="113"/>
      <c r="HPX53" s="113"/>
      <c r="HPY53" s="113"/>
      <c r="HPZ53" s="113"/>
      <c r="HQA53" s="113"/>
      <c r="HQB53" s="113"/>
      <c r="HQC53" s="113"/>
      <c r="HQD53" s="113"/>
      <c r="HQE53" s="113"/>
      <c r="HQF53" s="113"/>
      <c r="HQG53" s="113"/>
      <c r="HQH53" s="113"/>
      <c r="HQI53" s="113"/>
      <c r="HQJ53" s="113"/>
      <c r="HQK53" s="113"/>
      <c r="HQL53" s="113"/>
      <c r="HQM53" s="113"/>
      <c r="HQN53" s="113"/>
      <c r="HQO53" s="113"/>
      <c r="HQP53" s="113"/>
      <c r="HQQ53" s="113"/>
      <c r="HQR53" s="113"/>
      <c r="HQS53" s="113"/>
      <c r="HQT53" s="113"/>
      <c r="HQU53" s="113"/>
      <c r="HQV53" s="113"/>
      <c r="HQW53" s="113"/>
      <c r="HQX53" s="113"/>
      <c r="HQY53" s="113"/>
      <c r="HQZ53" s="113"/>
      <c r="HRA53" s="113"/>
      <c r="HRB53" s="113"/>
      <c r="HRC53" s="113"/>
      <c r="HRD53" s="113"/>
      <c r="HRE53" s="113"/>
      <c r="HRF53" s="113"/>
      <c r="HRG53" s="113"/>
      <c r="HRH53" s="113"/>
      <c r="HRI53" s="113"/>
      <c r="HRJ53" s="113"/>
      <c r="HRK53" s="113"/>
      <c r="HRL53" s="113"/>
      <c r="HRM53" s="113"/>
      <c r="HRN53" s="113"/>
      <c r="HRO53" s="113"/>
      <c r="HRP53" s="113"/>
      <c r="HRQ53" s="113"/>
      <c r="HRR53" s="113"/>
      <c r="HRS53" s="113"/>
      <c r="HRT53" s="113"/>
      <c r="HRU53" s="113"/>
      <c r="HRV53" s="113"/>
      <c r="HRW53" s="113"/>
      <c r="HRX53" s="113"/>
      <c r="HRY53" s="113"/>
      <c r="HRZ53" s="113"/>
      <c r="HSA53" s="113"/>
      <c r="HSB53" s="113"/>
      <c r="HSC53" s="113"/>
      <c r="HSD53" s="113"/>
      <c r="HSE53" s="113"/>
      <c r="HSF53" s="113"/>
      <c r="HSG53" s="113"/>
      <c r="HSH53" s="113"/>
      <c r="HSI53" s="113"/>
      <c r="HSJ53" s="113"/>
      <c r="HSK53" s="113"/>
      <c r="HSL53" s="113"/>
      <c r="HSM53" s="113"/>
      <c r="HSN53" s="113"/>
      <c r="HSO53" s="113"/>
      <c r="HSP53" s="113"/>
      <c r="HSQ53" s="113"/>
      <c r="HSR53" s="113"/>
      <c r="HSS53" s="113"/>
      <c r="HST53" s="113"/>
      <c r="HSU53" s="113"/>
      <c r="HSV53" s="113"/>
      <c r="HSW53" s="113"/>
      <c r="HSX53" s="113"/>
      <c r="HSY53" s="113"/>
      <c r="HSZ53" s="113"/>
      <c r="HTA53" s="113"/>
      <c r="HTB53" s="113"/>
      <c r="HTC53" s="113"/>
      <c r="HTD53" s="113"/>
      <c r="HTE53" s="113"/>
      <c r="HTF53" s="113"/>
      <c r="HTG53" s="113"/>
      <c r="HTH53" s="113"/>
      <c r="HTI53" s="113"/>
      <c r="HTJ53" s="113"/>
      <c r="HTK53" s="113"/>
      <c r="HTL53" s="113"/>
      <c r="HTM53" s="113"/>
      <c r="HTN53" s="113"/>
      <c r="HTO53" s="113"/>
      <c r="HTP53" s="113"/>
      <c r="HTQ53" s="113"/>
      <c r="HTR53" s="113"/>
      <c r="HTS53" s="113"/>
      <c r="HTT53" s="113"/>
      <c r="HTU53" s="113"/>
      <c r="HTV53" s="113"/>
      <c r="HTW53" s="113"/>
      <c r="HTX53" s="113"/>
      <c r="HTY53" s="113"/>
      <c r="HTZ53" s="113"/>
      <c r="HUA53" s="113"/>
      <c r="HUB53" s="113"/>
      <c r="HUC53" s="113"/>
      <c r="HUD53" s="113"/>
      <c r="HUE53" s="113"/>
      <c r="HUF53" s="113"/>
      <c r="HUG53" s="113"/>
      <c r="HUH53" s="113"/>
      <c r="HUI53" s="113"/>
      <c r="HUJ53" s="113"/>
      <c r="HUK53" s="113"/>
      <c r="HUL53" s="113"/>
      <c r="HUM53" s="113"/>
      <c r="HUN53" s="113"/>
      <c r="HUO53" s="113"/>
      <c r="HUP53" s="113"/>
      <c r="HUQ53" s="113"/>
      <c r="HUR53" s="113"/>
      <c r="HUS53" s="113"/>
      <c r="HUT53" s="113"/>
      <c r="HUU53" s="113"/>
      <c r="HUV53" s="113"/>
      <c r="HUW53" s="113"/>
      <c r="HUX53" s="113"/>
      <c r="HUY53" s="113"/>
      <c r="HUZ53" s="113"/>
      <c r="HVA53" s="113"/>
      <c r="HVB53" s="113"/>
      <c r="HVC53" s="113"/>
      <c r="HVD53" s="113"/>
      <c r="HVE53" s="113"/>
      <c r="HVF53" s="113"/>
      <c r="HVG53" s="113"/>
      <c r="HVH53" s="113"/>
      <c r="HVI53" s="113"/>
      <c r="HVJ53" s="113"/>
      <c r="HVK53" s="113"/>
      <c r="HVL53" s="113"/>
      <c r="HVM53" s="113"/>
      <c r="HVN53" s="113"/>
      <c r="HVO53" s="113"/>
      <c r="HVP53" s="113"/>
      <c r="HVQ53" s="113"/>
      <c r="HVR53" s="113"/>
      <c r="HVS53" s="113"/>
      <c r="HVT53" s="113"/>
      <c r="HVU53" s="113"/>
      <c r="HVV53" s="113"/>
      <c r="HVW53" s="113"/>
      <c r="HVX53" s="113"/>
      <c r="HVY53" s="113"/>
      <c r="HVZ53" s="113"/>
      <c r="HWA53" s="113"/>
      <c r="HWB53" s="113"/>
      <c r="HWC53" s="113"/>
      <c r="HWD53" s="113"/>
      <c r="HWE53" s="113"/>
      <c r="HWF53" s="113"/>
      <c r="HWG53" s="113"/>
      <c r="HWH53" s="113"/>
      <c r="HWI53" s="113"/>
      <c r="HWJ53" s="113"/>
      <c r="HWK53" s="113"/>
      <c r="HWL53" s="113"/>
      <c r="HWM53" s="113"/>
      <c r="HWN53" s="113"/>
      <c r="HWO53" s="113"/>
      <c r="HWP53" s="113"/>
      <c r="HWQ53" s="113"/>
      <c r="HWR53" s="113"/>
      <c r="HWS53" s="113"/>
      <c r="HWT53" s="113"/>
      <c r="HWU53" s="113"/>
      <c r="HWV53" s="113"/>
      <c r="HWW53" s="113"/>
      <c r="HWX53" s="113"/>
      <c r="HWY53" s="113"/>
      <c r="HWZ53" s="113"/>
      <c r="HXA53" s="113"/>
      <c r="HXB53" s="113"/>
      <c r="HXC53" s="113"/>
      <c r="HXD53" s="113"/>
      <c r="HXE53" s="113"/>
      <c r="HXF53" s="113"/>
      <c r="HXG53" s="113"/>
      <c r="HXH53" s="113"/>
      <c r="HXI53" s="113"/>
      <c r="HXJ53" s="113"/>
      <c r="HXK53" s="113"/>
      <c r="HXL53" s="113"/>
      <c r="HXM53" s="113"/>
      <c r="HXN53" s="113"/>
      <c r="HXO53" s="113"/>
      <c r="HXP53" s="113"/>
      <c r="HXQ53" s="113"/>
      <c r="HXR53" s="113"/>
      <c r="HXS53" s="113"/>
      <c r="HXT53" s="113"/>
      <c r="HXU53" s="113"/>
      <c r="HXV53" s="113"/>
      <c r="HXW53" s="113"/>
      <c r="HXX53" s="113"/>
      <c r="HXY53" s="113"/>
      <c r="HXZ53" s="113"/>
      <c r="HYA53" s="113"/>
      <c r="HYB53" s="113"/>
      <c r="HYC53" s="113"/>
      <c r="HYD53" s="113"/>
      <c r="HYE53" s="113"/>
      <c r="HYF53" s="113"/>
      <c r="HYG53" s="113"/>
      <c r="HYH53" s="113"/>
      <c r="HYI53" s="113"/>
      <c r="HYJ53" s="113"/>
      <c r="HYK53" s="113"/>
      <c r="HYL53" s="113"/>
      <c r="HYM53" s="113"/>
      <c r="HYN53" s="113"/>
      <c r="HYO53" s="113"/>
      <c r="HYP53" s="113"/>
      <c r="HYQ53" s="113"/>
      <c r="HYR53" s="113"/>
      <c r="HYS53" s="113"/>
      <c r="HYT53" s="113"/>
      <c r="HYU53" s="113"/>
      <c r="HYV53" s="113"/>
      <c r="HYW53" s="113"/>
      <c r="HYX53" s="113"/>
      <c r="HYY53" s="113"/>
      <c r="HYZ53" s="113"/>
      <c r="HZA53" s="113"/>
      <c r="HZB53" s="113"/>
      <c r="HZC53" s="113"/>
      <c r="HZD53" s="113"/>
      <c r="HZE53" s="113"/>
      <c r="HZF53" s="113"/>
      <c r="HZG53" s="113"/>
      <c r="HZH53" s="113"/>
      <c r="HZI53" s="113"/>
      <c r="HZJ53" s="113"/>
      <c r="HZK53" s="113"/>
      <c r="HZL53" s="113"/>
      <c r="HZM53" s="113"/>
      <c r="HZN53" s="113"/>
      <c r="HZO53" s="113"/>
      <c r="HZP53" s="113"/>
      <c r="HZQ53" s="113"/>
      <c r="HZR53" s="113"/>
      <c r="HZS53" s="113"/>
      <c r="HZT53" s="113"/>
      <c r="HZU53" s="113"/>
      <c r="HZV53" s="113"/>
      <c r="HZW53" s="113"/>
      <c r="HZX53" s="113"/>
      <c r="HZY53" s="113"/>
      <c r="HZZ53" s="113"/>
      <c r="IAA53" s="113"/>
      <c r="IAB53" s="113"/>
      <c r="IAC53" s="113"/>
      <c r="IAD53" s="113"/>
      <c r="IAE53" s="113"/>
      <c r="IAF53" s="113"/>
      <c r="IAG53" s="113"/>
      <c r="IAH53" s="113"/>
      <c r="IAI53" s="113"/>
      <c r="IAJ53" s="113"/>
      <c r="IAK53" s="113"/>
      <c r="IAL53" s="113"/>
      <c r="IAM53" s="113"/>
      <c r="IAN53" s="113"/>
      <c r="IAO53" s="113"/>
      <c r="IAP53" s="113"/>
      <c r="IAQ53" s="113"/>
      <c r="IAR53" s="113"/>
      <c r="IAS53" s="113"/>
      <c r="IAT53" s="113"/>
      <c r="IAU53" s="113"/>
      <c r="IAV53" s="113"/>
      <c r="IAW53" s="113"/>
      <c r="IAX53" s="113"/>
      <c r="IAY53" s="113"/>
      <c r="IAZ53" s="113"/>
      <c r="IBA53" s="113"/>
      <c r="IBB53" s="113"/>
      <c r="IBC53" s="113"/>
      <c r="IBD53" s="113"/>
      <c r="IBE53" s="113"/>
      <c r="IBF53" s="113"/>
      <c r="IBG53" s="113"/>
      <c r="IBH53" s="113"/>
      <c r="IBI53" s="113"/>
      <c r="IBJ53" s="113"/>
      <c r="IBK53" s="113"/>
      <c r="IBL53" s="113"/>
      <c r="IBM53" s="113"/>
      <c r="IBN53" s="113"/>
      <c r="IBO53" s="113"/>
      <c r="IBP53" s="113"/>
      <c r="IBQ53" s="113"/>
      <c r="IBR53" s="113"/>
      <c r="IBS53" s="113"/>
      <c r="IBT53" s="113"/>
      <c r="IBU53" s="113"/>
      <c r="IBV53" s="113"/>
      <c r="IBW53" s="113"/>
      <c r="IBX53" s="113"/>
      <c r="IBY53" s="113"/>
      <c r="IBZ53" s="113"/>
      <c r="ICA53" s="113"/>
      <c r="ICB53" s="113"/>
      <c r="ICC53" s="113"/>
      <c r="ICD53" s="113"/>
      <c r="ICE53" s="113"/>
      <c r="ICF53" s="113"/>
      <c r="ICG53" s="113"/>
      <c r="ICH53" s="113"/>
      <c r="ICI53" s="113"/>
      <c r="ICJ53" s="113"/>
      <c r="ICK53" s="113"/>
      <c r="ICL53" s="113"/>
      <c r="ICM53" s="113"/>
      <c r="ICN53" s="113"/>
      <c r="ICO53" s="113"/>
      <c r="ICP53" s="113"/>
      <c r="ICQ53" s="113"/>
      <c r="ICR53" s="113"/>
      <c r="ICS53" s="113"/>
      <c r="ICT53" s="113"/>
      <c r="ICU53" s="113"/>
      <c r="ICV53" s="113"/>
      <c r="ICW53" s="113"/>
      <c r="ICX53" s="113"/>
      <c r="ICY53" s="113"/>
      <c r="ICZ53" s="113"/>
      <c r="IDA53" s="113"/>
      <c r="IDB53" s="113"/>
      <c r="IDC53" s="113"/>
      <c r="IDD53" s="113"/>
      <c r="IDE53" s="113"/>
      <c r="IDF53" s="113"/>
      <c r="IDG53" s="113"/>
      <c r="IDH53" s="113"/>
      <c r="IDI53" s="113"/>
      <c r="IDJ53" s="113"/>
      <c r="IDK53" s="113"/>
      <c r="IDL53" s="113"/>
      <c r="IDM53" s="113"/>
      <c r="IDN53" s="113"/>
      <c r="IDO53" s="113"/>
      <c r="IDP53" s="113"/>
      <c r="IDQ53" s="113"/>
      <c r="IDR53" s="113"/>
      <c r="IDS53" s="113"/>
      <c r="IDT53" s="113"/>
      <c r="IDU53" s="113"/>
      <c r="IDV53" s="113"/>
      <c r="IDW53" s="113"/>
      <c r="IDX53" s="113"/>
      <c r="IDY53" s="113"/>
      <c r="IDZ53" s="113"/>
      <c r="IEA53" s="113"/>
      <c r="IEB53" s="113"/>
      <c r="IEC53" s="113"/>
      <c r="IED53" s="113"/>
      <c r="IEE53" s="113"/>
      <c r="IEF53" s="113"/>
      <c r="IEG53" s="113"/>
      <c r="IEH53" s="113"/>
      <c r="IEI53" s="113"/>
      <c r="IEJ53" s="113"/>
      <c r="IEK53" s="113"/>
      <c r="IEL53" s="113"/>
      <c r="IEM53" s="113"/>
      <c r="IEN53" s="113"/>
      <c r="IEO53" s="113"/>
      <c r="IEP53" s="113"/>
      <c r="IEQ53" s="113"/>
      <c r="IER53" s="113"/>
      <c r="IES53" s="113"/>
      <c r="IET53" s="113"/>
      <c r="IEU53" s="113"/>
      <c r="IEV53" s="113"/>
      <c r="IEW53" s="113"/>
      <c r="IEX53" s="113"/>
      <c r="IEY53" s="113"/>
      <c r="IEZ53" s="113"/>
      <c r="IFA53" s="113"/>
      <c r="IFB53" s="113"/>
      <c r="IFC53" s="113"/>
      <c r="IFD53" s="113"/>
      <c r="IFE53" s="113"/>
      <c r="IFF53" s="113"/>
      <c r="IFG53" s="113"/>
      <c r="IFH53" s="113"/>
      <c r="IFI53" s="113"/>
      <c r="IFJ53" s="113"/>
      <c r="IFK53" s="113"/>
      <c r="IFL53" s="113"/>
      <c r="IFM53" s="113"/>
      <c r="IFN53" s="113"/>
      <c r="IFO53" s="113"/>
      <c r="IFP53" s="113"/>
      <c r="IFQ53" s="113"/>
      <c r="IFR53" s="113"/>
      <c r="IFS53" s="113"/>
      <c r="IFT53" s="113"/>
      <c r="IFU53" s="113"/>
      <c r="IFV53" s="113"/>
      <c r="IFW53" s="113"/>
      <c r="IFX53" s="113"/>
      <c r="IFY53" s="113"/>
      <c r="IFZ53" s="113"/>
      <c r="IGA53" s="113"/>
      <c r="IGB53" s="113"/>
      <c r="IGC53" s="113"/>
      <c r="IGD53" s="113"/>
      <c r="IGE53" s="113"/>
      <c r="IGF53" s="113"/>
      <c r="IGG53" s="113"/>
      <c r="IGH53" s="113"/>
      <c r="IGI53" s="113"/>
      <c r="IGJ53" s="113"/>
      <c r="IGK53" s="113"/>
      <c r="IGL53" s="113"/>
      <c r="IGM53" s="113"/>
      <c r="IGN53" s="113"/>
      <c r="IGO53" s="113"/>
      <c r="IGP53" s="113"/>
      <c r="IGQ53" s="113"/>
      <c r="IGR53" s="113"/>
      <c r="IGS53" s="113"/>
      <c r="IGT53" s="113"/>
      <c r="IGU53" s="113"/>
      <c r="IGV53" s="113"/>
      <c r="IGW53" s="113"/>
      <c r="IGX53" s="113"/>
      <c r="IGY53" s="113"/>
      <c r="IGZ53" s="113"/>
      <c r="IHA53" s="113"/>
      <c r="IHB53" s="113"/>
      <c r="IHC53" s="113"/>
      <c r="IHD53" s="113"/>
      <c r="IHE53" s="113"/>
      <c r="IHF53" s="113"/>
      <c r="IHG53" s="113"/>
      <c r="IHH53" s="113"/>
      <c r="IHI53" s="113"/>
      <c r="IHJ53" s="113"/>
      <c r="IHK53" s="113"/>
      <c r="IHL53" s="113"/>
      <c r="IHM53" s="113"/>
      <c r="IHN53" s="113"/>
      <c r="IHO53" s="113"/>
      <c r="IHP53" s="113"/>
      <c r="IHQ53" s="113"/>
      <c r="IHR53" s="113"/>
      <c r="IHS53" s="113"/>
      <c r="IHT53" s="113"/>
      <c r="IHU53" s="113"/>
      <c r="IHV53" s="113"/>
      <c r="IHW53" s="113"/>
      <c r="IHX53" s="113"/>
      <c r="IHY53" s="113"/>
      <c r="IHZ53" s="113"/>
      <c r="IIA53" s="113"/>
      <c r="IIB53" s="113"/>
      <c r="IIC53" s="113"/>
      <c r="IID53" s="113"/>
      <c r="IIE53" s="113"/>
      <c r="IIF53" s="113"/>
      <c r="IIG53" s="113"/>
      <c r="IIH53" s="113"/>
      <c r="III53" s="113"/>
      <c r="IIJ53" s="113"/>
      <c r="IIK53" s="113"/>
      <c r="IIL53" s="113"/>
      <c r="IIM53" s="113"/>
      <c r="IIN53" s="113"/>
      <c r="IIO53" s="113"/>
      <c r="IIP53" s="113"/>
      <c r="IIQ53" s="113"/>
      <c r="IIR53" s="113"/>
      <c r="IIS53" s="113"/>
      <c r="IIT53" s="113"/>
      <c r="IIU53" s="113"/>
      <c r="IIV53" s="113"/>
      <c r="IIW53" s="113"/>
      <c r="IIX53" s="113"/>
      <c r="IIY53" s="113"/>
      <c r="IIZ53" s="113"/>
      <c r="IJA53" s="113"/>
      <c r="IJB53" s="113"/>
      <c r="IJC53" s="113"/>
      <c r="IJD53" s="113"/>
      <c r="IJE53" s="113"/>
      <c r="IJF53" s="113"/>
      <c r="IJG53" s="113"/>
      <c r="IJH53" s="113"/>
      <c r="IJI53" s="113"/>
      <c r="IJJ53" s="113"/>
      <c r="IJK53" s="113"/>
      <c r="IJL53" s="113"/>
      <c r="IJM53" s="113"/>
      <c r="IJN53" s="113"/>
      <c r="IJO53" s="113"/>
      <c r="IJP53" s="113"/>
      <c r="IJQ53" s="113"/>
      <c r="IJR53" s="113"/>
      <c r="IJS53" s="113"/>
      <c r="IJT53" s="113"/>
      <c r="IJU53" s="113"/>
      <c r="IJV53" s="113"/>
      <c r="IJW53" s="113"/>
      <c r="IJX53" s="113"/>
      <c r="IJY53" s="113"/>
      <c r="IJZ53" s="113"/>
      <c r="IKA53" s="113"/>
      <c r="IKB53" s="113"/>
      <c r="IKC53" s="113"/>
      <c r="IKD53" s="113"/>
      <c r="IKE53" s="113"/>
      <c r="IKF53" s="113"/>
      <c r="IKG53" s="113"/>
      <c r="IKH53" s="113"/>
      <c r="IKI53" s="113"/>
      <c r="IKJ53" s="113"/>
      <c r="IKK53" s="113"/>
      <c r="IKL53" s="113"/>
      <c r="IKM53" s="113"/>
      <c r="IKN53" s="113"/>
      <c r="IKO53" s="113"/>
      <c r="IKP53" s="113"/>
      <c r="IKQ53" s="113"/>
      <c r="IKR53" s="113"/>
      <c r="IKS53" s="113"/>
      <c r="IKT53" s="113"/>
      <c r="IKU53" s="113"/>
      <c r="IKV53" s="113"/>
      <c r="IKW53" s="113"/>
      <c r="IKX53" s="113"/>
      <c r="IKY53" s="113"/>
      <c r="IKZ53" s="113"/>
      <c r="ILA53" s="113"/>
      <c r="ILB53" s="113"/>
      <c r="ILC53" s="113"/>
      <c r="ILD53" s="113"/>
      <c r="ILE53" s="113"/>
      <c r="ILF53" s="113"/>
      <c r="ILG53" s="113"/>
      <c r="ILH53" s="113"/>
      <c r="ILI53" s="113"/>
      <c r="ILJ53" s="113"/>
      <c r="ILK53" s="113"/>
      <c r="ILL53" s="113"/>
      <c r="ILM53" s="113"/>
      <c r="ILN53" s="113"/>
      <c r="ILO53" s="113"/>
      <c r="ILP53" s="113"/>
      <c r="ILQ53" s="113"/>
      <c r="ILR53" s="113"/>
      <c r="ILS53" s="113"/>
      <c r="ILT53" s="113"/>
      <c r="ILU53" s="113"/>
      <c r="ILV53" s="113"/>
      <c r="ILW53" s="113"/>
      <c r="ILX53" s="113"/>
      <c r="ILY53" s="113"/>
      <c r="ILZ53" s="113"/>
      <c r="IMA53" s="113"/>
      <c r="IMB53" s="113"/>
      <c r="IMC53" s="113"/>
      <c r="IMD53" s="113"/>
      <c r="IME53" s="113"/>
      <c r="IMF53" s="113"/>
      <c r="IMG53" s="113"/>
      <c r="IMH53" s="113"/>
      <c r="IMI53" s="113"/>
      <c r="IMJ53" s="113"/>
      <c r="IMK53" s="113"/>
      <c r="IML53" s="113"/>
      <c r="IMM53" s="113"/>
      <c r="IMN53" s="113"/>
      <c r="IMO53" s="113"/>
      <c r="IMP53" s="113"/>
      <c r="IMQ53" s="113"/>
      <c r="IMR53" s="113"/>
      <c r="IMS53" s="113"/>
      <c r="IMT53" s="113"/>
      <c r="IMU53" s="113"/>
      <c r="IMV53" s="113"/>
      <c r="IMW53" s="113"/>
      <c r="IMX53" s="113"/>
      <c r="IMY53" s="113"/>
      <c r="IMZ53" s="113"/>
      <c r="INA53" s="113"/>
      <c r="INB53" s="113"/>
      <c r="INC53" s="113"/>
      <c r="IND53" s="113"/>
      <c r="INE53" s="113"/>
      <c r="INF53" s="113"/>
      <c r="ING53" s="113"/>
      <c r="INH53" s="113"/>
      <c r="INI53" s="113"/>
      <c r="INJ53" s="113"/>
      <c r="INK53" s="113"/>
      <c r="INL53" s="113"/>
      <c r="INM53" s="113"/>
      <c r="INN53" s="113"/>
      <c r="INO53" s="113"/>
      <c r="INP53" s="113"/>
      <c r="INQ53" s="113"/>
      <c r="INR53" s="113"/>
      <c r="INS53" s="113"/>
      <c r="INT53" s="113"/>
      <c r="INU53" s="113"/>
      <c r="INV53" s="113"/>
      <c r="INW53" s="113"/>
      <c r="INX53" s="113"/>
      <c r="INY53" s="113"/>
      <c r="INZ53" s="113"/>
      <c r="IOA53" s="113"/>
      <c r="IOB53" s="113"/>
      <c r="IOC53" s="113"/>
      <c r="IOD53" s="113"/>
      <c r="IOE53" s="113"/>
      <c r="IOF53" s="113"/>
      <c r="IOG53" s="113"/>
      <c r="IOH53" s="113"/>
      <c r="IOI53" s="113"/>
      <c r="IOJ53" s="113"/>
      <c r="IOK53" s="113"/>
      <c r="IOL53" s="113"/>
      <c r="IOM53" s="113"/>
      <c r="ION53" s="113"/>
      <c r="IOO53" s="113"/>
      <c r="IOP53" s="113"/>
      <c r="IOQ53" s="113"/>
      <c r="IOR53" s="113"/>
      <c r="IOS53" s="113"/>
      <c r="IOT53" s="113"/>
      <c r="IOU53" s="113"/>
      <c r="IOV53" s="113"/>
      <c r="IOW53" s="113"/>
      <c r="IOX53" s="113"/>
      <c r="IOY53" s="113"/>
      <c r="IOZ53" s="113"/>
      <c r="IPA53" s="113"/>
      <c r="IPB53" s="113"/>
      <c r="IPC53" s="113"/>
      <c r="IPD53" s="113"/>
      <c r="IPE53" s="113"/>
      <c r="IPF53" s="113"/>
      <c r="IPG53" s="113"/>
      <c r="IPH53" s="113"/>
      <c r="IPI53" s="113"/>
      <c r="IPJ53" s="113"/>
      <c r="IPK53" s="113"/>
      <c r="IPL53" s="113"/>
      <c r="IPM53" s="113"/>
      <c r="IPN53" s="113"/>
      <c r="IPO53" s="113"/>
      <c r="IPP53" s="113"/>
      <c r="IPQ53" s="113"/>
      <c r="IPR53" s="113"/>
      <c r="IPS53" s="113"/>
      <c r="IPT53" s="113"/>
      <c r="IPU53" s="113"/>
      <c r="IPV53" s="113"/>
      <c r="IPW53" s="113"/>
      <c r="IPX53" s="113"/>
      <c r="IPY53" s="113"/>
      <c r="IPZ53" s="113"/>
      <c r="IQA53" s="113"/>
      <c r="IQB53" s="113"/>
      <c r="IQC53" s="113"/>
      <c r="IQD53" s="113"/>
      <c r="IQE53" s="113"/>
      <c r="IQF53" s="113"/>
      <c r="IQG53" s="113"/>
      <c r="IQH53" s="113"/>
      <c r="IQI53" s="113"/>
      <c r="IQJ53" s="113"/>
      <c r="IQK53" s="113"/>
      <c r="IQL53" s="113"/>
      <c r="IQM53" s="113"/>
      <c r="IQN53" s="113"/>
      <c r="IQO53" s="113"/>
      <c r="IQP53" s="113"/>
      <c r="IQQ53" s="113"/>
      <c r="IQR53" s="113"/>
      <c r="IQS53" s="113"/>
      <c r="IQT53" s="113"/>
      <c r="IQU53" s="113"/>
      <c r="IQV53" s="113"/>
      <c r="IQW53" s="113"/>
      <c r="IQX53" s="113"/>
      <c r="IQY53" s="113"/>
      <c r="IQZ53" s="113"/>
      <c r="IRA53" s="113"/>
      <c r="IRB53" s="113"/>
      <c r="IRC53" s="113"/>
      <c r="IRD53" s="113"/>
      <c r="IRE53" s="113"/>
      <c r="IRF53" s="113"/>
      <c r="IRG53" s="113"/>
      <c r="IRH53" s="113"/>
      <c r="IRI53" s="113"/>
      <c r="IRJ53" s="113"/>
      <c r="IRK53" s="113"/>
      <c r="IRL53" s="113"/>
      <c r="IRM53" s="113"/>
      <c r="IRN53" s="113"/>
      <c r="IRO53" s="113"/>
      <c r="IRP53" s="113"/>
      <c r="IRQ53" s="113"/>
      <c r="IRR53" s="113"/>
      <c r="IRS53" s="113"/>
      <c r="IRT53" s="113"/>
      <c r="IRU53" s="113"/>
      <c r="IRV53" s="113"/>
      <c r="IRW53" s="113"/>
      <c r="IRX53" s="113"/>
      <c r="IRY53" s="113"/>
      <c r="IRZ53" s="113"/>
      <c r="ISA53" s="113"/>
      <c r="ISB53" s="113"/>
      <c r="ISC53" s="113"/>
      <c r="ISD53" s="113"/>
      <c r="ISE53" s="113"/>
      <c r="ISF53" s="113"/>
      <c r="ISG53" s="113"/>
      <c r="ISH53" s="113"/>
      <c r="ISI53" s="113"/>
      <c r="ISJ53" s="113"/>
      <c r="ISK53" s="113"/>
      <c r="ISL53" s="113"/>
      <c r="ISM53" s="113"/>
      <c r="ISN53" s="113"/>
      <c r="ISO53" s="113"/>
      <c r="ISP53" s="113"/>
      <c r="ISQ53" s="113"/>
      <c r="ISR53" s="113"/>
      <c r="ISS53" s="113"/>
      <c r="IST53" s="113"/>
      <c r="ISU53" s="113"/>
      <c r="ISV53" s="113"/>
      <c r="ISW53" s="113"/>
      <c r="ISX53" s="113"/>
      <c r="ISY53" s="113"/>
      <c r="ISZ53" s="113"/>
      <c r="ITA53" s="113"/>
      <c r="ITB53" s="113"/>
      <c r="ITC53" s="113"/>
      <c r="ITD53" s="113"/>
      <c r="ITE53" s="113"/>
      <c r="ITF53" s="113"/>
      <c r="ITG53" s="113"/>
      <c r="ITH53" s="113"/>
      <c r="ITI53" s="113"/>
      <c r="ITJ53" s="113"/>
      <c r="ITK53" s="113"/>
      <c r="ITL53" s="113"/>
      <c r="ITM53" s="113"/>
      <c r="ITN53" s="113"/>
      <c r="ITO53" s="113"/>
      <c r="ITP53" s="113"/>
      <c r="ITQ53" s="113"/>
      <c r="ITR53" s="113"/>
      <c r="ITS53" s="113"/>
      <c r="ITT53" s="113"/>
      <c r="ITU53" s="113"/>
      <c r="ITV53" s="113"/>
      <c r="ITW53" s="113"/>
      <c r="ITX53" s="113"/>
      <c r="ITY53" s="113"/>
      <c r="ITZ53" s="113"/>
      <c r="IUA53" s="113"/>
      <c r="IUB53" s="113"/>
      <c r="IUC53" s="113"/>
      <c r="IUD53" s="113"/>
      <c r="IUE53" s="113"/>
      <c r="IUF53" s="113"/>
      <c r="IUG53" s="113"/>
      <c r="IUH53" s="113"/>
      <c r="IUI53" s="113"/>
      <c r="IUJ53" s="113"/>
      <c r="IUK53" s="113"/>
      <c r="IUL53" s="113"/>
      <c r="IUM53" s="113"/>
      <c r="IUN53" s="113"/>
      <c r="IUO53" s="113"/>
      <c r="IUP53" s="113"/>
      <c r="IUQ53" s="113"/>
      <c r="IUR53" s="113"/>
      <c r="IUS53" s="113"/>
      <c r="IUT53" s="113"/>
      <c r="IUU53" s="113"/>
      <c r="IUV53" s="113"/>
      <c r="IUW53" s="113"/>
      <c r="IUX53" s="113"/>
      <c r="IUY53" s="113"/>
      <c r="IUZ53" s="113"/>
      <c r="IVA53" s="113"/>
      <c r="IVB53" s="113"/>
      <c r="IVC53" s="113"/>
      <c r="IVD53" s="113"/>
      <c r="IVE53" s="113"/>
      <c r="IVF53" s="113"/>
      <c r="IVG53" s="113"/>
      <c r="IVH53" s="113"/>
      <c r="IVI53" s="113"/>
      <c r="IVJ53" s="113"/>
      <c r="IVK53" s="113"/>
      <c r="IVL53" s="113"/>
      <c r="IVM53" s="113"/>
      <c r="IVN53" s="113"/>
      <c r="IVO53" s="113"/>
      <c r="IVP53" s="113"/>
      <c r="IVQ53" s="113"/>
      <c r="IVR53" s="113"/>
      <c r="IVS53" s="113"/>
      <c r="IVT53" s="113"/>
      <c r="IVU53" s="113"/>
      <c r="IVV53" s="113"/>
      <c r="IVW53" s="113"/>
      <c r="IVX53" s="113"/>
      <c r="IVY53" s="113"/>
      <c r="IVZ53" s="113"/>
      <c r="IWA53" s="113"/>
      <c r="IWB53" s="113"/>
      <c r="IWC53" s="113"/>
      <c r="IWD53" s="113"/>
      <c r="IWE53" s="113"/>
      <c r="IWF53" s="113"/>
      <c r="IWG53" s="113"/>
      <c r="IWH53" s="113"/>
      <c r="IWI53" s="113"/>
      <c r="IWJ53" s="113"/>
      <c r="IWK53" s="113"/>
      <c r="IWL53" s="113"/>
      <c r="IWM53" s="113"/>
      <c r="IWN53" s="113"/>
      <c r="IWO53" s="113"/>
      <c r="IWP53" s="113"/>
      <c r="IWQ53" s="113"/>
      <c r="IWR53" s="113"/>
      <c r="IWS53" s="113"/>
      <c r="IWT53" s="113"/>
      <c r="IWU53" s="113"/>
      <c r="IWV53" s="113"/>
      <c r="IWW53" s="113"/>
      <c r="IWX53" s="113"/>
      <c r="IWY53" s="113"/>
      <c r="IWZ53" s="113"/>
      <c r="IXA53" s="113"/>
      <c r="IXB53" s="113"/>
      <c r="IXC53" s="113"/>
      <c r="IXD53" s="113"/>
      <c r="IXE53" s="113"/>
      <c r="IXF53" s="113"/>
      <c r="IXG53" s="113"/>
      <c r="IXH53" s="113"/>
      <c r="IXI53" s="113"/>
      <c r="IXJ53" s="113"/>
      <c r="IXK53" s="113"/>
      <c r="IXL53" s="113"/>
      <c r="IXM53" s="113"/>
      <c r="IXN53" s="113"/>
      <c r="IXO53" s="113"/>
      <c r="IXP53" s="113"/>
      <c r="IXQ53" s="113"/>
      <c r="IXR53" s="113"/>
      <c r="IXS53" s="113"/>
      <c r="IXT53" s="113"/>
      <c r="IXU53" s="113"/>
      <c r="IXV53" s="113"/>
      <c r="IXW53" s="113"/>
      <c r="IXX53" s="113"/>
      <c r="IXY53" s="113"/>
      <c r="IXZ53" s="113"/>
      <c r="IYA53" s="113"/>
      <c r="IYB53" s="113"/>
      <c r="IYC53" s="113"/>
      <c r="IYD53" s="113"/>
      <c r="IYE53" s="113"/>
      <c r="IYF53" s="113"/>
      <c r="IYG53" s="113"/>
      <c r="IYH53" s="113"/>
      <c r="IYI53" s="113"/>
      <c r="IYJ53" s="113"/>
      <c r="IYK53" s="113"/>
      <c r="IYL53" s="113"/>
      <c r="IYM53" s="113"/>
      <c r="IYN53" s="113"/>
      <c r="IYO53" s="113"/>
      <c r="IYP53" s="113"/>
      <c r="IYQ53" s="113"/>
      <c r="IYR53" s="113"/>
      <c r="IYS53" s="113"/>
      <c r="IYT53" s="113"/>
      <c r="IYU53" s="113"/>
      <c r="IYV53" s="113"/>
      <c r="IYW53" s="113"/>
      <c r="IYX53" s="113"/>
      <c r="IYY53" s="113"/>
      <c r="IYZ53" s="113"/>
      <c r="IZA53" s="113"/>
      <c r="IZB53" s="113"/>
      <c r="IZC53" s="113"/>
      <c r="IZD53" s="113"/>
      <c r="IZE53" s="113"/>
      <c r="IZF53" s="113"/>
      <c r="IZG53" s="113"/>
      <c r="IZH53" s="113"/>
      <c r="IZI53" s="113"/>
      <c r="IZJ53" s="113"/>
      <c r="IZK53" s="113"/>
      <c r="IZL53" s="113"/>
      <c r="IZM53" s="113"/>
      <c r="IZN53" s="113"/>
      <c r="IZO53" s="113"/>
      <c r="IZP53" s="113"/>
      <c r="IZQ53" s="113"/>
      <c r="IZR53" s="113"/>
      <c r="IZS53" s="113"/>
      <c r="IZT53" s="113"/>
      <c r="IZU53" s="113"/>
      <c r="IZV53" s="113"/>
      <c r="IZW53" s="113"/>
      <c r="IZX53" s="113"/>
      <c r="IZY53" s="113"/>
      <c r="IZZ53" s="113"/>
      <c r="JAA53" s="113"/>
      <c r="JAB53" s="113"/>
      <c r="JAC53" s="113"/>
      <c r="JAD53" s="113"/>
      <c r="JAE53" s="113"/>
      <c r="JAF53" s="113"/>
      <c r="JAG53" s="113"/>
      <c r="JAH53" s="113"/>
      <c r="JAI53" s="113"/>
      <c r="JAJ53" s="113"/>
      <c r="JAK53" s="113"/>
      <c r="JAL53" s="113"/>
      <c r="JAM53" s="113"/>
      <c r="JAN53" s="113"/>
      <c r="JAO53" s="113"/>
      <c r="JAP53" s="113"/>
      <c r="JAQ53" s="113"/>
      <c r="JAR53" s="113"/>
      <c r="JAS53" s="113"/>
      <c r="JAT53" s="113"/>
      <c r="JAU53" s="113"/>
      <c r="JAV53" s="113"/>
      <c r="JAW53" s="113"/>
      <c r="JAX53" s="113"/>
      <c r="JAY53" s="113"/>
      <c r="JAZ53" s="113"/>
      <c r="JBA53" s="113"/>
      <c r="JBB53" s="113"/>
      <c r="JBC53" s="113"/>
      <c r="JBD53" s="113"/>
      <c r="JBE53" s="113"/>
      <c r="JBF53" s="113"/>
      <c r="JBG53" s="113"/>
      <c r="JBH53" s="113"/>
      <c r="JBI53" s="113"/>
      <c r="JBJ53" s="113"/>
      <c r="JBK53" s="113"/>
      <c r="JBL53" s="113"/>
      <c r="JBM53" s="113"/>
      <c r="JBN53" s="113"/>
      <c r="JBO53" s="113"/>
      <c r="JBP53" s="113"/>
      <c r="JBQ53" s="113"/>
      <c r="JBR53" s="113"/>
      <c r="JBS53" s="113"/>
      <c r="JBT53" s="113"/>
      <c r="JBU53" s="113"/>
      <c r="JBV53" s="113"/>
      <c r="JBW53" s="113"/>
      <c r="JBX53" s="113"/>
      <c r="JBY53" s="113"/>
      <c r="JBZ53" s="113"/>
      <c r="JCA53" s="113"/>
      <c r="JCB53" s="113"/>
      <c r="JCC53" s="113"/>
      <c r="JCD53" s="113"/>
      <c r="JCE53" s="113"/>
      <c r="JCF53" s="113"/>
      <c r="JCG53" s="113"/>
      <c r="JCH53" s="113"/>
      <c r="JCI53" s="113"/>
      <c r="JCJ53" s="113"/>
      <c r="JCK53" s="113"/>
      <c r="JCL53" s="113"/>
      <c r="JCM53" s="113"/>
      <c r="JCN53" s="113"/>
      <c r="JCO53" s="113"/>
      <c r="JCP53" s="113"/>
      <c r="JCQ53" s="113"/>
      <c r="JCR53" s="113"/>
      <c r="JCS53" s="113"/>
      <c r="JCT53" s="113"/>
      <c r="JCU53" s="113"/>
      <c r="JCV53" s="113"/>
      <c r="JCW53" s="113"/>
      <c r="JCX53" s="113"/>
      <c r="JCY53" s="113"/>
      <c r="JCZ53" s="113"/>
      <c r="JDA53" s="113"/>
      <c r="JDB53" s="113"/>
      <c r="JDC53" s="113"/>
      <c r="JDD53" s="113"/>
      <c r="JDE53" s="113"/>
      <c r="JDF53" s="113"/>
      <c r="JDG53" s="113"/>
      <c r="JDH53" s="113"/>
      <c r="JDI53" s="113"/>
      <c r="JDJ53" s="113"/>
      <c r="JDK53" s="113"/>
      <c r="JDL53" s="113"/>
      <c r="JDM53" s="113"/>
      <c r="JDN53" s="113"/>
      <c r="JDO53" s="113"/>
      <c r="JDP53" s="113"/>
      <c r="JDQ53" s="113"/>
      <c r="JDR53" s="113"/>
      <c r="JDS53" s="113"/>
      <c r="JDT53" s="113"/>
      <c r="JDU53" s="113"/>
      <c r="JDV53" s="113"/>
      <c r="JDW53" s="113"/>
      <c r="JDX53" s="113"/>
      <c r="JDY53" s="113"/>
      <c r="JDZ53" s="113"/>
      <c r="JEA53" s="113"/>
      <c r="JEB53" s="113"/>
      <c r="JEC53" s="113"/>
      <c r="JED53" s="113"/>
      <c r="JEE53" s="113"/>
      <c r="JEF53" s="113"/>
      <c r="JEG53" s="113"/>
      <c r="JEH53" s="113"/>
      <c r="JEI53" s="113"/>
      <c r="JEJ53" s="113"/>
      <c r="JEK53" s="113"/>
      <c r="JEL53" s="113"/>
      <c r="JEM53" s="113"/>
      <c r="JEN53" s="113"/>
      <c r="JEO53" s="113"/>
      <c r="JEP53" s="113"/>
      <c r="JEQ53" s="113"/>
      <c r="JER53" s="113"/>
      <c r="JES53" s="113"/>
      <c r="JET53" s="113"/>
      <c r="JEU53" s="113"/>
      <c r="JEV53" s="113"/>
      <c r="JEW53" s="113"/>
      <c r="JEX53" s="113"/>
      <c r="JEY53" s="113"/>
      <c r="JEZ53" s="113"/>
      <c r="JFA53" s="113"/>
      <c r="JFB53" s="113"/>
      <c r="JFC53" s="113"/>
      <c r="JFD53" s="113"/>
      <c r="JFE53" s="113"/>
      <c r="JFF53" s="113"/>
      <c r="JFG53" s="113"/>
      <c r="JFH53" s="113"/>
      <c r="JFI53" s="113"/>
      <c r="JFJ53" s="113"/>
      <c r="JFK53" s="113"/>
      <c r="JFL53" s="113"/>
      <c r="JFM53" s="113"/>
      <c r="JFN53" s="113"/>
      <c r="JFO53" s="113"/>
      <c r="JFP53" s="113"/>
      <c r="JFQ53" s="113"/>
      <c r="JFR53" s="113"/>
      <c r="JFS53" s="113"/>
      <c r="JFT53" s="113"/>
      <c r="JFU53" s="113"/>
      <c r="JFV53" s="113"/>
      <c r="JFW53" s="113"/>
      <c r="JFX53" s="113"/>
      <c r="JFY53" s="113"/>
      <c r="JFZ53" s="113"/>
      <c r="JGA53" s="113"/>
      <c r="JGB53" s="113"/>
      <c r="JGC53" s="113"/>
      <c r="JGD53" s="113"/>
      <c r="JGE53" s="113"/>
      <c r="JGF53" s="113"/>
      <c r="JGG53" s="113"/>
      <c r="JGH53" s="113"/>
      <c r="JGI53" s="113"/>
      <c r="JGJ53" s="113"/>
      <c r="JGK53" s="113"/>
      <c r="JGL53" s="113"/>
      <c r="JGM53" s="113"/>
      <c r="JGN53" s="113"/>
      <c r="JGO53" s="113"/>
      <c r="JGP53" s="113"/>
      <c r="JGQ53" s="113"/>
      <c r="JGR53" s="113"/>
      <c r="JGS53" s="113"/>
      <c r="JGT53" s="113"/>
      <c r="JGU53" s="113"/>
      <c r="JGV53" s="113"/>
      <c r="JGW53" s="113"/>
      <c r="JGX53" s="113"/>
      <c r="JGY53" s="113"/>
      <c r="JGZ53" s="113"/>
      <c r="JHA53" s="113"/>
      <c r="JHB53" s="113"/>
      <c r="JHC53" s="113"/>
      <c r="JHD53" s="113"/>
      <c r="JHE53" s="113"/>
      <c r="JHF53" s="113"/>
      <c r="JHG53" s="113"/>
      <c r="JHH53" s="113"/>
      <c r="JHI53" s="113"/>
      <c r="JHJ53" s="113"/>
      <c r="JHK53" s="113"/>
      <c r="JHL53" s="113"/>
      <c r="JHM53" s="113"/>
      <c r="JHN53" s="113"/>
      <c r="JHO53" s="113"/>
      <c r="JHP53" s="113"/>
      <c r="JHQ53" s="113"/>
      <c r="JHR53" s="113"/>
      <c r="JHS53" s="113"/>
      <c r="JHT53" s="113"/>
      <c r="JHU53" s="113"/>
      <c r="JHV53" s="113"/>
      <c r="JHW53" s="113"/>
      <c r="JHX53" s="113"/>
      <c r="JHY53" s="113"/>
      <c r="JHZ53" s="113"/>
      <c r="JIA53" s="113"/>
      <c r="JIB53" s="113"/>
      <c r="JIC53" s="113"/>
      <c r="JID53" s="113"/>
      <c r="JIE53" s="113"/>
      <c r="JIF53" s="113"/>
      <c r="JIG53" s="113"/>
      <c r="JIH53" s="113"/>
      <c r="JII53" s="113"/>
      <c r="JIJ53" s="113"/>
      <c r="JIK53" s="113"/>
      <c r="JIL53" s="113"/>
      <c r="JIM53" s="113"/>
      <c r="JIN53" s="113"/>
      <c r="JIO53" s="113"/>
      <c r="JIP53" s="113"/>
      <c r="JIQ53" s="113"/>
      <c r="JIR53" s="113"/>
      <c r="JIS53" s="113"/>
      <c r="JIT53" s="113"/>
      <c r="JIU53" s="113"/>
      <c r="JIV53" s="113"/>
      <c r="JIW53" s="113"/>
      <c r="JIX53" s="113"/>
      <c r="JIY53" s="113"/>
      <c r="JIZ53" s="113"/>
      <c r="JJA53" s="113"/>
      <c r="JJB53" s="113"/>
      <c r="JJC53" s="113"/>
      <c r="JJD53" s="113"/>
      <c r="JJE53" s="113"/>
      <c r="JJF53" s="113"/>
      <c r="JJG53" s="113"/>
      <c r="JJH53" s="113"/>
      <c r="JJI53" s="113"/>
      <c r="JJJ53" s="113"/>
      <c r="JJK53" s="113"/>
      <c r="JJL53" s="113"/>
      <c r="JJM53" s="113"/>
      <c r="JJN53" s="113"/>
      <c r="JJO53" s="113"/>
      <c r="JJP53" s="113"/>
      <c r="JJQ53" s="113"/>
      <c r="JJR53" s="113"/>
      <c r="JJS53" s="113"/>
      <c r="JJT53" s="113"/>
      <c r="JJU53" s="113"/>
      <c r="JJV53" s="113"/>
      <c r="JJW53" s="113"/>
      <c r="JJX53" s="113"/>
      <c r="JJY53" s="113"/>
      <c r="JJZ53" s="113"/>
      <c r="JKA53" s="113"/>
      <c r="JKB53" s="113"/>
      <c r="JKC53" s="113"/>
      <c r="JKD53" s="113"/>
      <c r="JKE53" s="113"/>
      <c r="JKF53" s="113"/>
      <c r="JKG53" s="113"/>
      <c r="JKH53" s="113"/>
      <c r="JKI53" s="113"/>
      <c r="JKJ53" s="113"/>
      <c r="JKK53" s="113"/>
      <c r="JKL53" s="113"/>
      <c r="JKM53" s="113"/>
      <c r="JKN53" s="113"/>
      <c r="JKO53" s="113"/>
      <c r="JKP53" s="113"/>
      <c r="JKQ53" s="113"/>
      <c r="JKR53" s="113"/>
      <c r="JKS53" s="113"/>
      <c r="JKT53" s="113"/>
      <c r="JKU53" s="113"/>
      <c r="JKV53" s="113"/>
      <c r="JKW53" s="113"/>
      <c r="JKX53" s="113"/>
      <c r="JKY53" s="113"/>
      <c r="JKZ53" s="113"/>
      <c r="JLA53" s="113"/>
      <c r="JLB53" s="113"/>
      <c r="JLC53" s="113"/>
      <c r="JLD53" s="113"/>
      <c r="JLE53" s="113"/>
      <c r="JLF53" s="113"/>
      <c r="JLG53" s="113"/>
      <c r="JLH53" s="113"/>
      <c r="JLI53" s="113"/>
      <c r="JLJ53" s="113"/>
      <c r="JLK53" s="113"/>
      <c r="JLL53" s="113"/>
      <c r="JLM53" s="113"/>
      <c r="JLN53" s="113"/>
      <c r="JLO53" s="113"/>
      <c r="JLP53" s="113"/>
      <c r="JLQ53" s="113"/>
      <c r="JLR53" s="113"/>
      <c r="JLS53" s="113"/>
      <c r="JLT53" s="113"/>
      <c r="JLU53" s="113"/>
      <c r="JLV53" s="113"/>
      <c r="JLW53" s="113"/>
      <c r="JLX53" s="113"/>
      <c r="JLY53" s="113"/>
      <c r="JLZ53" s="113"/>
      <c r="JMA53" s="113"/>
      <c r="JMB53" s="113"/>
      <c r="JMC53" s="113"/>
      <c r="JMD53" s="113"/>
      <c r="JME53" s="113"/>
      <c r="JMF53" s="113"/>
      <c r="JMG53" s="113"/>
      <c r="JMH53" s="113"/>
      <c r="JMI53" s="113"/>
      <c r="JMJ53" s="113"/>
      <c r="JMK53" s="113"/>
      <c r="JML53" s="113"/>
      <c r="JMM53" s="113"/>
      <c r="JMN53" s="113"/>
      <c r="JMO53" s="113"/>
      <c r="JMP53" s="113"/>
      <c r="JMQ53" s="113"/>
      <c r="JMR53" s="113"/>
      <c r="JMS53" s="113"/>
      <c r="JMT53" s="113"/>
      <c r="JMU53" s="113"/>
      <c r="JMV53" s="113"/>
      <c r="JMW53" s="113"/>
      <c r="JMX53" s="113"/>
      <c r="JMY53" s="113"/>
      <c r="JMZ53" s="113"/>
      <c r="JNA53" s="113"/>
      <c r="JNB53" s="113"/>
      <c r="JNC53" s="113"/>
      <c r="JND53" s="113"/>
      <c r="JNE53" s="113"/>
      <c r="JNF53" s="113"/>
      <c r="JNG53" s="113"/>
      <c r="JNH53" s="113"/>
      <c r="JNI53" s="113"/>
      <c r="JNJ53" s="113"/>
      <c r="JNK53" s="113"/>
      <c r="JNL53" s="113"/>
      <c r="JNM53" s="113"/>
      <c r="JNN53" s="113"/>
      <c r="JNO53" s="113"/>
      <c r="JNP53" s="113"/>
      <c r="JNQ53" s="113"/>
      <c r="JNR53" s="113"/>
      <c r="JNS53" s="113"/>
      <c r="JNT53" s="113"/>
      <c r="JNU53" s="113"/>
      <c r="JNV53" s="113"/>
      <c r="JNW53" s="113"/>
      <c r="JNX53" s="113"/>
      <c r="JNY53" s="113"/>
      <c r="JNZ53" s="113"/>
      <c r="JOA53" s="113"/>
      <c r="JOB53" s="113"/>
      <c r="JOC53" s="113"/>
      <c r="JOD53" s="113"/>
      <c r="JOE53" s="113"/>
      <c r="JOF53" s="113"/>
      <c r="JOG53" s="113"/>
      <c r="JOH53" s="113"/>
      <c r="JOI53" s="113"/>
      <c r="JOJ53" s="113"/>
      <c r="JOK53" s="113"/>
      <c r="JOL53" s="113"/>
      <c r="JOM53" s="113"/>
      <c r="JON53" s="113"/>
      <c r="JOO53" s="113"/>
      <c r="JOP53" s="113"/>
      <c r="JOQ53" s="113"/>
      <c r="JOR53" s="113"/>
      <c r="JOS53" s="113"/>
      <c r="JOT53" s="113"/>
      <c r="JOU53" s="113"/>
      <c r="JOV53" s="113"/>
      <c r="JOW53" s="113"/>
      <c r="JOX53" s="113"/>
      <c r="JOY53" s="113"/>
      <c r="JOZ53" s="113"/>
      <c r="JPA53" s="113"/>
      <c r="JPB53" s="113"/>
      <c r="JPC53" s="113"/>
      <c r="JPD53" s="113"/>
      <c r="JPE53" s="113"/>
      <c r="JPF53" s="113"/>
      <c r="JPG53" s="113"/>
      <c r="JPH53" s="113"/>
      <c r="JPI53" s="113"/>
      <c r="JPJ53" s="113"/>
      <c r="JPK53" s="113"/>
      <c r="JPL53" s="113"/>
      <c r="JPM53" s="113"/>
      <c r="JPN53" s="113"/>
      <c r="JPO53" s="113"/>
      <c r="JPP53" s="113"/>
      <c r="JPQ53" s="113"/>
      <c r="JPR53" s="113"/>
      <c r="JPS53" s="113"/>
      <c r="JPT53" s="113"/>
      <c r="JPU53" s="113"/>
      <c r="JPV53" s="113"/>
      <c r="JPW53" s="113"/>
      <c r="JPX53" s="113"/>
      <c r="JPY53" s="113"/>
      <c r="JPZ53" s="113"/>
      <c r="JQA53" s="113"/>
      <c r="JQB53" s="113"/>
      <c r="JQC53" s="113"/>
      <c r="JQD53" s="113"/>
      <c r="JQE53" s="113"/>
      <c r="JQF53" s="113"/>
      <c r="JQG53" s="113"/>
      <c r="JQH53" s="113"/>
      <c r="JQI53" s="113"/>
      <c r="JQJ53" s="113"/>
      <c r="JQK53" s="113"/>
      <c r="JQL53" s="113"/>
      <c r="JQM53" s="113"/>
      <c r="JQN53" s="113"/>
      <c r="JQO53" s="113"/>
      <c r="JQP53" s="113"/>
      <c r="JQQ53" s="113"/>
      <c r="JQR53" s="113"/>
      <c r="JQS53" s="113"/>
      <c r="JQT53" s="113"/>
      <c r="JQU53" s="113"/>
      <c r="JQV53" s="113"/>
      <c r="JQW53" s="113"/>
      <c r="JQX53" s="113"/>
      <c r="JQY53" s="113"/>
      <c r="JQZ53" s="113"/>
      <c r="JRA53" s="113"/>
      <c r="JRB53" s="113"/>
      <c r="JRC53" s="113"/>
      <c r="JRD53" s="113"/>
      <c r="JRE53" s="113"/>
      <c r="JRF53" s="113"/>
      <c r="JRG53" s="113"/>
      <c r="JRH53" s="113"/>
      <c r="JRI53" s="113"/>
      <c r="JRJ53" s="113"/>
      <c r="JRK53" s="113"/>
      <c r="JRL53" s="113"/>
      <c r="JRM53" s="113"/>
      <c r="JRN53" s="113"/>
      <c r="JRO53" s="113"/>
      <c r="JRP53" s="113"/>
      <c r="JRQ53" s="113"/>
      <c r="JRR53" s="113"/>
      <c r="JRS53" s="113"/>
      <c r="JRT53" s="113"/>
      <c r="JRU53" s="113"/>
      <c r="JRV53" s="113"/>
      <c r="JRW53" s="113"/>
      <c r="JRX53" s="113"/>
      <c r="JRY53" s="113"/>
      <c r="JRZ53" s="113"/>
      <c r="JSA53" s="113"/>
      <c r="JSB53" s="113"/>
      <c r="JSC53" s="113"/>
      <c r="JSD53" s="113"/>
      <c r="JSE53" s="113"/>
      <c r="JSF53" s="113"/>
      <c r="JSG53" s="113"/>
      <c r="JSH53" s="113"/>
      <c r="JSI53" s="113"/>
      <c r="JSJ53" s="113"/>
      <c r="JSK53" s="113"/>
      <c r="JSL53" s="113"/>
      <c r="JSM53" s="113"/>
      <c r="JSN53" s="113"/>
      <c r="JSO53" s="113"/>
      <c r="JSP53" s="113"/>
      <c r="JSQ53" s="113"/>
      <c r="JSR53" s="113"/>
      <c r="JSS53" s="113"/>
      <c r="JST53" s="113"/>
      <c r="JSU53" s="113"/>
      <c r="JSV53" s="113"/>
      <c r="JSW53" s="113"/>
      <c r="JSX53" s="113"/>
      <c r="JSY53" s="113"/>
      <c r="JSZ53" s="113"/>
      <c r="JTA53" s="113"/>
      <c r="JTB53" s="113"/>
      <c r="JTC53" s="113"/>
      <c r="JTD53" s="113"/>
      <c r="JTE53" s="113"/>
      <c r="JTF53" s="113"/>
      <c r="JTG53" s="113"/>
      <c r="JTH53" s="113"/>
      <c r="JTI53" s="113"/>
      <c r="JTJ53" s="113"/>
      <c r="JTK53" s="113"/>
      <c r="JTL53" s="113"/>
      <c r="JTM53" s="113"/>
      <c r="JTN53" s="113"/>
      <c r="JTO53" s="113"/>
      <c r="JTP53" s="113"/>
      <c r="JTQ53" s="113"/>
      <c r="JTR53" s="113"/>
      <c r="JTS53" s="113"/>
      <c r="JTT53" s="113"/>
      <c r="JTU53" s="113"/>
      <c r="JTV53" s="113"/>
      <c r="JTW53" s="113"/>
      <c r="JTX53" s="113"/>
      <c r="JTY53" s="113"/>
      <c r="JTZ53" s="113"/>
      <c r="JUA53" s="113"/>
      <c r="JUB53" s="113"/>
      <c r="JUC53" s="113"/>
      <c r="JUD53" s="113"/>
      <c r="JUE53" s="113"/>
      <c r="JUF53" s="113"/>
      <c r="JUG53" s="113"/>
      <c r="JUH53" s="113"/>
      <c r="JUI53" s="113"/>
      <c r="JUJ53" s="113"/>
      <c r="JUK53" s="113"/>
      <c r="JUL53" s="113"/>
      <c r="JUM53" s="113"/>
      <c r="JUN53" s="113"/>
      <c r="JUO53" s="113"/>
      <c r="JUP53" s="113"/>
      <c r="JUQ53" s="113"/>
      <c r="JUR53" s="113"/>
      <c r="JUS53" s="113"/>
      <c r="JUT53" s="113"/>
      <c r="JUU53" s="113"/>
      <c r="JUV53" s="113"/>
      <c r="JUW53" s="113"/>
      <c r="JUX53" s="113"/>
      <c r="JUY53" s="113"/>
      <c r="JUZ53" s="113"/>
      <c r="JVA53" s="113"/>
      <c r="JVB53" s="113"/>
      <c r="JVC53" s="113"/>
      <c r="JVD53" s="113"/>
      <c r="JVE53" s="113"/>
      <c r="JVF53" s="113"/>
      <c r="JVG53" s="113"/>
      <c r="JVH53" s="113"/>
      <c r="JVI53" s="113"/>
      <c r="JVJ53" s="113"/>
      <c r="JVK53" s="113"/>
      <c r="JVL53" s="113"/>
      <c r="JVM53" s="113"/>
      <c r="JVN53" s="113"/>
      <c r="JVO53" s="113"/>
      <c r="JVP53" s="113"/>
      <c r="JVQ53" s="113"/>
      <c r="JVR53" s="113"/>
      <c r="JVS53" s="113"/>
      <c r="JVT53" s="113"/>
      <c r="JVU53" s="113"/>
      <c r="JVV53" s="113"/>
      <c r="JVW53" s="113"/>
      <c r="JVX53" s="113"/>
      <c r="JVY53" s="113"/>
      <c r="JVZ53" s="113"/>
      <c r="JWA53" s="113"/>
      <c r="JWB53" s="113"/>
      <c r="JWC53" s="113"/>
      <c r="JWD53" s="113"/>
      <c r="JWE53" s="113"/>
      <c r="JWF53" s="113"/>
      <c r="JWG53" s="113"/>
      <c r="JWH53" s="113"/>
      <c r="JWI53" s="113"/>
      <c r="JWJ53" s="113"/>
      <c r="JWK53" s="113"/>
      <c r="JWL53" s="113"/>
      <c r="JWM53" s="113"/>
      <c r="JWN53" s="113"/>
      <c r="JWO53" s="113"/>
      <c r="JWP53" s="113"/>
      <c r="JWQ53" s="113"/>
      <c r="JWR53" s="113"/>
      <c r="JWS53" s="113"/>
      <c r="JWT53" s="113"/>
      <c r="JWU53" s="113"/>
      <c r="JWV53" s="113"/>
      <c r="JWW53" s="113"/>
      <c r="JWX53" s="113"/>
      <c r="JWY53" s="113"/>
      <c r="JWZ53" s="113"/>
      <c r="JXA53" s="113"/>
      <c r="JXB53" s="113"/>
      <c r="JXC53" s="113"/>
      <c r="JXD53" s="113"/>
      <c r="JXE53" s="113"/>
      <c r="JXF53" s="113"/>
      <c r="JXG53" s="113"/>
      <c r="JXH53" s="113"/>
      <c r="JXI53" s="113"/>
      <c r="JXJ53" s="113"/>
      <c r="JXK53" s="113"/>
      <c r="JXL53" s="113"/>
      <c r="JXM53" s="113"/>
      <c r="JXN53" s="113"/>
      <c r="JXO53" s="113"/>
      <c r="JXP53" s="113"/>
      <c r="JXQ53" s="113"/>
      <c r="JXR53" s="113"/>
      <c r="JXS53" s="113"/>
      <c r="JXT53" s="113"/>
      <c r="JXU53" s="113"/>
      <c r="JXV53" s="113"/>
      <c r="JXW53" s="113"/>
      <c r="JXX53" s="113"/>
      <c r="JXY53" s="113"/>
      <c r="JXZ53" s="113"/>
      <c r="JYA53" s="113"/>
      <c r="JYB53" s="113"/>
      <c r="JYC53" s="113"/>
      <c r="JYD53" s="113"/>
      <c r="JYE53" s="113"/>
      <c r="JYF53" s="113"/>
      <c r="JYG53" s="113"/>
      <c r="JYH53" s="113"/>
      <c r="JYI53" s="113"/>
      <c r="JYJ53" s="113"/>
      <c r="JYK53" s="113"/>
      <c r="JYL53" s="113"/>
      <c r="JYM53" s="113"/>
      <c r="JYN53" s="113"/>
      <c r="JYO53" s="113"/>
      <c r="JYP53" s="113"/>
      <c r="JYQ53" s="113"/>
      <c r="JYR53" s="113"/>
      <c r="JYS53" s="113"/>
      <c r="JYT53" s="113"/>
      <c r="JYU53" s="113"/>
      <c r="JYV53" s="113"/>
      <c r="JYW53" s="113"/>
      <c r="JYX53" s="113"/>
      <c r="JYY53" s="113"/>
      <c r="JYZ53" s="113"/>
      <c r="JZA53" s="113"/>
      <c r="JZB53" s="113"/>
      <c r="JZC53" s="113"/>
      <c r="JZD53" s="113"/>
      <c r="JZE53" s="113"/>
      <c r="JZF53" s="113"/>
      <c r="JZG53" s="113"/>
      <c r="JZH53" s="113"/>
      <c r="JZI53" s="113"/>
      <c r="JZJ53" s="113"/>
      <c r="JZK53" s="113"/>
      <c r="JZL53" s="113"/>
      <c r="JZM53" s="113"/>
      <c r="JZN53" s="113"/>
      <c r="JZO53" s="113"/>
      <c r="JZP53" s="113"/>
      <c r="JZQ53" s="113"/>
      <c r="JZR53" s="113"/>
      <c r="JZS53" s="113"/>
      <c r="JZT53" s="113"/>
      <c r="JZU53" s="113"/>
      <c r="JZV53" s="113"/>
      <c r="JZW53" s="113"/>
      <c r="JZX53" s="113"/>
      <c r="JZY53" s="113"/>
      <c r="JZZ53" s="113"/>
      <c r="KAA53" s="113"/>
      <c r="KAB53" s="113"/>
      <c r="KAC53" s="113"/>
      <c r="KAD53" s="113"/>
      <c r="KAE53" s="113"/>
      <c r="KAF53" s="113"/>
      <c r="KAG53" s="113"/>
      <c r="KAH53" s="113"/>
      <c r="KAI53" s="113"/>
      <c r="KAJ53" s="113"/>
      <c r="KAK53" s="113"/>
      <c r="KAL53" s="113"/>
      <c r="KAM53" s="113"/>
      <c r="KAN53" s="113"/>
      <c r="KAO53" s="113"/>
      <c r="KAP53" s="113"/>
      <c r="KAQ53" s="113"/>
      <c r="KAR53" s="113"/>
      <c r="KAS53" s="113"/>
      <c r="KAT53" s="113"/>
      <c r="KAU53" s="113"/>
      <c r="KAV53" s="113"/>
      <c r="KAW53" s="113"/>
      <c r="KAX53" s="113"/>
      <c r="KAY53" s="113"/>
      <c r="KAZ53" s="113"/>
      <c r="KBA53" s="113"/>
      <c r="KBB53" s="113"/>
      <c r="KBC53" s="113"/>
      <c r="KBD53" s="113"/>
      <c r="KBE53" s="113"/>
      <c r="KBF53" s="113"/>
      <c r="KBG53" s="113"/>
      <c r="KBH53" s="113"/>
      <c r="KBI53" s="113"/>
      <c r="KBJ53" s="113"/>
      <c r="KBK53" s="113"/>
      <c r="KBL53" s="113"/>
      <c r="KBM53" s="113"/>
      <c r="KBN53" s="113"/>
      <c r="KBO53" s="113"/>
      <c r="KBP53" s="113"/>
      <c r="KBQ53" s="113"/>
      <c r="KBR53" s="113"/>
      <c r="KBS53" s="113"/>
      <c r="KBT53" s="113"/>
      <c r="KBU53" s="113"/>
      <c r="KBV53" s="113"/>
      <c r="KBW53" s="113"/>
      <c r="KBX53" s="113"/>
      <c r="KBY53" s="113"/>
      <c r="KBZ53" s="113"/>
      <c r="KCA53" s="113"/>
      <c r="KCB53" s="113"/>
      <c r="KCC53" s="113"/>
      <c r="KCD53" s="113"/>
      <c r="KCE53" s="113"/>
      <c r="KCF53" s="113"/>
      <c r="KCG53" s="113"/>
      <c r="KCH53" s="113"/>
      <c r="KCI53" s="113"/>
      <c r="KCJ53" s="113"/>
      <c r="KCK53" s="113"/>
      <c r="KCL53" s="113"/>
      <c r="KCM53" s="113"/>
      <c r="KCN53" s="113"/>
      <c r="KCO53" s="113"/>
      <c r="KCP53" s="113"/>
      <c r="KCQ53" s="113"/>
      <c r="KCR53" s="113"/>
      <c r="KCS53" s="113"/>
      <c r="KCT53" s="113"/>
      <c r="KCU53" s="113"/>
      <c r="KCV53" s="113"/>
      <c r="KCW53" s="113"/>
      <c r="KCX53" s="113"/>
      <c r="KCY53" s="113"/>
      <c r="KCZ53" s="113"/>
      <c r="KDA53" s="113"/>
      <c r="KDB53" s="113"/>
      <c r="KDC53" s="113"/>
      <c r="KDD53" s="113"/>
      <c r="KDE53" s="113"/>
      <c r="KDF53" s="113"/>
      <c r="KDG53" s="113"/>
      <c r="KDH53" s="113"/>
      <c r="KDI53" s="113"/>
      <c r="KDJ53" s="113"/>
      <c r="KDK53" s="113"/>
      <c r="KDL53" s="113"/>
      <c r="KDM53" s="113"/>
      <c r="KDN53" s="113"/>
      <c r="KDO53" s="113"/>
      <c r="KDP53" s="113"/>
      <c r="KDQ53" s="113"/>
      <c r="KDR53" s="113"/>
      <c r="KDS53" s="113"/>
      <c r="KDT53" s="113"/>
      <c r="KDU53" s="113"/>
      <c r="KDV53" s="113"/>
      <c r="KDW53" s="113"/>
      <c r="KDX53" s="113"/>
      <c r="KDY53" s="113"/>
      <c r="KDZ53" s="113"/>
      <c r="KEA53" s="113"/>
      <c r="KEB53" s="113"/>
      <c r="KEC53" s="113"/>
      <c r="KED53" s="113"/>
      <c r="KEE53" s="113"/>
      <c r="KEF53" s="113"/>
      <c r="KEG53" s="113"/>
      <c r="KEH53" s="113"/>
      <c r="KEI53" s="113"/>
      <c r="KEJ53" s="113"/>
      <c r="KEK53" s="113"/>
      <c r="KEL53" s="113"/>
      <c r="KEM53" s="113"/>
      <c r="KEN53" s="113"/>
      <c r="KEO53" s="113"/>
      <c r="KEP53" s="113"/>
      <c r="KEQ53" s="113"/>
      <c r="KER53" s="113"/>
      <c r="KES53" s="113"/>
      <c r="KET53" s="113"/>
      <c r="KEU53" s="113"/>
      <c r="KEV53" s="113"/>
      <c r="KEW53" s="113"/>
      <c r="KEX53" s="113"/>
      <c r="KEY53" s="113"/>
      <c r="KEZ53" s="113"/>
      <c r="KFA53" s="113"/>
      <c r="KFB53" s="113"/>
      <c r="KFC53" s="113"/>
      <c r="KFD53" s="113"/>
      <c r="KFE53" s="113"/>
      <c r="KFF53" s="113"/>
      <c r="KFG53" s="113"/>
      <c r="KFH53" s="113"/>
      <c r="KFI53" s="113"/>
      <c r="KFJ53" s="113"/>
      <c r="KFK53" s="113"/>
      <c r="KFL53" s="113"/>
      <c r="KFM53" s="113"/>
      <c r="KFN53" s="113"/>
      <c r="KFO53" s="113"/>
      <c r="KFP53" s="113"/>
      <c r="KFQ53" s="113"/>
      <c r="KFR53" s="113"/>
      <c r="KFS53" s="113"/>
      <c r="KFT53" s="113"/>
      <c r="KFU53" s="113"/>
      <c r="KFV53" s="113"/>
      <c r="KFW53" s="113"/>
      <c r="KFX53" s="113"/>
      <c r="KFY53" s="113"/>
      <c r="KFZ53" s="113"/>
      <c r="KGA53" s="113"/>
      <c r="KGB53" s="113"/>
      <c r="KGC53" s="113"/>
      <c r="KGD53" s="113"/>
      <c r="KGE53" s="113"/>
      <c r="KGF53" s="113"/>
      <c r="KGG53" s="113"/>
      <c r="KGH53" s="113"/>
      <c r="KGI53" s="113"/>
      <c r="KGJ53" s="113"/>
      <c r="KGK53" s="113"/>
      <c r="KGL53" s="113"/>
      <c r="KGM53" s="113"/>
      <c r="KGN53" s="113"/>
      <c r="KGO53" s="113"/>
      <c r="KGP53" s="113"/>
      <c r="KGQ53" s="113"/>
      <c r="KGR53" s="113"/>
      <c r="KGS53" s="113"/>
      <c r="KGT53" s="113"/>
      <c r="KGU53" s="113"/>
      <c r="KGV53" s="113"/>
      <c r="KGW53" s="113"/>
      <c r="KGX53" s="113"/>
      <c r="KGY53" s="113"/>
      <c r="KGZ53" s="113"/>
      <c r="KHA53" s="113"/>
      <c r="KHB53" s="113"/>
      <c r="KHC53" s="113"/>
      <c r="KHD53" s="113"/>
      <c r="KHE53" s="113"/>
      <c r="KHF53" s="113"/>
      <c r="KHG53" s="113"/>
      <c r="KHH53" s="113"/>
      <c r="KHI53" s="113"/>
      <c r="KHJ53" s="113"/>
      <c r="KHK53" s="113"/>
      <c r="KHL53" s="113"/>
      <c r="KHM53" s="113"/>
      <c r="KHN53" s="113"/>
      <c r="KHO53" s="113"/>
      <c r="KHP53" s="113"/>
      <c r="KHQ53" s="113"/>
      <c r="KHR53" s="113"/>
      <c r="KHS53" s="113"/>
      <c r="KHT53" s="113"/>
      <c r="KHU53" s="113"/>
      <c r="KHV53" s="113"/>
      <c r="KHW53" s="113"/>
      <c r="KHX53" s="113"/>
      <c r="KHY53" s="113"/>
      <c r="KHZ53" s="113"/>
      <c r="KIA53" s="113"/>
      <c r="KIB53" s="113"/>
      <c r="KIC53" s="113"/>
      <c r="KID53" s="113"/>
      <c r="KIE53" s="113"/>
      <c r="KIF53" s="113"/>
      <c r="KIG53" s="113"/>
      <c r="KIH53" s="113"/>
      <c r="KII53" s="113"/>
      <c r="KIJ53" s="113"/>
      <c r="KIK53" s="113"/>
      <c r="KIL53" s="113"/>
      <c r="KIM53" s="113"/>
      <c r="KIN53" s="113"/>
      <c r="KIO53" s="113"/>
      <c r="KIP53" s="113"/>
      <c r="KIQ53" s="113"/>
      <c r="KIR53" s="113"/>
      <c r="KIS53" s="113"/>
      <c r="KIT53" s="113"/>
      <c r="KIU53" s="113"/>
      <c r="KIV53" s="113"/>
      <c r="KIW53" s="113"/>
      <c r="KIX53" s="113"/>
      <c r="KIY53" s="113"/>
      <c r="KIZ53" s="113"/>
      <c r="KJA53" s="113"/>
      <c r="KJB53" s="113"/>
      <c r="KJC53" s="113"/>
      <c r="KJD53" s="113"/>
      <c r="KJE53" s="113"/>
      <c r="KJF53" s="113"/>
      <c r="KJG53" s="113"/>
      <c r="KJH53" s="113"/>
      <c r="KJI53" s="113"/>
      <c r="KJJ53" s="113"/>
      <c r="KJK53" s="113"/>
      <c r="KJL53" s="113"/>
      <c r="KJM53" s="113"/>
      <c r="KJN53" s="113"/>
      <c r="KJO53" s="113"/>
      <c r="KJP53" s="113"/>
      <c r="KJQ53" s="113"/>
      <c r="KJR53" s="113"/>
      <c r="KJS53" s="113"/>
      <c r="KJT53" s="113"/>
      <c r="KJU53" s="113"/>
      <c r="KJV53" s="113"/>
      <c r="KJW53" s="113"/>
      <c r="KJX53" s="113"/>
      <c r="KJY53" s="113"/>
      <c r="KJZ53" s="113"/>
      <c r="KKA53" s="113"/>
      <c r="KKB53" s="113"/>
      <c r="KKC53" s="113"/>
      <c r="KKD53" s="113"/>
      <c r="KKE53" s="113"/>
      <c r="KKF53" s="113"/>
      <c r="KKG53" s="113"/>
      <c r="KKH53" s="113"/>
      <c r="KKI53" s="113"/>
      <c r="KKJ53" s="113"/>
      <c r="KKK53" s="113"/>
      <c r="KKL53" s="113"/>
      <c r="KKM53" s="113"/>
      <c r="KKN53" s="113"/>
      <c r="KKO53" s="113"/>
      <c r="KKP53" s="113"/>
      <c r="KKQ53" s="113"/>
      <c r="KKR53" s="113"/>
      <c r="KKS53" s="113"/>
      <c r="KKT53" s="113"/>
      <c r="KKU53" s="113"/>
      <c r="KKV53" s="113"/>
      <c r="KKW53" s="113"/>
      <c r="KKX53" s="113"/>
      <c r="KKY53" s="113"/>
      <c r="KKZ53" s="113"/>
      <c r="KLA53" s="113"/>
      <c r="KLB53" s="113"/>
      <c r="KLC53" s="113"/>
      <c r="KLD53" s="113"/>
      <c r="KLE53" s="113"/>
      <c r="KLF53" s="113"/>
      <c r="KLG53" s="113"/>
      <c r="KLH53" s="113"/>
      <c r="KLI53" s="113"/>
      <c r="KLJ53" s="113"/>
      <c r="KLK53" s="113"/>
      <c r="KLL53" s="113"/>
      <c r="KLM53" s="113"/>
      <c r="KLN53" s="113"/>
      <c r="KLO53" s="113"/>
      <c r="KLP53" s="113"/>
      <c r="KLQ53" s="113"/>
      <c r="KLR53" s="113"/>
      <c r="KLS53" s="113"/>
      <c r="KLT53" s="113"/>
      <c r="KLU53" s="113"/>
      <c r="KLV53" s="113"/>
      <c r="KLW53" s="113"/>
      <c r="KLX53" s="113"/>
      <c r="KLY53" s="113"/>
      <c r="KLZ53" s="113"/>
      <c r="KMA53" s="113"/>
      <c r="KMB53" s="113"/>
      <c r="KMC53" s="113"/>
      <c r="KMD53" s="113"/>
      <c r="KME53" s="113"/>
      <c r="KMF53" s="113"/>
      <c r="KMG53" s="113"/>
      <c r="KMH53" s="113"/>
      <c r="KMI53" s="113"/>
      <c r="KMJ53" s="113"/>
      <c r="KMK53" s="113"/>
      <c r="KML53" s="113"/>
      <c r="KMM53" s="113"/>
      <c r="KMN53" s="113"/>
      <c r="KMO53" s="113"/>
      <c r="KMP53" s="113"/>
      <c r="KMQ53" s="113"/>
      <c r="KMR53" s="113"/>
      <c r="KMS53" s="113"/>
      <c r="KMT53" s="113"/>
      <c r="KMU53" s="113"/>
      <c r="KMV53" s="113"/>
      <c r="KMW53" s="113"/>
      <c r="KMX53" s="113"/>
      <c r="KMY53" s="113"/>
      <c r="KMZ53" s="113"/>
      <c r="KNA53" s="113"/>
      <c r="KNB53" s="113"/>
      <c r="KNC53" s="113"/>
      <c r="KND53" s="113"/>
      <c r="KNE53" s="113"/>
      <c r="KNF53" s="113"/>
      <c r="KNG53" s="113"/>
      <c r="KNH53" s="113"/>
      <c r="KNI53" s="113"/>
      <c r="KNJ53" s="113"/>
      <c r="KNK53" s="113"/>
      <c r="KNL53" s="113"/>
      <c r="KNM53" s="113"/>
      <c r="KNN53" s="113"/>
      <c r="KNO53" s="113"/>
      <c r="KNP53" s="113"/>
      <c r="KNQ53" s="113"/>
      <c r="KNR53" s="113"/>
      <c r="KNS53" s="113"/>
      <c r="KNT53" s="113"/>
      <c r="KNU53" s="113"/>
      <c r="KNV53" s="113"/>
      <c r="KNW53" s="113"/>
      <c r="KNX53" s="113"/>
      <c r="KNY53" s="113"/>
      <c r="KNZ53" s="113"/>
      <c r="KOA53" s="113"/>
      <c r="KOB53" s="113"/>
      <c r="KOC53" s="113"/>
      <c r="KOD53" s="113"/>
      <c r="KOE53" s="113"/>
      <c r="KOF53" s="113"/>
      <c r="KOG53" s="113"/>
      <c r="KOH53" s="113"/>
      <c r="KOI53" s="113"/>
      <c r="KOJ53" s="113"/>
      <c r="KOK53" s="113"/>
      <c r="KOL53" s="113"/>
      <c r="KOM53" s="113"/>
      <c r="KON53" s="113"/>
      <c r="KOO53" s="113"/>
      <c r="KOP53" s="113"/>
      <c r="KOQ53" s="113"/>
      <c r="KOR53" s="113"/>
      <c r="KOS53" s="113"/>
      <c r="KOT53" s="113"/>
      <c r="KOU53" s="113"/>
      <c r="KOV53" s="113"/>
      <c r="KOW53" s="113"/>
      <c r="KOX53" s="113"/>
      <c r="KOY53" s="113"/>
      <c r="KOZ53" s="113"/>
      <c r="KPA53" s="113"/>
      <c r="KPB53" s="113"/>
      <c r="KPC53" s="113"/>
      <c r="KPD53" s="113"/>
      <c r="KPE53" s="113"/>
      <c r="KPF53" s="113"/>
      <c r="KPG53" s="113"/>
      <c r="KPH53" s="113"/>
      <c r="KPI53" s="113"/>
      <c r="KPJ53" s="113"/>
      <c r="KPK53" s="113"/>
      <c r="KPL53" s="113"/>
      <c r="KPM53" s="113"/>
      <c r="KPN53" s="113"/>
      <c r="KPO53" s="113"/>
      <c r="KPP53" s="113"/>
      <c r="KPQ53" s="113"/>
      <c r="KPR53" s="113"/>
      <c r="KPS53" s="113"/>
      <c r="KPT53" s="113"/>
      <c r="KPU53" s="113"/>
      <c r="KPV53" s="113"/>
      <c r="KPW53" s="113"/>
      <c r="KPX53" s="113"/>
      <c r="KPY53" s="113"/>
      <c r="KPZ53" s="113"/>
      <c r="KQA53" s="113"/>
      <c r="KQB53" s="113"/>
      <c r="KQC53" s="113"/>
      <c r="KQD53" s="113"/>
      <c r="KQE53" s="113"/>
      <c r="KQF53" s="113"/>
      <c r="KQG53" s="113"/>
      <c r="KQH53" s="113"/>
      <c r="KQI53" s="113"/>
      <c r="KQJ53" s="113"/>
      <c r="KQK53" s="113"/>
      <c r="KQL53" s="113"/>
      <c r="KQM53" s="113"/>
      <c r="KQN53" s="113"/>
      <c r="KQO53" s="113"/>
      <c r="KQP53" s="113"/>
      <c r="KQQ53" s="113"/>
      <c r="KQR53" s="113"/>
      <c r="KQS53" s="113"/>
      <c r="KQT53" s="113"/>
      <c r="KQU53" s="113"/>
      <c r="KQV53" s="113"/>
      <c r="KQW53" s="113"/>
      <c r="KQX53" s="113"/>
      <c r="KQY53" s="113"/>
      <c r="KQZ53" s="113"/>
      <c r="KRA53" s="113"/>
      <c r="KRB53" s="113"/>
      <c r="KRC53" s="113"/>
      <c r="KRD53" s="113"/>
      <c r="KRE53" s="113"/>
      <c r="KRF53" s="113"/>
      <c r="KRG53" s="113"/>
      <c r="KRH53" s="113"/>
      <c r="KRI53" s="113"/>
      <c r="KRJ53" s="113"/>
      <c r="KRK53" s="113"/>
      <c r="KRL53" s="113"/>
      <c r="KRM53" s="113"/>
      <c r="KRN53" s="113"/>
      <c r="KRO53" s="113"/>
      <c r="KRP53" s="113"/>
      <c r="KRQ53" s="113"/>
      <c r="KRR53" s="113"/>
      <c r="KRS53" s="113"/>
      <c r="KRT53" s="113"/>
      <c r="KRU53" s="113"/>
      <c r="KRV53" s="113"/>
      <c r="KRW53" s="113"/>
      <c r="KRX53" s="113"/>
      <c r="KRY53" s="113"/>
      <c r="KRZ53" s="113"/>
      <c r="KSA53" s="113"/>
      <c r="KSB53" s="113"/>
      <c r="KSC53" s="113"/>
      <c r="KSD53" s="113"/>
      <c r="KSE53" s="113"/>
      <c r="KSF53" s="113"/>
      <c r="KSG53" s="113"/>
      <c r="KSH53" s="113"/>
      <c r="KSI53" s="113"/>
      <c r="KSJ53" s="113"/>
      <c r="KSK53" s="113"/>
      <c r="KSL53" s="113"/>
      <c r="KSM53" s="113"/>
      <c r="KSN53" s="113"/>
      <c r="KSO53" s="113"/>
      <c r="KSP53" s="113"/>
      <c r="KSQ53" s="113"/>
      <c r="KSR53" s="113"/>
      <c r="KSS53" s="113"/>
      <c r="KST53" s="113"/>
      <c r="KSU53" s="113"/>
      <c r="KSV53" s="113"/>
      <c r="KSW53" s="113"/>
      <c r="KSX53" s="113"/>
      <c r="KSY53" s="113"/>
      <c r="KSZ53" s="113"/>
      <c r="KTA53" s="113"/>
      <c r="KTB53" s="113"/>
      <c r="KTC53" s="113"/>
      <c r="KTD53" s="113"/>
      <c r="KTE53" s="113"/>
      <c r="KTF53" s="113"/>
      <c r="KTG53" s="113"/>
      <c r="KTH53" s="113"/>
      <c r="KTI53" s="113"/>
      <c r="KTJ53" s="113"/>
      <c r="KTK53" s="113"/>
      <c r="KTL53" s="113"/>
      <c r="KTM53" s="113"/>
      <c r="KTN53" s="113"/>
      <c r="KTO53" s="113"/>
      <c r="KTP53" s="113"/>
      <c r="KTQ53" s="113"/>
      <c r="KTR53" s="113"/>
      <c r="KTS53" s="113"/>
      <c r="KTT53" s="113"/>
      <c r="KTU53" s="113"/>
      <c r="KTV53" s="113"/>
      <c r="KTW53" s="113"/>
      <c r="KTX53" s="113"/>
      <c r="KTY53" s="113"/>
      <c r="KTZ53" s="113"/>
      <c r="KUA53" s="113"/>
      <c r="KUB53" s="113"/>
      <c r="KUC53" s="113"/>
      <c r="KUD53" s="113"/>
      <c r="KUE53" s="113"/>
      <c r="KUF53" s="113"/>
      <c r="KUG53" s="113"/>
      <c r="KUH53" s="113"/>
      <c r="KUI53" s="113"/>
      <c r="KUJ53" s="113"/>
      <c r="KUK53" s="113"/>
      <c r="KUL53" s="113"/>
      <c r="KUM53" s="113"/>
      <c r="KUN53" s="113"/>
      <c r="KUO53" s="113"/>
      <c r="KUP53" s="113"/>
      <c r="KUQ53" s="113"/>
      <c r="KUR53" s="113"/>
      <c r="KUS53" s="113"/>
      <c r="KUT53" s="113"/>
      <c r="KUU53" s="113"/>
      <c r="KUV53" s="113"/>
      <c r="KUW53" s="113"/>
      <c r="KUX53" s="113"/>
      <c r="KUY53" s="113"/>
      <c r="KUZ53" s="113"/>
      <c r="KVA53" s="113"/>
      <c r="KVB53" s="113"/>
      <c r="KVC53" s="113"/>
      <c r="KVD53" s="113"/>
      <c r="KVE53" s="113"/>
      <c r="KVF53" s="113"/>
      <c r="KVG53" s="113"/>
      <c r="KVH53" s="113"/>
      <c r="KVI53" s="113"/>
      <c r="KVJ53" s="113"/>
      <c r="KVK53" s="113"/>
      <c r="KVL53" s="113"/>
      <c r="KVM53" s="113"/>
      <c r="KVN53" s="113"/>
      <c r="KVO53" s="113"/>
      <c r="KVP53" s="113"/>
      <c r="KVQ53" s="113"/>
      <c r="KVR53" s="113"/>
      <c r="KVS53" s="113"/>
      <c r="KVT53" s="113"/>
      <c r="KVU53" s="113"/>
      <c r="KVV53" s="113"/>
      <c r="KVW53" s="113"/>
      <c r="KVX53" s="113"/>
      <c r="KVY53" s="113"/>
      <c r="KVZ53" s="113"/>
      <c r="KWA53" s="113"/>
      <c r="KWB53" s="113"/>
      <c r="KWC53" s="113"/>
      <c r="KWD53" s="113"/>
      <c r="KWE53" s="113"/>
      <c r="KWF53" s="113"/>
      <c r="KWG53" s="113"/>
      <c r="KWH53" s="113"/>
      <c r="KWI53" s="113"/>
      <c r="KWJ53" s="113"/>
      <c r="KWK53" s="113"/>
      <c r="KWL53" s="113"/>
      <c r="KWM53" s="113"/>
      <c r="KWN53" s="113"/>
      <c r="KWO53" s="113"/>
      <c r="KWP53" s="113"/>
      <c r="KWQ53" s="113"/>
      <c r="KWR53" s="113"/>
      <c r="KWS53" s="113"/>
      <c r="KWT53" s="113"/>
      <c r="KWU53" s="113"/>
      <c r="KWV53" s="113"/>
      <c r="KWW53" s="113"/>
      <c r="KWX53" s="113"/>
      <c r="KWY53" s="113"/>
      <c r="KWZ53" s="113"/>
      <c r="KXA53" s="113"/>
      <c r="KXB53" s="113"/>
      <c r="KXC53" s="113"/>
      <c r="KXD53" s="113"/>
      <c r="KXE53" s="113"/>
      <c r="KXF53" s="113"/>
      <c r="KXG53" s="113"/>
      <c r="KXH53" s="113"/>
      <c r="KXI53" s="113"/>
      <c r="KXJ53" s="113"/>
      <c r="KXK53" s="113"/>
      <c r="KXL53" s="113"/>
      <c r="KXM53" s="113"/>
      <c r="KXN53" s="113"/>
      <c r="KXO53" s="113"/>
      <c r="KXP53" s="113"/>
      <c r="KXQ53" s="113"/>
      <c r="KXR53" s="113"/>
      <c r="KXS53" s="113"/>
      <c r="KXT53" s="113"/>
      <c r="KXU53" s="113"/>
      <c r="KXV53" s="113"/>
      <c r="KXW53" s="113"/>
      <c r="KXX53" s="113"/>
      <c r="KXY53" s="113"/>
      <c r="KXZ53" s="113"/>
      <c r="KYA53" s="113"/>
      <c r="KYB53" s="113"/>
      <c r="KYC53" s="113"/>
      <c r="KYD53" s="113"/>
      <c r="KYE53" s="113"/>
      <c r="KYF53" s="113"/>
      <c r="KYG53" s="113"/>
      <c r="KYH53" s="113"/>
      <c r="KYI53" s="113"/>
      <c r="KYJ53" s="113"/>
      <c r="KYK53" s="113"/>
      <c r="KYL53" s="113"/>
      <c r="KYM53" s="113"/>
      <c r="KYN53" s="113"/>
      <c r="KYO53" s="113"/>
      <c r="KYP53" s="113"/>
      <c r="KYQ53" s="113"/>
      <c r="KYR53" s="113"/>
      <c r="KYS53" s="113"/>
      <c r="KYT53" s="113"/>
      <c r="KYU53" s="113"/>
      <c r="KYV53" s="113"/>
      <c r="KYW53" s="113"/>
      <c r="KYX53" s="113"/>
      <c r="KYY53" s="113"/>
      <c r="KYZ53" s="113"/>
      <c r="KZA53" s="113"/>
      <c r="KZB53" s="113"/>
      <c r="KZC53" s="113"/>
      <c r="KZD53" s="113"/>
      <c r="KZE53" s="113"/>
      <c r="KZF53" s="113"/>
      <c r="KZG53" s="113"/>
      <c r="KZH53" s="113"/>
      <c r="KZI53" s="113"/>
      <c r="KZJ53" s="113"/>
      <c r="KZK53" s="113"/>
      <c r="KZL53" s="113"/>
      <c r="KZM53" s="113"/>
      <c r="KZN53" s="113"/>
      <c r="KZO53" s="113"/>
      <c r="KZP53" s="113"/>
      <c r="KZQ53" s="113"/>
      <c r="KZR53" s="113"/>
      <c r="KZS53" s="113"/>
      <c r="KZT53" s="113"/>
      <c r="KZU53" s="113"/>
      <c r="KZV53" s="113"/>
      <c r="KZW53" s="113"/>
      <c r="KZX53" s="113"/>
      <c r="KZY53" s="113"/>
      <c r="KZZ53" s="113"/>
      <c r="LAA53" s="113"/>
      <c r="LAB53" s="113"/>
      <c r="LAC53" s="113"/>
      <c r="LAD53" s="113"/>
      <c r="LAE53" s="113"/>
      <c r="LAF53" s="113"/>
      <c r="LAG53" s="113"/>
      <c r="LAH53" s="113"/>
      <c r="LAI53" s="113"/>
      <c r="LAJ53" s="113"/>
      <c r="LAK53" s="113"/>
      <c r="LAL53" s="113"/>
      <c r="LAM53" s="113"/>
      <c r="LAN53" s="113"/>
      <c r="LAO53" s="113"/>
      <c r="LAP53" s="113"/>
      <c r="LAQ53" s="113"/>
      <c r="LAR53" s="113"/>
      <c r="LAS53" s="113"/>
      <c r="LAT53" s="113"/>
      <c r="LAU53" s="113"/>
      <c r="LAV53" s="113"/>
      <c r="LAW53" s="113"/>
      <c r="LAX53" s="113"/>
      <c r="LAY53" s="113"/>
      <c r="LAZ53" s="113"/>
      <c r="LBA53" s="113"/>
      <c r="LBB53" s="113"/>
      <c r="LBC53" s="113"/>
      <c r="LBD53" s="113"/>
      <c r="LBE53" s="113"/>
      <c r="LBF53" s="113"/>
      <c r="LBG53" s="113"/>
      <c r="LBH53" s="113"/>
      <c r="LBI53" s="113"/>
      <c r="LBJ53" s="113"/>
      <c r="LBK53" s="113"/>
      <c r="LBL53" s="113"/>
      <c r="LBM53" s="113"/>
      <c r="LBN53" s="113"/>
      <c r="LBO53" s="113"/>
      <c r="LBP53" s="113"/>
      <c r="LBQ53" s="113"/>
      <c r="LBR53" s="113"/>
      <c r="LBS53" s="113"/>
      <c r="LBT53" s="113"/>
      <c r="LBU53" s="113"/>
      <c r="LBV53" s="113"/>
      <c r="LBW53" s="113"/>
      <c r="LBX53" s="113"/>
      <c r="LBY53" s="113"/>
      <c r="LBZ53" s="113"/>
      <c r="LCA53" s="113"/>
      <c r="LCB53" s="113"/>
      <c r="LCC53" s="113"/>
      <c r="LCD53" s="113"/>
      <c r="LCE53" s="113"/>
      <c r="LCF53" s="113"/>
      <c r="LCG53" s="113"/>
      <c r="LCH53" s="113"/>
      <c r="LCI53" s="113"/>
      <c r="LCJ53" s="113"/>
      <c r="LCK53" s="113"/>
      <c r="LCL53" s="113"/>
      <c r="LCM53" s="113"/>
      <c r="LCN53" s="113"/>
      <c r="LCO53" s="113"/>
      <c r="LCP53" s="113"/>
      <c r="LCQ53" s="113"/>
      <c r="LCR53" s="113"/>
      <c r="LCS53" s="113"/>
      <c r="LCT53" s="113"/>
      <c r="LCU53" s="113"/>
      <c r="LCV53" s="113"/>
      <c r="LCW53" s="113"/>
      <c r="LCX53" s="113"/>
      <c r="LCY53" s="113"/>
      <c r="LCZ53" s="113"/>
      <c r="LDA53" s="113"/>
      <c r="LDB53" s="113"/>
      <c r="LDC53" s="113"/>
      <c r="LDD53" s="113"/>
      <c r="LDE53" s="113"/>
      <c r="LDF53" s="113"/>
      <c r="LDG53" s="113"/>
      <c r="LDH53" s="113"/>
      <c r="LDI53" s="113"/>
      <c r="LDJ53" s="113"/>
      <c r="LDK53" s="113"/>
      <c r="LDL53" s="113"/>
      <c r="LDM53" s="113"/>
      <c r="LDN53" s="113"/>
      <c r="LDO53" s="113"/>
      <c r="LDP53" s="113"/>
      <c r="LDQ53" s="113"/>
      <c r="LDR53" s="113"/>
      <c r="LDS53" s="113"/>
      <c r="LDT53" s="113"/>
      <c r="LDU53" s="113"/>
      <c r="LDV53" s="113"/>
      <c r="LDW53" s="113"/>
      <c r="LDX53" s="113"/>
      <c r="LDY53" s="113"/>
      <c r="LDZ53" s="113"/>
      <c r="LEA53" s="113"/>
      <c r="LEB53" s="113"/>
      <c r="LEC53" s="113"/>
      <c r="LED53" s="113"/>
      <c r="LEE53" s="113"/>
      <c r="LEF53" s="113"/>
      <c r="LEG53" s="113"/>
      <c r="LEH53" s="113"/>
      <c r="LEI53" s="113"/>
      <c r="LEJ53" s="113"/>
      <c r="LEK53" s="113"/>
      <c r="LEL53" s="113"/>
      <c r="LEM53" s="113"/>
      <c r="LEN53" s="113"/>
      <c r="LEO53" s="113"/>
      <c r="LEP53" s="113"/>
      <c r="LEQ53" s="113"/>
      <c r="LER53" s="113"/>
      <c r="LES53" s="113"/>
      <c r="LET53" s="113"/>
      <c r="LEU53" s="113"/>
      <c r="LEV53" s="113"/>
      <c r="LEW53" s="113"/>
      <c r="LEX53" s="113"/>
      <c r="LEY53" s="113"/>
      <c r="LEZ53" s="113"/>
      <c r="LFA53" s="113"/>
      <c r="LFB53" s="113"/>
      <c r="LFC53" s="113"/>
      <c r="LFD53" s="113"/>
      <c r="LFE53" s="113"/>
      <c r="LFF53" s="113"/>
      <c r="LFG53" s="113"/>
      <c r="LFH53" s="113"/>
      <c r="LFI53" s="113"/>
      <c r="LFJ53" s="113"/>
      <c r="LFK53" s="113"/>
      <c r="LFL53" s="113"/>
      <c r="LFM53" s="113"/>
      <c r="LFN53" s="113"/>
      <c r="LFO53" s="113"/>
      <c r="LFP53" s="113"/>
      <c r="LFQ53" s="113"/>
      <c r="LFR53" s="113"/>
      <c r="LFS53" s="113"/>
      <c r="LFT53" s="113"/>
      <c r="LFU53" s="113"/>
      <c r="LFV53" s="113"/>
      <c r="LFW53" s="113"/>
      <c r="LFX53" s="113"/>
      <c r="LFY53" s="113"/>
      <c r="LFZ53" s="113"/>
      <c r="LGA53" s="113"/>
      <c r="LGB53" s="113"/>
      <c r="LGC53" s="113"/>
      <c r="LGD53" s="113"/>
      <c r="LGE53" s="113"/>
      <c r="LGF53" s="113"/>
      <c r="LGG53" s="113"/>
      <c r="LGH53" s="113"/>
      <c r="LGI53" s="113"/>
      <c r="LGJ53" s="113"/>
      <c r="LGK53" s="113"/>
      <c r="LGL53" s="113"/>
      <c r="LGM53" s="113"/>
      <c r="LGN53" s="113"/>
      <c r="LGO53" s="113"/>
      <c r="LGP53" s="113"/>
      <c r="LGQ53" s="113"/>
      <c r="LGR53" s="113"/>
      <c r="LGS53" s="113"/>
      <c r="LGT53" s="113"/>
      <c r="LGU53" s="113"/>
      <c r="LGV53" s="113"/>
      <c r="LGW53" s="113"/>
      <c r="LGX53" s="113"/>
      <c r="LGY53" s="113"/>
      <c r="LGZ53" s="113"/>
      <c r="LHA53" s="113"/>
      <c r="LHB53" s="113"/>
      <c r="LHC53" s="113"/>
      <c r="LHD53" s="113"/>
      <c r="LHE53" s="113"/>
      <c r="LHF53" s="113"/>
      <c r="LHG53" s="113"/>
      <c r="LHH53" s="113"/>
      <c r="LHI53" s="113"/>
      <c r="LHJ53" s="113"/>
      <c r="LHK53" s="113"/>
      <c r="LHL53" s="113"/>
      <c r="LHM53" s="113"/>
      <c r="LHN53" s="113"/>
      <c r="LHO53" s="113"/>
      <c r="LHP53" s="113"/>
      <c r="LHQ53" s="113"/>
      <c r="LHR53" s="113"/>
      <c r="LHS53" s="113"/>
      <c r="LHT53" s="113"/>
      <c r="LHU53" s="113"/>
      <c r="LHV53" s="113"/>
      <c r="LHW53" s="113"/>
      <c r="LHX53" s="113"/>
      <c r="LHY53" s="113"/>
      <c r="LHZ53" s="113"/>
      <c r="LIA53" s="113"/>
      <c r="LIB53" s="113"/>
      <c r="LIC53" s="113"/>
      <c r="LID53" s="113"/>
      <c r="LIE53" s="113"/>
      <c r="LIF53" s="113"/>
      <c r="LIG53" s="113"/>
      <c r="LIH53" s="113"/>
      <c r="LII53" s="113"/>
      <c r="LIJ53" s="113"/>
      <c r="LIK53" s="113"/>
      <c r="LIL53" s="113"/>
      <c r="LIM53" s="113"/>
      <c r="LIN53" s="113"/>
      <c r="LIO53" s="113"/>
      <c r="LIP53" s="113"/>
      <c r="LIQ53" s="113"/>
      <c r="LIR53" s="113"/>
      <c r="LIS53" s="113"/>
      <c r="LIT53" s="113"/>
      <c r="LIU53" s="113"/>
      <c r="LIV53" s="113"/>
      <c r="LIW53" s="113"/>
      <c r="LIX53" s="113"/>
      <c r="LIY53" s="113"/>
      <c r="LIZ53" s="113"/>
      <c r="LJA53" s="113"/>
      <c r="LJB53" s="113"/>
      <c r="LJC53" s="113"/>
      <c r="LJD53" s="113"/>
      <c r="LJE53" s="113"/>
      <c r="LJF53" s="113"/>
      <c r="LJG53" s="113"/>
      <c r="LJH53" s="113"/>
      <c r="LJI53" s="113"/>
      <c r="LJJ53" s="113"/>
      <c r="LJK53" s="113"/>
      <c r="LJL53" s="113"/>
      <c r="LJM53" s="113"/>
      <c r="LJN53" s="113"/>
      <c r="LJO53" s="113"/>
      <c r="LJP53" s="113"/>
      <c r="LJQ53" s="113"/>
      <c r="LJR53" s="113"/>
      <c r="LJS53" s="113"/>
      <c r="LJT53" s="113"/>
      <c r="LJU53" s="113"/>
      <c r="LJV53" s="113"/>
      <c r="LJW53" s="113"/>
      <c r="LJX53" s="113"/>
      <c r="LJY53" s="113"/>
      <c r="LJZ53" s="113"/>
      <c r="LKA53" s="113"/>
      <c r="LKB53" s="113"/>
      <c r="LKC53" s="113"/>
      <c r="LKD53" s="113"/>
      <c r="LKE53" s="113"/>
      <c r="LKF53" s="113"/>
      <c r="LKG53" s="113"/>
      <c r="LKH53" s="113"/>
      <c r="LKI53" s="113"/>
      <c r="LKJ53" s="113"/>
      <c r="LKK53" s="113"/>
      <c r="LKL53" s="113"/>
      <c r="LKM53" s="113"/>
      <c r="LKN53" s="113"/>
      <c r="LKO53" s="113"/>
      <c r="LKP53" s="113"/>
      <c r="LKQ53" s="113"/>
      <c r="LKR53" s="113"/>
      <c r="LKS53" s="113"/>
      <c r="LKT53" s="113"/>
      <c r="LKU53" s="113"/>
      <c r="LKV53" s="113"/>
      <c r="LKW53" s="113"/>
      <c r="LKX53" s="113"/>
      <c r="LKY53" s="113"/>
      <c r="LKZ53" s="113"/>
      <c r="LLA53" s="113"/>
      <c r="LLB53" s="113"/>
      <c r="LLC53" s="113"/>
      <c r="LLD53" s="113"/>
      <c r="LLE53" s="113"/>
      <c r="LLF53" s="113"/>
      <c r="LLG53" s="113"/>
      <c r="LLH53" s="113"/>
      <c r="LLI53" s="113"/>
      <c r="LLJ53" s="113"/>
      <c r="LLK53" s="113"/>
      <c r="LLL53" s="113"/>
      <c r="LLM53" s="113"/>
      <c r="LLN53" s="113"/>
      <c r="LLO53" s="113"/>
      <c r="LLP53" s="113"/>
      <c r="LLQ53" s="113"/>
      <c r="LLR53" s="113"/>
      <c r="LLS53" s="113"/>
      <c r="LLT53" s="113"/>
      <c r="LLU53" s="113"/>
      <c r="LLV53" s="113"/>
      <c r="LLW53" s="113"/>
      <c r="LLX53" s="113"/>
      <c r="LLY53" s="113"/>
      <c r="LLZ53" s="113"/>
      <c r="LMA53" s="113"/>
      <c r="LMB53" s="113"/>
      <c r="LMC53" s="113"/>
      <c r="LMD53" s="113"/>
      <c r="LME53" s="113"/>
      <c r="LMF53" s="113"/>
      <c r="LMG53" s="113"/>
      <c r="LMH53" s="113"/>
      <c r="LMI53" s="113"/>
      <c r="LMJ53" s="113"/>
      <c r="LMK53" s="113"/>
      <c r="LML53" s="113"/>
      <c r="LMM53" s="113"/>
      <c r="LMN53" s="113"/>
      <c r="LMO53" s="113"/>
      <c r="LMP53" s="113"/>
      <c r="LMQ53" s="113"/>
      <c r="LMR53" s="113"/>
      <c r="LMS53" s="113"/>
      <c r="LMT53" s="113"/>
      <c r="LMU53" s="113"/>
      <c r="LMV53" s="113"/>
      <c r="LMW53" s="113"/>
      <c r="LMX53" s="113"/>
      <c r="LMY53" s="113"/>
      <c r="LMZ53" s="113"/>
      <c r="LNA53" s="113"/>
      <c r="LNB53" s="113"/>
      <c r="LNC53" s="113"/>
      <c r="LND53" s="113"/>
      <c r="LNE53" s="113"/>
      <c r="LNF53" s="113"/>
      <c r="LNG53" s="113"/>
      <c r="LNH53" s="113"/>
      <c r="LNI53" s="113"/>
      <c r="LNJ53" s="113"/>
      <c r="LNK53" s="113"/>
      <c r="LNL53" s="113"/>
      <c r="LNM53" s="113"/>
      <c r="LNN53" s="113"/>
      <c r="LNO53" s="113"/>
      <c r="LNP53" s="113"/>
      <c r="LNQ53" s="113"/>
      <c r="LNR53" s="113"/>
      <c r="LNS53" s="113"/>
      <c r="LNT53" s="113"/>
      <c r="LNU53" s="113"/>
      <c r="LNV53" s="113"/>
      <c r="LNW53" s="113"/>
      <c r="LNX53" s="113"/>
      <c r="LNY53" s="113"/>
      <c r="LNZ53" s="113"/>
      <c r="LOA53" s="113"/>
      <c r="LOB53" s="113"/>
      <c r="LOC53" s="113"/>
      <c r="LOD53" s="113"/>
      <c r="LOE53" s="113"/>
      <c r="LOF53" s="113"/>
      <c r="LOG53" s="113"/>
      <c r="LOH53" s="113"/>
      <c r="LOI53" s="113"/>
      <c r="LOJ53" s="113"/>
      <c r="LOK53" s="113"/>
      <c r="LOL53" s="113"/>
      <c r="LOM53" s="113"/>
      <c r="LON53" s="113"/>
      <c r="LOO53" s="113"/>
      <c r="LOP53" s="113"/>
      <c r="LOQ53" s="113"/>
      <c r="LOR53" s="113"/>
      <c r="LOS53" s="113"/>
      <c r="LOT53" s="113"/>
      <c r="LOU53" s="113"/>
      <c r="LOV53" s="113"/>
      <c r="LOW53" s="113"/>
      <c r="LOX53" s="113"/>
      <c r="LOY53" s="113"/>
      <c r="LOZ53" s="113"/>
      <c r="LPA53" s="113"/>
      <c r="LPB53" s="113"/>
      <c r="LPC53" s="113"/>
      <c r="LPD53" s="113"/>
      <c r="LPE53" s="113"/>
      <c r="LPF53" s="113"/>
      <c r="LPG53" s="113"/>
      <c r="LPH53" s="113"/>
      <c r="LPI53" s="113"/>
      <c r="LPJ53" s="113"/>
      <c r="LPK53" s="113"/>
      <c r="LPL53" s="113"/>
      <c r="LPM53" s="113"/>
      <c r="LPN53" s="113"/>
      <c r="LPO53" s="113"/>
      <c r="LPP53" s="113"/>
      <c r="LPQ53" s="113"/>
      <c r="LPR53" s="113"/>
      <c r="LPS53" s="113"/>
      <c r="LPT53" s="113"/>
      <c r="LPU53" s="113"/>
      <c r="LPV53" s="113"/>
      <c r="LPW53" s="113"/>
      <c r="LPX53" s="113"/>
      <c r="LPY53" s="113"/>
      <c r="LPZ53" s="113"/>
      <c r="LQA53" s="113"/>
      <c r="LQB53" s="113"/>
      <c r="LQC53" s="113"/>
      <c r="LQD53" s="113"/>
      <c r="LQE53" s="113"/>
      <c r="LQF53" s="113"/>
      <c r="LQG53" s="113"/>
      <c r="LQH53" s="113"/>
      <c r="LQI53" s="113"/>
      <c r="LQJ53" s="113"/>
      <c r="LQK53" s="113"/>
      <c r="LQL53" s="113"/>
      <c r="LQM53" s="113"/>
      <c r="LQN53" s="113"/>
      <c r="LQO53" s="113"/>
      <c r="LQP53" s="113"/>
      <c r="LQQ53" s="113"/>
      <c r="LQR53" s="113"/>
      <c r="LQS53" s="113"/>
      <c r="LQT53" s="113"/>
      <c r="LQU53" s="113"/>
      <c r="LQV53" s="113"/>
      <c r="LQW53" s="113"/>
      <c r="LQX53" s="113"/>
      <c r="LQY53" s="113"/>
      <c r="LQZ53" s="113"/>
      <c r="LRA53" s="113"/>
      <c r="LRB53" s="113"/>
      <c r="LRC53" s="113"/>
      <c r="LRD53" s="113"/>
      <c r="LRE53" s="113"/>
      <c r="LRF53" s="113"/>
      <c r="LRG53" s="113"/>
      <c r="LRH53" s="113"/>
      <c r="LRI53" s="113"/>
      <c r="LRJ53" s="113"/>
      <c r="LRK53" s="113"/>
      <c r="LRL53" s="113"/>
      <c r="LRM53" s="113"/>
      <c r="LRN53" s="113"/>
      <c r="LRO53" s="113"/>
      <c r="LRP53" s="113"/>
      <c r="LRQ53" s="113"/>
      <c r="LRR53" s="113"/>
      <c r="LRS53" s="113"/>
      <c r="LRT53" s="113"/>
      <c r="LRU53" s="113"/>
      <c r="LRV53" s="113"/>
      <c r="LRW53" s="113"/>
      <c r="LRX53" s="113"/>
      <c r="LRY53" s="113"/>
      <c r="LRZ53" s="113"/>
      <c r="LSA53" s="113"/>
      <c r="LSB53" s="113"/>
      <c r="LSC53" s="113"/>
      <c r="LSD53" s="113"/>
      <c r="LSE53" s="113"/>
      <c r="LSF53" s="113"/>
      <c r="LSG53" s="113"/>
      <c r="LSH53" s="113"/>
      <c r="LSI53" s="113"/>
      <c r="LSJ53" s="113"/>
      <c r="LSK53" s="113"/>
      <c r="LSL53" s="113"/>
      <c r="LSM53" s="113"/>
      <c r="LSN53" s="113"/>
      <c r="LSO53" s="113"/>
      <c r="LSP53" s="113"/>
      <c r="LSQ53" s="113"/>
      <c r="LSR53" s="113"/>
      <c r="LSS53" s="113"/>
      <c r="LST53" s="113"/>
      <c r="LSU53" s="113"/>
      <c r="LSV53" s="113"/>
      <c r="LSW53" s="113"/>
      <c r="LSX53" s="113"/>
      <c r="LSY53" s="113"/>
      <c r="LSZ53" s="113"/>
      <c r="LTA53" s="113"/>
      <c r="LTB53" s="113"/>
      <c r="LTC53" s="113"/>
      <c r="LTD53" s="113"/>
      <c r="LTE53" s="113"/>
      <c r="LTF53" s="113"/>
      <c r="LTG53" s="113"/>
      <c r="LTH53" s="113"/>
      <c r="LTI53" s="113"/>
      <c r="LTJ53" s="113"/>
      <c r="LTK53" s="113"/>
      <c r="LTL53" s="113"/>
      <c r="LTM53" s="113"/>
      <c r="LTN53" s="113"/>
      <c r="LTO53" s="113"/>
      <c r="LTP53" s="113"/>
      <c r="LTQ53" s="113"/>
      <c r="LTR53" s="113"/>
      <c r="LTS53" s="113"/>
      <c r="LTT53" s="113"/>
      <c r="LTU53" s="113"/>
      <c r="LTV53" s="113"/>
      <c r="LTW53" s="113"/>
      <c r="LTX53" s="113"/>
      <c r="LTY53" s="113"/>
      <c r="LTZ53" s="113"/>
      <c r="LUA53" s="113"/>
      <c r="LUB53" s="113"/>
      <c r="LUC53" s="113"/>
      <c r="LUD53" s="113"/>
      <c r="LUE53" s="113"/>
      <c r="LUF53" s="113"/>
      <c r="LUG53" s="113"/>
      <c r="LUH53" s="113"/>
      <c r="LUI53" s="113"/>
      <c r="LUJ53" s="113"/>
      <c r="LUK53" s="113"/>
      <c r="LUL53" s="113"/>
      <c r="LUM53" s="113"/>
      <c r="LUN53" s="113"/>
      <c r="LUO53" s="113"/>
      <c r="LUP53" s="113"/>
      <c r="LUQ53" s="113"/>
      <c r="LUR53" s="113"/>
      <c r="LUS53" s="113"/>
      <c r="LUT53" s="113"/>
      <c r="LUU53" s="113"/>
      <c r="LUV53" s="113"/>
      <c r="LUW53" s="113"/>
      <c r="LUX53" s="113"/>
      <c r="LUY53" s="113"/>
      <c r="LUZ53" s="113"/>
      <c r="LVA53" s="113"/>
      <c r="LVB53" s="113"/>
      <c r="LVC53" s="113"/>
      <c r="LVD53" s="113"/>
      <c r="LVE53" s="113"/>
      <c r="LVF53" s="113"/>
      <c r="LVG53" s="113"/>
      <c r="LVH53" s="113"/>
      <c r="LVI53" s="113"/>
      <c r="LVJ53" s="113"/>
      <c r="LVK53" s="113"/>
      <c r="LVL53" s="113"/>
      <c r="LVM53" s="113"/>
      <c r="LVN53" s="113"/>
      <c r="LVO53" s="113"/>
      <c r="LVP53" s="113"/>
      <c r="LVQ53" s="113"/>
      <c r="LVR53" s="113"/>
      <c r="LVS53" s="113"/>
      <c r="LVT53" s="113"/>
      <c r="LVU53" s="113"/>
      <c r="LVV53" s="113"/>
      <c r="LVW53" s="113"/>
      <c r="LVX53" s="113"/>
      <c r="LVY53" s="113"/>
      <c r="LVZ53" s="113"/>
      <c r="LWA53" s="113"/>
      <c r="LWB53" s="113"/>
      <c r="LWC53" s="113"/>
      <c r="LWD53" s="113"/>
      <c r="LWE53" s="113"/>
      <c r="LWF53" s="113"/>
      <c r="LWG53" s="113"/>
      <c r="LWH53" s="113"/>
      <c r="LWI53" s="113"/>
      <c r="LWJ53" s="113"/>
      <c r="LWK53" s="113"/>
      <c r="LWL53" s="113"/>
      <c r="LWM53" s="113"/>
      <c r="LWN53" s="113"/>
      <c r="LWO53" s="113"/>
      <c r="LWP53" s="113"/>
      <c r="LWQ53" s="113"/>
      <c r="LWR53" s="113"/>
      <c r="LWS53" s="113"/>
      <c r="LWT53" s="113"/>
      <c r="LWU53" s="113"/>
      <c r="LWV53" s="113"/>
      <c r="LWW53" s="113"/>
      <c r="LWX53" s="113"/>
      <c r="LWY53" s="113"/>
      <c r="LWZ53" s="113"/>
      <c r="LXA53" s="113"/>
      <c r="LXB53" s="113"/>
      <c r="LXC53" s="113"/>
      <c r="LXD53" s="113"/>
      <c r="LXE53" s="113"/>
      <c r="LXF53" s="113"/>
      <c r="LXG53" s="113"/>
      <c r="LXH53" s="113"/>
      <c r="LXI53" s="113"/>
      <c r="LXJ53" s="113"/>
      <c r="LXK53" s="113"/>
      <c r="LXL53" s="113"/>
      <c r="LXM53" s="113"/>
      <c r="LXN53" s="113"/>
      <c r="LXO53" s="113"/>
      <c r="LXP53" s="113"/>
      <c r="LXQ53" s="113"/>
      <c r="LXR53" s="113"/>
      <c r="LXS53" s="113"/>
      <c r="LXT53" s="113"/>
      <c r="LXU53" s="113"/>
      <c r="LXV53" s="113"/>
      <c r="LXW53" s="113"/>
      <c r="LXX53" s="113"/>
      <c r="LXY53" s="113"/>
      <c r="LXZ53" s="113"/>
      <c r="LYA53" s="113"/>
      <c r="LYB53" s="113"/>
      <c r="LYC53" s="113"/>
      <c r="LYD53" s="113"/>
      <c r="LYE53" s="113"/>
      <c r="LYF53" s="113"/>
      <c r="LYG53" s="113"/>
      <c r="LYH53" s="113"/>
      <c r="LYI53" s="113"/>
      <c r="LYJ53" s="113"/>
      <c r="LYK53" s="113"/>
      <c r="LYL53" s="113"/>
      <c r="LYM53" s="113"/>
      <c r="LYN53" s="113"/>
      <c r="LYO53" s="113"/>
      <c r="LYP53" s="113"/>
      <c r="LYQ53" s="113"/>
      <c r="LYR53" s="113"/>
      <c r="LYS53" s="113"/>
      <c r="LYT53" s="113"/>
      <c r="LYU53" s="113"/>
      <c r="LYV53" s="113"/>
      <c r="LYW53" s="113"/>
      <c r="LYX53" s="113"/>
      <c r="LYY53" s="113"/>
      <c r="LYZ53" s="113"/>
      <c r="LZA53" s="113"/>
      <c r="LZB53" s="113"/>
      <c r="LZC53" s="113"/>
      <c r="LZD53" s="113"/>
      <c r="LZE53" s="113"/>
      <c r="LZF53" s="113"/>
      <c r="LZG53" s="113"/>
      <c r="LZH53" s="113"/>
      <c r="LZI53" s="113"/>
      <c r="LZJ53" s="113"/>
      <c r="LZK53" s="113"/>
      <c r="LZL53" s="113"/>
      <c r="LZM53" s="113"/>
      <c r="LZN53" s="113"/>
      <c r="LZO53" s="113"/>
      <c r="LZP53" s="113"/>
      <c r="LZQ53" s="113"/>
      <c r="LZR53" s="113"/>
      <c r="LZS53" s="113"/>
      <c r="LZT53" s="113"/>
      <c r="LZU53" s="113"/>
      <c r="LZV53" s="113"/>
      <c r="LZW53" s="113"/>
      <c r="LZX53" s="113"/>
      <c r="LZY53" s="113"/>
      <c r="LZZ53" s="113"/>
      <c r="MAA53" s="113"/>
      <c r="MAB53" s="113"/>
      <c r="MAC53" s="113"/>
      <c r="MAD53" s="113"/>
      <c r="MAE53" s="113"/>
      <c r="MAF53" s="113"/>
      <c r="MAG53" s="113"/>
      <c r="MAH53" s="113"/>
      <c r="MAI53" s="113"/>
      <c r="MAJ53" s="113"/>
      <c r="MAK53" s="113"/>
      <c r="MAL53" s="113"/>
      <c r="MAM53" s="113"/>
      <c r="MAN53" s="113"/>
      <c r="MAO53" s="113"/>
      <c r="MAP53" s="113"/>
      <c r="MAQ53" s="113"/>
      <c r="MAR53" s="113"/>
      <c r="MAS53" s="113"/>
      <c r="MAT53" s="113"/>
      <c r="MAU53" s="113"/>
      <c r="MAV53" s="113"/>
      <c r="MAW53" s="113"/>
      <c r="MAX53" s="113"/>
      <c r="MAY53" s="113"/>
      <c r="MAZ53" s="113"/>
      <c r="MBA53" s="113"/>
      <c r="MBB53" s="113"/>
      <c r="MBC53" s="113"/>
      <c r="MBD53" s="113"/>
      <c r="MBE53" s="113"/>
      <c r="MBF53" s="113"/>
      <c r="MBG53" s="113"/>
      <c r="MBH53" s="113"/>
      <c r="MBI53" s="113"/>
      <c r="MBJ53" s="113"/>
      <c r="MBK53" s="113"/>
      <c r="MBL53" s="113"/>
      <c r="MBM53" s="113"/>
      <c r="MBN53" s="113"/>
      <c r="MBO53" s="113"/>
      <c r="MBP53" s="113"/>
      <c r="MBQ53" s="113"/>
      <c r="MBR53" s="113"/>
      <c r="MBS53" s="113"/>
      <c r="MBT53" s="113"/>
      <c r="MBU53" s="113"/>
      <c r="MBV53" s="113"/>
      <c r="MBW53" s="113"/>
      <c r="MBX53" s="113"/>
      <c r="MBY53" s="113"/>
      <c r="MBZ53" s="113"/>
      <c r="MCA53" s="113"/>
      <c r="MCB53" s="113"/>
      <c r="MCC53" s="113"/>
      <c r="MCD53" s="113"/>
      <c r="MCE53" s="113"/>
      <c r="MCF53" s="113"/>
      <c r="MCG53" s="113"/>
      <c r="MCH53" s="113"/>
      <c r="MCI53" s="113"/>
      <c r="MCJ53" s="113"/>
      <c r="MCK53" s="113"/>
      <c r="MCL53" s="113"/>
      <c r="MCM53" s="113"/>
      <c r="MCN53" s="113"/>
      <c r="MCO53" s="113"/>
      <c r="MCP53" s="113"/>
      <c r="MCQ53" s="113"/>
      <c r="MCR53" s="113"/>
      <c r="MCS53" s="113"/>
      <c r="MCT53" s="113"/>
      <c r="MCU53" s="113"/>
      <c r="MCV53" s="113"/>
      <c r="MCW53" s="113"/>
      <c r="MCX53" s="113"/>
      <c r="MCY53" s="113"/>
      <c r="MCZ53" s="113"/>
      <c r="MDA53" s="113"/>
      <c r="MDB53" s="113"/>
      <c r="MDC53" s="113"/>
      <c r="MDD53" s="113"/>
      <c r="MDE53" s="113"/>
      <c r="MDF53" s="113"/>
      <c r="MDG53" s="113"/>
      <c r="MDH53" s="113"/>
      <c r="MDI53" s="113"/>
      <c r="MDJ53" s="113"/>
      <c r="MDK53" s="113"/>
      <c r="MDL53" s="113"/>
      <c r="MDM53" s="113"/>
      <c r="MDN53" s="113"/>
      <c r="MDO53" s="113"/>
      <c r="MDP53" s="113"/>
      <c r="MDQ53" s="113"/>
      <c r="MDR53" s="113"/>
      <c r="MDS53" s="113"/>
      <c r="MDT53" s="113"/>
      <c r="MDU53" s="113"/>
      <c r="MDV53" s="113"/>
      <c r="MDW53" s="113"/>
      <c r="MDX53" s="113"/>
      <c r="MDY53" s="113"/>
      <c r="MDZ53" s="113"/>
      <c r="MEA53" s="113"/>
      <c r="MEB53" s="113"/>
      <c r="MEC53" s="113"/>
      <c r="MED53" s="113"/>
      <c r="MEE53" s="113"/>
      <c r="MEF53" s="113"/>
      <c r="MEG53" s="113"/>
      <c r="MEH53" s="113"/>
      <c r="MEI53" s="113"/>
      <c r="MEJ53" s="113"/>
      <c r="MEK53" s="113"/>
      <c r="MEL53" s="113"/>
      <c r="MEM53" s="113"/>
      <c r="MEN53" s="113"/>
      <c r="MEO53" s="113"/>
      <c r="MEP53" s="113"/>
      <c r="MEQ53" s="113"/>
      <c r="MER53" s="113"/>
      <c r="MES53" s="113"/>
      <c r="MET53" s="113"/>
      <c r="MEU53" s="113"/>
      <c r="MEV53" s="113"/>
      <c r="MEW53" s="113"/>
      <c r="MEX53" s="113"/>
      <c r="MEY53" s="113"/>
      <c r="MEZ53" s="113"/>
      <c r="MFA53" s="113"/>
      <c r="MFB53" s="113"/>
      <c r="MFC53" s="113"/>
      <c r="MFD53" s="113"/>
      <c r="MFE53" s="113"/>
      <c r="MFF53" s="113"/>
      <c r="MFG53" s="113"/>
      <c r="MFH53" s="113"/>
      <c r="MFI53" s="113"/>
      <c r="MFJ53" s="113"/>
      <c r="MFK53" s="113"/>
      <c r="MFL53" s="113"/>
      <c r="MFM53" s="113"/>
      <c r="MFN53" s="113"/>
      <c r="MFO53" s="113"/>
      <c r="MFP53" s="113"/>
      <c r="MFQ53" s="113"/>
      <c r="MFR53" s="113"/>
      <c r="MFS53" s="113"/>
      <c r="MFT53" s="113"/>
      <c r="MFU53" s="113"/>
      <c r="MFV53" s="113"/>
      <c r="MFW53" s="113"/>
      <c r="MFX53" s="113"/>
      <c r="MFY53" s="113"/>
      <c r="MFZ53" s="113"/>
      <c r="MGA53" s="113"/>
      <c r="MGB53" s="113"/>
      <c r="MGC53" s="113"/>
      <c r="MGD53" s="113"/>
      <c r="MGE53" s="113"/>
      <c r="MGF53" s="113"/>
      <c r="MGG53" s="113"/>
      <c r="MGH53" s="113"/>
      <c r="MGI53" s="113"/>
      <c r="MGJ53" s="113"/>
      <c r="MGK53" s="113"/>
      <c r="MGL53" s="113"/>
      <c r="MGM53" s="113"/>
      <c r="MGN53" s="113"/>
      <c r="MGO53" s="113"/>
      <c r="MGP53" s="113"/>
      <c r="MGQ53" s="113"/>
      <c r="MGR53" s="113"/>
      <c r="MGS53" s="113"/>
      <c r="MGT53" s="113"/>
      <c r="MGU53" s="113"/>
      <c r="MGV53" s="113"/>
      <c r="MGW53" s="113"/>
      <c r="MGX53" s="113"/>
      <c r="MGY53" s="113"/>
      <c r="MGZ53" s="113"/>
      <c r="MHA53" s="113"/>
      <c r="MHB53" s="113"/>
      <c r="MHC53" s="113"/>
      <c r="MHD53" s="113"/>
      <c r="MHE53" s="113"/>
      <c r="MHF53" s="113"/>
      <c r="MHG53" s="113"/>
      <c r="MHH53" s="113"/>
      <c r="MHI53" s="113"/>
      <c r="MHJ53" s="113"/>
      <c r="MHK53" s="113"/>
      <c r="MHL53" s="113"/>
      <c r="MHM53" s="113"/>
      <c r="MHN53" s="113"/>
      <c r="MHO53" s="113"/>
      <c r="MHP53" s="113"/>
      <c r="MHQ53" s="113"/>
      <c r="MHR53" s="113"/>
      <c r="MHS53" s="113"/>
      <c r="MHT53" s="113"/>
      <c r="MHU53" s="113"/>
      <c r="MHV53" s="113"/>
      <c r="MHW53" s="113"/>
      <c r="MHX53" s="113"/>
      <c r="MHY53" s="113"/>
      <c r="MHZ53" s="113"/>
      <c r="MIA53" s="113"/>
      <c r="MIB53" s="113"/>
      <c r="MIC53" s="113"/>
      <c r="MID53" s="113"/>
      <c r="MIE53" s="113"/>
      <c r="MIF53" s="113"/>
      <c r="MIG53" s="113"/>
      <c r="MIH53" s="113"/>
      <c r="MII53" s="113"/>
      <c r="MIJ53" s="113"/>
      <c r="MIK53" s="113"/>
      <c r="MIL53" s="113"/>
      <c r="MIM53" s="113"/>
      <c r="MIN53" s="113"/>
      <c r="MIO53" s="113"/>
      <c r="MIP53" s="113"/>
      <c r="MIQ53" s="113"/>
      <c r="MIR53" s="113"/>
      <c r="MIS53" s="113"/>
      <c r="MIT53" s="113"/>
      <c r="MIU53" s="113"/>
      <c r="MIV53" s="113"/>
      <c r="MIW53" s="113"/>
      <c r="MIX53" s="113"/>
      <c r="MIY53" s="113"/>
      <c r="MIZ53" s="113"/>
      <c r="MJA53" s="113"/>
      <c r="MJB53" s="113"/>
      <c r="MJC53" s="113"/>
      <c r="MJD53" s="113"/>
      <c r="MJE53" s="113"/>
      <c r="MJF53" s="113"/>
      <c r="MJG53" s="113"/>
      <c r="MJH53" s="113"/>
      <c r="MJI53" s="113"/>
      <c r="MJJ53" s="113"/>
      <c r="MJK53" s="113"/>
      <c r="MJL53" s="113"/>
      <c r="MJM53" s="113"/>
      <c r="MJN53" s="113"/>
      <c r="MJO53" s="113"/>
      <c r="MJP53" s="113"/>
      <c r="MJQ53" s="113"/>
      <c r="MJR53" s="113"/>
      <c r="MJS53" s="113"/>
      <c r="MJT53" s="113"/>
      <c r="MJU53" s="113"/>
      <c r="MJV53" s="113"/>
      <c r="MJW53" s="113"/>
      <c r="MJX53" s="113"/>
      <c r="MJY53" s="113"/>
      <c r="MJZ53" s="113"/>
      <c r="MKA53" s="113"/>
      <c r="MKB53" s="113"/>
      <c r="MKC53" s="113"/>
      <c r="MKD53" s="113"/>
      <c r="MKE53" s="113"/>
      <c r="MKF53" s="113"/>
      <c r="MKG53" s="113"/>
      <c r="MKH53" s="113"/>
      <c r="MKI53" s="113"/>
      <c r="MKJ53" s="113"/>
      <c r="MKK53" s="113"/>
      <c r="MKL53" s="113"/>
      <c r="MKM53" s="113"/>
      <c r="MKN53" s="113"/>
      <c r="MKO53" s="113"/>
      <c r="MKP53" s="113"/>
      <c r="MKQ53" s="113"/>
      <c r="MKR53" s="113"/>
      <c r="MKS53" s="113"/>
      <c r="MKT53" s="113"/>
      <c r="MKU53" s="113"/>
      <c r="MKV53" s="113"/>
      <c r="MKW53" s="113"/>
      <c r="MKX53" s="113"/>
      <c r="MKY53" s="113"/>
      <c r="MKZ53" s="113"/>
      <c r="MLA53" s="113"/>
      <c r="MLB53" s="113"/>
      <c r="MLC53" s="113"/>
      <c r="MLD53" s="113"/>
      <c r="MLE53" s="113"/>
      <c r="MLF53" s="113"/>
      <c r="MLG53" s="113"/>
      <c r="MLH53" s="113"/>
      <c r="MLI53" s="113"/>
      <c r="MLJ53" s="113"/>
      <c r="MLK53" s="113"/>
      <c r="MLL53" s="113"/>
      <c r="MLM53" s="113"/>
      <c r="MLN53" s="113"/>
      <c r="MLO53" s="113"/>
      <c r="MLP53" s="113"/>
      <c r="MLQ53" s="113"/>
      <c r="MLR53" s="113"/>
      <c r="MLS53" s="113"/>
      <c r="MLT53" s="113"/>
      <c r="MLU53" s="113"/>
      <c r="MLV53" s="113"/>
      <c r="MLW53" s="113"/>
      <c r="MLX53" s="113"/>
      <c r="MLY53" s="113"/>
      <c r="MLZ53" s="113"/>
      <c r="MMA53" s="113"/>
      <c r="MMB53" s="113"/>
      <c r="MMC53" s="113"/>
      <c r="MMD53" s="113"/>
      <c r="MME53" s="113"/>
      <c r="MMF53" s="113"/>
      <c r="MMG53" s="113"/>
      <c r="MMH53" s="113"/>
      <c r="MMI53" s="113"/>
      <c r="MMJ53" s="113"/>
      <c r="MMK53" s="113"/>
      <c r="MML53" s="113"/>
      <c r="MMM53" s="113"/>
      <c r="MMN53" s="113"/>
      <c r="MMO53" s="113"/>
      <c r="MMP53" s="113"/>
      <c r="MMQ53" s="113"/>
      <c r="MMR53" s="113"/>
      <c r="MMS53" s="113"/>
      <c r="MMT53" s="113"/>
      <c r="MMU53" s="113"/>
      <c r="MMV53" s="113"/>
      <c r="MMW53" s="113"/>
      <c r="MMX53" s="113"/>
      <c r="MMY53" s="113"/>
      <c r="MMZ53" s="113"/>
      <c r="MNA53" s="113"/>
      <c r="MNB53" s="113"/>
      <c r="MNC53" s="113"/>
      <c r="MND53" s="113"/>
      <c r="MNE53" s="113"/>
      <c r="MNF53" s="113"/>
      <c r="MNG53" s="113"/>
      <c r="MNH53" s="113"/>
      <c r="MNI53" s="113"/>
      <c r="MNJ53" s="113"/>
      <c r="MNK53" s="113"/>
      <c r="MNL53" s="113"/>
      <c r="MNM53" s="113"/>
      <c r="MNN53" s="113"/>
      <c r="MNO53" s="113"/>
      <c r="MNP53" s="113"/>
      <c r="MNQ53" s="113"/>
      <c r="MNR53" s="113"/>
      <c r="MNS53" s="113"/>
      <c r="MNT53" s="113"/>
      <c r="MNU53" s="113"/>
      <c r="MNV53" s="113"/>
      <c r="MNW53" s="113"/>
      <c r="MNX53" s="113"/>
      <c r="MNY53" s="113"/>
      <c r="MNZ53" s="113"/>
      <c r="MOA53" s="113"/>
      <c r="MOB53" s="113"/>
      <c r="MOC53" s="113"/>
      <c r="MOD53" s="113"/>
      <c r="MOE53" s="113"/>
      <c r="MOF53" s="113"/>
      <c r="MOG53" s="113"/>
      <c r="MOH53" s="113"/>
      <c r="MOI53" s="113"/>
      <c r="MOJ53" s="113"/>
      <c r="MOK53" s="113"/>
      <c r="MOL53" s="113"/>
      <c r="MOM53" s="113"/>
      <c r="MON53" s="113"/>
      <c r="MOO53" s="113"/>
      <c r="MOP53" s="113"/>
      <c r="MOQ53" s="113"/>
      <c r="MOR53" s="113"/>
      <c r="MOS53" s="113"/>
      <c r="MOT53" s="113"/>
      <c r="MOU53" s="113"/>
      <c r="MOV53" s="113"/>
      <c r="MOW53" s="113"/>
      <c r="MOX53" s="113"/>
      <c r="MOY53" s="113"/>
      <c r="MOZ53" s="113"/>
      <c r="MPA53" s="113"/>
      <c r="MPB53" s="113"/>
      <c r="MPC53" s="113"/>
      <c r="MPD53" s="113"/>
      <c r="MPE53" s="113"/>
      <c r="MPF53" s="113"/>
      <c r="MPG53" s="113"/>
      <c r="MPH53" s="113"/>
      <c r="MPI53" s="113"/>
      <c r="MPJ53" s="113"/>
      <c r="MPK53" s="113"/>
      <c r="MPL53" s="113"/>
      <c r="MPM53" s="113"/>
      <c r="MPN53" s="113"/>
      <c r="MPO53" s="113"/>
      <c r="MPP53" s="113"/>
      <c r="MPQ53" s="113"/>
      <c r="MPR53" s="113"/>
      <c r="MPS53" s="113"/>
      <c r="MPT53" s="113"/>
      <c r="MPU53" s="113"/>
      <c r="MPV53" s="113"/>
      <c r="MPW53" s="113"/>
      <c r="MPX53" s="113"/>
      <c r="MPY53" s="113"/>
      <c r="MPZ53" s="113"/>
      <c r="MQA53" s="113"/>
      <c r="MQB53" s="113"/>
      <c r="MQC53" s="113"/>
      <c r="MQD53" s="113"/>
      <c r="MQE53" s="113"/>
      <c r="MQF53" s="113"/>
      <c r="MQG53" s="113"/>
      <c r="MQH53" s="113"/>
      <c r="MQI53" s="113"/>
      <c r="MQJ53" s="113"/>
      <c r="MQK53" s="113"/>
      <c r="MQL53" s="113"/>
      <c r="MQM53" s="113"/>
      <c r="MQN53" s="113"/>
      <c r="MQO53" s="113"/>
      <c r="MQP53" s="113"/>
      <c r="MQQ53" s="113"/>
      <c r="MQR53" s="113"/>
      <c r="MQS53" s="113"/>
      <c r="MQT53" s="113"/>
      <c r="MQU53" s="113"/>
      <c r="MQV53" s="113"/>
      <c r="MQW53" s="113"/>
      <c r="MQX53" s="113"/>
      <c r="MQY53" s="113"/>
      <c r="MQZ53" s="113"/>
      <c r="MRA53" s="113"/>
      <c r="MRB53" s="113"/>
      <c r="MRC53" s="113"/>
      <c r="MRD53" s="113"/>
      <c r="MRE53" s="113"/>
      <c r="MRF53" s="113"/>
      <c r="MRG53" s="113"/>
      <c r="MRH53" s="113"/>
      <c r="MRI53" s="113"/>
      <c r="MRJ53" s="113"/>
      <c r="MRK53" s="113"/>
      <c r="MRL53" s="113"/>
      <c r="MRM53" s="113"/>
      <c r="MRN53" s="113"/>
      <c r="MRO53" s="113"/>
      <c r="MRP53" s="113"/>
      <c r="MRQ53" s="113"/>
      <c r="MRR53" s="113"/>
      <c r="MRS53" s="113"/>
      <c r="MRT53" s="113"/>
      <c r="MRU53" s="113"/>
      <c r="MRV53" s="113"/>
      <c r="MRW53" s="113"/>
      <c r="MRX53" s="113"/>
      <c r="MRY53" s="113"/>
      <c r="MRZ53" s="113"/>
      <c r="MSA53" s="113"/>
      <c r="MSB53" s="113"/>
      <c r="MSC53" s="113"/>
      <c r="MSD53" s="113"/>
      <c r="MSE53" s="113"/>
      <c r="MSF53" s="113"/>
      <c r="MSG53" s="113"/>
      <c r="MSH53" s="113"/>
      <c r="MSI53" s="113"/>
      <c r="MSJ53" s="113"/>
      <c r="MSK53" s="113"/>
      <c r="MSL53" s="113"/>
      <c r="MSM53" s="113"/>
      <c r="MSN53" s="113"/>
      <c r="MSO53" s="113"/>
      <c r="MSP53" s="113"/>
      <c r="MSQ53" s="113"/>
      <c r="MSR53" s="113"/>
      <c r="MSS53" s="113"/>
      <c r="MST53" s="113"/>
      <c r="MSU53" s="113"/>
      <c r="MSV53" s="113"/>
      <c r="MSW53" s="113"/>
      <c r="MSX53" s="113"/>
      <c r="MSY53" s="113"/>
      <c r="MSZ53" s="113"/>
      <c r="MTA53" s="113"/>
      <c r="MTB53" s="113"/>
      <c r="MTC53" s="113"/>
      <c r="MTD53" s="113"/>
      <c r="MTE53" s="113"/>
      <c r="MTF53" s="113"/>
      <c r="MTG53" s="113"/>
      <c r="MTH53" s="113"/>
      <c r="MTI53" s="113"/>
      <c r="MTJ53" s="113"/>
      <c r="MTK53" s="113"/>
      <c r="MTL53" s="113"/>
      <c r="MTM53" s="113"/>
      <c r="MTN53" s="113"/>
      <c r="MTO53" s="113"/>
      <c r="MTP53" s="113"/>
      <c r="MTQ53" s="113"/>
      <c r="MTR53" s="113"/>
      <c r="MTS53" s="113"/>
      <c r="MTT53" s="113"/>
      <c r="MTU53" s="113"/>
      <c r="MTV53" s="113"/>
      <c r="MTW53" s="113"/>
      <c r="MTX53" s="113"/>
      <c r="MTY53" s="113"/>
      <c r="MTZ53" s="113"/>
      <c r="MUA53" s="113"/>
      <c r="MUB53" s="113"/>
      <c r="MUC53" s="113"/>
      <c r="MUD53" s="113"/>
      <c r="MUE53" s="113"/>
      <c r="MUF53" s="113"/>
      <c r="MUG53" s="113"/>
      <c r="MUH53" s="113"/>
      <c r="MUI53" s="113"/>
      <c r="MUJ53" s="113"/>
      <c r="MUK53" s="113"/>
      <c r="MUL53" s="113"/>
      <c r="MUM53" s="113"/>
      <c r="MUN53" s="113"/>
      <c r="MUO53" s="113"/>
      <c r="MUP53" s="113"/>
      <c r="MUQ53" s="113"/>
      <c r="MUR53" s="113"/>
      <c r="MUS53" s="113"/>
      <c r="MUT53" s="113"/>
      <c r="MUU53" s="113"/>
      <c r="MUV53" s="113"/>
      <c r="MUW53" s="113"/>
      <c r="MUX53" s="113"/>
      <c r="MUY53" s="113"/>
      <c r="MUZ53" s="113"/>
      <c r="MVA53" s="113"/>
      <c r="MVB53" s="113"/>
      <c r="MVC53" s="113"/>
      <c r="MVD53" s="113"/>
      <c r="MVE53" s="113"/>
      <c r="MVF53" s="113"/>
      <c r="MVG53" s="113"/>
      <c r="MVH53" s="113"/>
      <c r="MVI53" s="113"/>
      <c r="MVJ53" s="113"/>
      <c r="MVK53" s="113"/>
      <c r="MVL53" s="113"/>
      <c r="MVM53" s="113"/>
      <c r="MVN53" s="113"/>
      <c r="MVO53" s="113"/>
      <c r="MVP53" s="113"/>
      <c r="MVQ53" s="113"/>
      <c r="MVR53" s="113"/>
      <c r="MVS53" s="113"/>
      <c r="MVT53" s="113"/>
      <c r="MVU53" s="113"/>
      <c r="MVV53" s="113"/>
      <c r="MVW53" s="113"/>
      <c r="MVX53" s="113"/>
      <c r="MVY53" s="113"/>
      <c r="MVZ53" s="113"/>
      <c r="MWA53" s="113"/>
      <c r="MWB53" s="113"/>
      <c r="MWC53" s="113"/>
      <c r="MWD53" s="113"/>
      <c r="MWE53" s="113"/>
      <c r="MWF53" s="113"/>
      <c r="MWG53" s="113"/>
      <c r="MWH53" s="113"/>
      <c r="MWI53" s="113"/>
      <c r="MWJ53" s="113"/>
      <c r="MWK53" s="113"/>
      <c r="MWL53" s="113"/>
      <c r="MWM53" s="113"/>
      <c r="MWN53" s="113"/>
      <c r="MWO53" s="113"/>
      <c r="MWP53" s="113"/>
      <c r="MWQ53" s="113"/>
      <c r="MWR53" s="113"/>
      <c r="MWS53" s="113"/>
      <c r="MWT53" s="113"/>
      <c r="MWU53" s="113"/>
      <c r="MWV53" s="113"/>
      <c r="MWW53" s="113"/>
      <c r="MWX53" s="113"/>
      <c r="MWY53" s="113"/>
      <c r="MWZ53" s="113"/>
      <c r="MXA53" s="113"/>
      <c r="MXB53" s="113"/>
      <c r="MXC53" s="113"/>
      <c r="MXD53" s="113"/>
      <c r="MXE53" s="113"/>
      <c r="MXF53" s="113"/>
      <c r="MXG53" s="113"/>
      <c r="MXH53" s="113"/>
      <c r="MXI53" s="113"/>
      <c r="MXJ53" s="113"/>
      <c r="MXK53" s="113"/>
      <c r="MXL53" s="113"/>
      <c r="MXM53" s="113"/>
      <c r="MXN53" s="113"/>
      <c r="MXO53" s="113"/>
      <c r="MXP53" s="113"/>
      <c r="MXQ53" s="113"/>
      <c r="MXR53" s="113"/>
      <c r="MXS53" s="113"/>
      <c r="MXT53" s="113"/>
      <c r="MXU53" s="113"/>
      <c r="MXV53" s="113"/>
      <c r="MXW53" s="113"/>
      <c r="MXX53" s="113"/>
      <c r="MXY53" s="113"/>
      <c r="MXZ53" s="113"/>
      <c r="MYA53" s="113"/>
      <c r="MYB53" s="113"/>
      <c r="MYC53" s="113"/>
      <c r="MYD53" s="113"/>
      <c r="MYE53" s="113"/>
      <c r="MYF53" s="113"/>
      <c r="MYG53" s="113"/>
      <c r="MYH53" s="113"/>
      <c r="MYI53" s="113"/>
      <c r="MYJ53" s="113"/>
      <c r="MYK53" s="113"/>
      <c r="MYL53" s="113"/>
      <c r="MYM53" s="113"/>
      <c r="MYN53" s="113"/>
      <c r="MYO53" s="113"/>
      <c r="MYP53" s="113"/>
      <c r="MYQ53" s="113"/>
      <c r="MYR53" s="113"/>
      <c r="MYS53" s="113"/>
      <c r="MYT53" s="113"/>
      <c r="MYU53" s="113"/>
      <c r="MYV53" s="113"/>
      <c r="MYW53" s="113"/>
      <c r="MYX53" s="113"/>
      <c r="MYY53" s="113"/>
      <c r="MYZ53" s="113"/>
      <c r="MZA53" s="113"/>
      <c r="MZB53" s="113"/>
      <c r="MZC53" s="113"/>
      <c r="MZD53" s="113"/>
      <c r="MZE53" s="113"/>
      <c r="MZF53" s="113"/>
      <c r="MZG53" s="113"/>
      <c r="MZH53" s="113"/>
      <c r="MZI53" s="113"/>
      <c r="MZJ53" s="113"/>
      <c r="MZK53" s="113"/>
      <c r="MZL53" s="113"/>
      <c r="MZM53" s="113"/>
      <c r="MZN53" s="113"/>
      <c r="MZO53" s="113"/>
      <c r="MZP53" s="113"/>
      <c r="MZQ53" s="113"/>
      <c r="MZR53" s="113"/>
      <c r="MZS53" s="113"/>
      <c r="MZT53" s="113"/>
      <c r="MZU53" s="113"/>
      <c r="MZV53" s="113"/>
      <c r="MZW53" s="113"/>
      <c r="MZX53" s="113"/>
      <c r="MZY53" s="113"/>
      <c r="MZZ53" s="113"/>
      <c r="NAA53" s="113"/>
      <c r="NAB53" s="113"/>
      <c r="NAC53" s="113"/>
      <c r="NAD53" s="113"/>
      <c r="NAE53" s="113"/>
      <c r="NAF53" s="113"/>
      <c r="NAG53" s="113"/>
      <c r="NAH53" s="113"/>
      <c r="NAI53" s="113"/>
      <c r="NAJ53" s="113"/>
      <c r="NAK53" s="113"/>
      <c r="NAL53" s="113"/>
      <c r="NAM53" s="113"/>
      <c r="NAN53" s="113"/>
      <c r="NAO53" s="113"/>
      <c r="NAP53" s="113"/>
      <c r="NAQ53" s="113"/>
      <c r="NAR53" s="113"/>
      <c r="NAS53" s="113"/>
      <c r="NAT53" s="113"/>
      <c r="NAU53" s="113"/>
      <c r="NAV53" s="113"/>
      <c r="NAW53" s="113"/>
      <c r="NAX53" s="113"/>
      <c r="NAY53" s="113"/>
      <c r="NAZ53" s="113"/>
      <c r="NBA53" s="113"/>
      <c r="NBB53" s="113"/>
      <c r="NBC53" s="113"/>
      <c r="NBD53" s="113"/>
      <c r="NBE53" s="113"/>
      <c r="NBF53" s="113"/>
      <c r="NBG53" s="113"/>
      <c r="NBH53" s="113"/>
      <c r="NBI53" s="113"/>
      <c r="NBJ53" s="113"/>
      <c r="NBK53" s="113"/>
      <c r="NBL53" s="113"/>
      <c r="NBM53" s="113"/>
      <c r="NBN53" s="113"/>
      <c r="NBO53" s="113"/>
      <c r="NBP53" s="113"/>
      <c r="NBQ53" s="113"/>
      <c r="NBR53" s="113"/>
      <c r="NBS53" s="113"/>
      <c r="NBT53" s="113"/>
      <c r="NBU53" s="113"/>
      <c r="NBV53" s="113"/>
      <c r="NBW53" s="113"/>
      <c r="NBX53" s="113"/>
      <c r="NBY53" s="113"/>
      <c r="NBZ53" s="113"/>
      <c r="NCA53" s="113"/>
      <c r="NCB53" s="113"/>
      <c r="NCC53" s="113"/>
      <c r="NCD53" s="113"/>
      <c r="NCE53" s="113"/>
      <c r="NCF53" s="113"/>
      <c r="NCG53" s="113"/>
      <c r="NCH53" s="113"/>
      <c r="NCI53" s="113"/>
      <c r="NCJ53" s="113"/>
      <c r="NCK53" s="113"/>
      <c r="NCL53" s="113"/>
      <c r="NCM53" s="113"/>
      <c r="NCN53" s="113"/>
      <c r="NCO53" s="113"/>
      <c r="NCP53" s="113"/>
      <c r="NCQ53" s="113"/>
      <c r="NCR53" s="113"/>
      <c r="NCS53" s="113"/>
      <c r="NCT53" s="113"/>
      <c r="NCU53" s="113"/>
      <c r="NCV53" s="113"/>
      <c r="NCW53" s="113"/>
      <c r="NCX53" s="113"/>
      <c r="NCY53" s="113"/>
      <c r="NCZ53" s="113"/>
      <c r="NDA53" s="113"/>
      <c r="NDB53" s="113"/>
      <c r="NDC53" s="113"/>
      <c r="NDD53" s="113"/>
      <c r="NDE53" s="113"/>
      <c r="NDF53" s="113"/>
      <c r="NDG53" s="113"/>
      <c r="NDH53" s="113"/>
      <c r="NDI53" s="113"/>
      <c r="NDJ53" s="113"/>
      <c r="NDK53" s="113"/>
      <c r="NDL53" s="113"/>
      <c r="NDM53" s="113"/>
      <c r="NDN53" s="113"/>
      <c r="NDO53" s="113"/>
      <c r="NDP53" s="113"/>
      <c r="NDQ53" s="113"/>
      <c r="NDR53" s="113"/>
      <c r="NDS53" s="113"/>
      <c r="NDT53" s="113"/>
      <c r="NDU53" s="113"/>
      <c r="NDV53" s="113"/>
      <c r="NDW53" s="113"/>
      <c r="NDX53" s="113"/>
      <c r="NDY53" s="113"/>
      <c r="NDZ53" s="113"/>
      <c r="NEA53" s="113"/>
      <c r="NEB53" s="113"/>
      <c r="NEC53" s="113"/>
      <c r="NED53" s="113"/>
      <c r="NEE53" s="113"/>
      <c r="NEF53" s="113"/>
      <c r="NEG53" s="113"/>
      <c r="NEH53" s="113"/>
      <c r="NEI53" s="113"/>
      <c r="NEJ53" s="113"/>
      <c r="NEK53" s="113"/>
      <c r="NEL53" s="113"/>
      <c r="NEM53" s="113"/>
      <c r="NEN53" s="113"/>
      <c r="NEO53" s="113"/>
      <c r="NEP53" s="113"/>
      <c r="NEQ53" s="113"/>
      <c r="NER53" s="113"/>
      <c r="NES53" s="113"/>
      <c r="NET53" s="113"/>
      <c r="NEU53" s="113"/>
      <c r="NEV53" s="113"/>
      <c r="NEW53" s="113"/>
      <c r="NEX53" s="113"/>
      <c r="NEY53" s="113"/>
      <c r="NEZ53" s="113"/>
      <c r="NFA53" s="113"/>
      <c r="NFB53" s="113"/>
      <c r="NFC53" s="113"/>
      <c r="NFD53" s="113"/>
      <c r="NFE53" s="113"/>
      <c r="NFF53" s="113"/>
      <c r="NFG53" s="113"/>
      <c r="NFH53" s="113"/>
      <c r="NFI53" s="113"/>
      <c r="NFJ53" s="113"/>
      <c r="NFK53" s="113"/>
      <c r="NFL53" s="113"/>
      <c r="NFM53" s="113"/>
      <c r="NFN53" s="113"/>
      <c r="NFO53" s="113"/>
      <c r="NFP53" s="113"/>
      <c r="NFQ53" s="113"/>
      <c r="NFR53" s="113"/>
      <c r="NFS53" s="113"/>
      <c r="NFT53" s="113"/>
      <c r="NFU53" s="113"/>
      <c r="NFV53" s="113"/>
      <c r="NFW53" s="113"/>
      <c r="NFX53" s="113"/>
      <c r="NFY53" s="113"/>
      <c r="NFZ53" s="113"/>
      <c r="NGA53" s="113"/>
      <c r="NGB53" s="113"/>
      <c r="NGC53" s="113"/>
      <c r="NGD53" s="113"/>
      <c r="NGE53" s="113"/>
      <c r="NGF53" s="113"/>
      <c r="NGG53" s="113"/>
      <c r="NGH53" s="113"/>
      <c r="NGI53" s="113"/>
      <c r="NGJ53" s="113"/>
      <c r="NGK53" s="113"/>
      <c r="NGL53" s="113"/>
      <c r="NGM53" s="113"/>
      <c r="NGN53" s="113"/>
      <c r="NGO53" s="113"/>
      <c r="NGP53" s="113"/>
      <c r="NGQ53" s="113"/>
      <c r="NGR53" s="113"/>
      <c r="NGS53" s="113"/>
      <c r="NGT53" s="113"/>
      <c r="NGU53" s="113"/>
      <c r="NGV53" s="113"/>
      <c r="NGW53" s="113"/>
      <c r="NGX53" s="113"/>
      <c r="NGY53" s="113"/>
      <c r="NGZ53" s="113"/>
      <c r="NHA53" s="113"/>
      <c r="NHB53" s="113"/>
      <c r="NHC53" s="113"/>
      <c r="NHD53" s="113"/>
      <c r="NHE53" s="113"/>
      <c r="NHF53" s="113"/>
      <c r="NHG53" s="113"/>
      <c r="NHH53" s="113"/>
      <c r="NHI53" s="113"/>
      <c r="NHJ53" s="113"/>
      <c r="NHK53" s="113"/>
      <c r="NHL53" s="113"/>
      <c r="NHM53" s="113"/>
      <c r="NHN53" s="113"/>
      <c r="NHO53" s="113"/>
      <c r="NHP53" s="113"/>
      <c r="NHQ53" s="113"/>
      <c r="NHR53" s="113"/>
      <c r="NHS53" s="113"/>
      <c r="NHT53" s="113"/>
      <c r="NHU53" s="113"/>
      <c r="NHV53" s="113"/>
      <c r="NHW53" s="113"/>
      <c r="NHX53" s="113"/>
      <c r="NHY53" s="113"/>
      <c r="NHZ53" s="113"/>
      <c r="NIA53" s="113"/>
      <c r="NIB53" s="113"/>
      <c r="NIC53" s="113"/>
      <c r="NID53" s="113"/>
      <c r="NIE53" s="113"/>
      <c r="NIF53" s="113"/>
      <c r="NIG53" s="113"/>
      <c r="NIH53" s="113"/>
      <c r="NII53" s="113"/>
      <c r="NIJ53" s="113"/>
      <c r="NIK53" s="113"/>
      <c r="NIL53" s="113"/>
      <c r="NIM53" s="113"/>
      <c r="NIN53" s="113"/>
      <c r="NIO53" s="113"/>
      <c r="NIP53" s="113"/>
      <c r="NIQ53" s="113"/>
      <c r="NIR53" s="113"/>
      <c r="NIS53" s="113"/>
      <c r="NIT53" s="113"/>
      <c r="NIU53" s="113"/>
      <c r="NIV53" s="113"/>
      <c r="NIW53" s="113"/>
      <c r="NIX53" s="113"/>
      <c r="NIY53" s="113"/>
      <c r="NIZ53" s="113"/>
      <c r="NJA53" s="113"/>
      <c r="NJB53" s="113"/>
      <c r="NJC53" s="113"/>
      <c r="NJD53" s="113"/>
      <c r="NJE53" s="113"/>
      <c r="NJF53" s="113"/>
      <c r="NJG53" s="113"/>
      <c r="NJH53" s="113"/>
      <c r="NJI53" s="113"/>
      <c r="NJJ53" s="113"/>
      <c r="NJK53" s="113"/>
      <c r="NJL53" s="113"/>
      <c r="NJM53" s="113"/>
      <c r="NJN53" s="113"/>
      <c r="NJO53" s="113"/>
      <c r="NJP53" s="113"/>
      <c r="NJQ53" s="113"/>
      <c r="NJR53" s="113"/>
      <c r="NJS53" s="113"/>
      <c r="NJT53" s="113"/>
      <c r="NJU53" s="113"/>
      <c r="NJV53" s="113"/>
      <c r="NJW53" s="113"/>
      <c r="NJX53" s="113"/>
      <c r="NJY53" s="113"/>
      <c r="NJZ53" s="113"/>
      <c r="NKA53" s="113"/>
      <c r="NKB53" s="113"/>
      <c r="NKC53" s="113"/>
      <c r="NKD53" s="113"/>
      <c r="NKE53" s="113"/>
      <c r="NKF53" s="113"/>
      <c r="NKG53" s="113"/>
      <c r="NKH53" s="113"/>
      <c r="NKI53" s="113"/>
      <c r="NKJ53" s="113"/>
      <c r="NKK53" s="113"/>
      <c r="NKL53" s="113"/>
      <c r="NKM53" s="113"/>
      <c r="NKN53" s="113"/>
      <c r="NKO53" s="113"/>
      <c r="NKP53" s="113"/>
      <c r="NKQ53" s="113"/>
      <c r="NKR53" s="113"/>
      <c r="NKS53" s="113"/>
      <c r="NKT53" s="113"/>
      <c r="NKU53" s="113"/>
      <c r="NKV53" s="113"/>
      <c r="NKW53" s="113"/>
      <c r="NKX53" s="113"/>
      <c r="NKY53" s="113"/>
      <c r="NKZ53" s="113"/>
      <c r="NLA53" s="113"/>
      <c r="NLB53" s="113"/>
      <c r="NLC53" s="113"/>
      <c r="NLD53" s="113"/>
      <c r="NLE53" s="113"/>
      <c r="NLF53" s="113"/>
      <c r="NLG53" s="113"/>
      <c r="NLH53" s="113"/>
      <c r="NLI53" s="113"/>
      <c r="NLJ53" s="113"/>
      <c r="NLK53" s="113"/>
      <c r="NLL53" s="113"/>
      <c r="NLM53" s="113"/>
      <c r="NLN53" s="113"/>
      <c r="NLO53" s="113"/>
      <c r="NLP53" s="113"/>
      <c r="NLQ53" s="113"/>
      <c r="NLR53" s="113"/>
      <c r="NLS53" s="113"/>
      <c r="NLT53" s="113"/>
      <c r="NLU53" s="113"/>
      <c r="NLV53" s="113"/>
      <c r="NLW53" s="113"/>
      <c r="NLX53" s="113"/>
      <c r="NLY53" s="113"/>
      <c r="NLZ53" s="113"/>
      <c r="NMA53" s="113"/>
      <c r="NMB53" s="113"/>
      <c r="NMC53" s="113"/>
      <c r="NMD53" s="113"/>
      <c r="NME53" s="113"/>
      <c r="NMF53" s="113"/>
      <c r="NMG53" s="113"/>
      <c r="NMH53" s="113"/>
      <c r="NMI53" s="113"/>
      <c r="NMJ53" s="113"/>
      <c r="NMK53" s="113"/>
      <c r="NML53" s="113"/>
      <c r="NMM53" s="113"/>
      <c r="NMN53" s="113"/>
      <c r="NMO53" s="113"/>
      <c r="NMP53" s="113"/>
      <c r="NMQ53" s="113"/>
      <c r="NMR53" s="113"/>
      <c r="NMS53" s="113"/>
      <c r="NMT53" s="113"/>
      <c r="NMU53" s="113"/>
      <c r="NMV53" s="113"/>
      <c r="NMW53" s="113"/>
      <c r="NMX53" s="113"/>
      <c r="NMY53" s="113"/>
      <c r="NMZ53" s="113"/>
      <c r="NNA53" s="113"/>
      <c r="NNB53" s="113"/>
      <c r="NNC53" s="113"/>
      <c r="NND53" s="113"/>
      <c r="NNE53" s="113"/>
      <c r="NNF53" s="113"/>
      <c r="NNG53" s="113"/>
      <c r="NNH53" s="113"/>
      <c r="NNI53" s="113"/>
      <c r="NNJ53" s="113"/>
      <c r="NNK53" s="113"/>
      <c r="NNL53" s="113"/>
      <c r="NNM53" s="113"/>
      <c r="NNN53" s="113"/>
      <c r="NNO53" s="113"/>
      <c r="NNP53" s="113"/>
      <c r="NNQ53" s="113"/>
      <c r="NNR53" s="113"/>
      <c r="NNS53" s="113"/>
      <c r="NNT53" s="113"/>
      <c r="NNU53" s="113"/>
      <c r="NNV53" s="113"/>
      <c r="NNW53" s="113"/>
      <c r="NNX53" s="113"/>
      <c r="NNY53" s="113"/>
      <c r="NNZ53" s="113"/>
      <c r="NOA53" s="113"/>
      <c r="NOB53" s="113"/>
      <c r="NOC53" s="113"/>
      <c r="NOD53" s="113"/>
      <c r="NOE53" s="113"/>
      <c r="NOF53" s="113"/>
      <c r="NOG53" s="113"/>
      <c r="NOH53" s="113"/>
      <c r="NOI53" s="113"/>
      <c r="NOJ53" s="113"/>
      <c r="NOK53" s="113"/>
      <c r="NOL53" s="113"/>
      <c r="NOM53" s="113"/>
      <c r="NON53" s="113"/>
      <c r="NOO53" s="113"/>
      <c r="NOP53" s="113"/>
      <c r="NOQ53" s="113"/>
      <c r="NOR53" s="113"/>
      <c r="NOS53" s="113"/>
      <c r="NOT53" s="113"/>
      <c r="NOU53" s="113"/>
      <c r="NOV53" s="113"/>
      <c r="NOW53" s="113"/>
      <c r="NOX53" s="113"/>
      <c r="NOY53" s="113"/>
      <c r="NOZ53" s="113"/>
      <c r="NPA53" s="113"/>
      <c r="NPB53" s="113"/>
      <c r="NPC53" s="113"/>
      <c r="NPD53" s="113"/>
      <c r="NPE53" s="113"/>
      <c r="NPF53" s="113"/>
      <c r="NPG53" s="113"/>
      <c r="NPH53" s="113"/>
      <c r="NPI53" s="113"/>
      <c r="NPJ53" s="113"/>
      <c r="NPK53" s="113"/>
      <c r="NPL53" s="113"/>
      <c r="NPM53" s="113"/>
      <c r="NPN53" s="113"/>
      <c r="NPO53" s="113"/>
      <c r="NPP53" s="113"/>
      <c r="NPQ53" s="113"/>
      <c r="NPR53" s="113"/>
      <c r="NPS53" s="113"/>
      <c r="NPT53" s="113"/>
      <c r="NPU53" s="113"/>
      <c r="NPV53" s="113"/>
      <c r="NPW53" s="113"/>
      <c r="NPX53" s="113"/>
      <c r="NPY53" s="113"/>
      <c r="NPZ53" s="113"/>
      <c r="NQA53" s="113"/>
      <c r="NQB53" s="113"/>
      <c r="NQC53" s="113"/>
      <c r="NQD53" s="113"/>
      <c r="NQE53" s="113"/>
      <c r="NQF53" s="113"/>
      <c r="NQG53" s="113"/>
      <c r="NQH53" s="113"/>
      <c r="NQI53" s="113"/>
      <c r="NQJ53" s="113"/>
      <c r="NQK53" s="113"/>
      <c r="NQL53" s="113"/>
      <c r="NQM53" s="113"/>
      <c r="NQN53" s="113"/>
      <c r="NQO53" s="113"/>
      <c r="NQP53" s="113"/>
      <c r="NQQ53" s="113"/>
      <c r="NQR53" s="113"/>
      <c r="NQS53" s="113"/>
      <c r="NQT53" s="113"/>
      <c r="NQU53" s="113"/>
      <c r="NQV53" s="113"/>
      <c r="NQW53" s="113"/>
      <c r="NQX53" s="113"/>
      <c r="NQY53" s="113"/>
      <c r="NQZ53" s="113"/>
      <c r="NRA53" s="113"/>
      <c r="NRB53" s="113"/>
      <c r="NRC53" s="113"/>
      <c r="NRD53" s="113"/>
      <c r="NRE53" s="113"/>
      <c r="NRF53" s="113"/>
      <c r="NRG53" s="113"/>
      <c r="NRH53" s="113"/>
      <c r="NRI53" s="113"/>
      <c r="NRJ53" s="113"/>
      <c r="NRK53" s="113"/>
      <c r="NRL53" s="113"/>
      <c r="NRM53" s="113"/>
      <c r="NRN53" s="113"/>
      <c r="NRO53" s="113"/>
      <c r="NRP53" s="113"/>
      <c r="NRQ53" s="113"/>
      <c r="NRR53" s="113"/>
      <c r="NRS53" s="113"/>
      <c r="NRT53" s="113"/>
      <c r="NRU53" s="113"/>
      <c r="NRV53" s="113"/>
      <c r="NRW53" s="113"/>
      <c r="NRX53" s="113"/>
      <c r="NRY53" s="113"/>
      <c r="NRZ53" s="113"/>
      <c r="NSA53" s="113"/>
      <c r="NSB53" s="113"/>
      <c r="NSC53" s="113"/>
      <c r="NSD53" s="113"/>
      <c r="NSE53" s="113"/>
      <c r="NSF53" s="113"/>
      <c r="NSG53" s="113"/>
      <c r="NSH53" s="113"/>
      <c r="NSI53" s="113"/>
      <c r="NSJ53" s="113"/>
      <c r="NSK53" s="113"/>
      <c r="NSL53" s="113"/>
      <c r="NSM53" s="113"/>
      <c r="NSN53" s="113"/>
      <c r="NSO53" s="113"/>
      <c r="NSP53" s="113"/>
      <c r="NSQ53" s="113"/>
      <c r="NSR53" s="113"/>
      <c r="NSS53" s="113"/>
      <c r="NST53" s="113"/>
      <c r="NSU53" s="113"/>
      <c r="NSV53" s="113"/>
      <c r="NSW53" s="113"/>
      <c r="NSX53" s="113"/>
      <c r="NSY53" s="113"/>
      <c r="NSZ53" s="113"/>
      <c r="NTA53" s="113"/>
      <c r="NTB53" s="113"/>
      <c r="NTC53" s="113"/>
      <c r="NTD53" s="113"/>
      <c r="NTE53" s="113"/>
      <c r="NTF53" s="113"/>
      <c r="NTG53" s="113"/>
      <c r="NTH53" s="113"/>
      <c r="NTI53" s="113"/>
      <c r="NTJ53" s="113"/>
      <c r="NTK53" s="113"/>
      <c r="NTL53" s="113"/>
      <c r="NTM53" s="113"/>
      <c r="NTN53" s="113"/>
      <c r="NTO53" s="113"/>
      <c r="NTP53" s="113"/>
      <c r="NTQ53" s="113"/>
      <c r="NTR53" s="113"/>
      <c r="NTS53" s="113"/>
      <c r="NTT53" s="113"/>
      <c r="NTU53" s="113"/>
      <c r="NTV53" s="113"/>
      <c r="NTW53" s="113"/>
      <c r="NTX53" s="113"/>
      <c r="NTY53" s="113"/>
      <c r="NTZ53" s="113"/>
      <c r="NUA53" s="113"/>
      <c r="NUB53" s="113"/>
      <c r="NUC53" s="113"/>
      <c r="NUD53" s="113"/>
      <c r="NUE53" s="113"/>
      <c r="NUF53" s="113"/>
      <c r="NUG53" s="113"/>
      <c r="NUH53" s="113"/>
      <c r="NUI53" s="113"/>
      <c r="NUJ53" s="113"/>
      <c r="NUK53" s="113"/>
      <c r="NUL53" s="113"/>
      <c r="NUM53" s="113"/>
      <c r="NUN53" s="113"/>
      <c r="NUO53" s="113"/>
      <c r="NUP53" s="113"/>
      <c r="NUQ53" s="113"/>
      <c r="NUR53" s="113"/>
      <c r="NUS53" s="113"/>
      <c r="NUT53" s="113"/>
      <c r="NUU53" s="113"/>
      <c r="NUV53" s="113"/>
      <c r="NUW53" s="113"/>
      <c r="NUX53" s="113"/>
      <c r="NUY53" s="113"/>
      <c r="NUZ53" s="113"/>
      <c r="NVA53" s="113"/>
      <c r="NVB53" s="113"/>
      <c r="NVC53" s="113"/>
      <c r="NVD53" s="113"/>
      <c r="NVE53" s="113"/>
      <c r="NVF53" s="113"/>
      <c r="NVG53" s="113"/>
      <c r="NVH53" s="113"/>
      <c r="NVI53" s="113"/>
      <c r="NVJ53" s="113"/>
      <c r="NVK53" s="113"/>
      <c r="NVL53" s="113"/>
      <c r="NVM53" s="113"/>
      <c r="NVN53" s="113"/>
      <c r="NVO53" s="113"/>
      <c r="NVP53" s="113"/>
      <c r="NVQ53" s="113"/>
      <c r="NVR53" s="113"/>
      <c r="NVS53" s="113"/>
      <c r="NVT53" s="113"/>
      <c r="NVU53" s="113"/>
      <c r="NVV53" s="113"/>
      <c r="NVW53" s="113"/>
      <c r="NVX53" s="113"/>
      <c r="NVY53" s="113"/>
      <c r="NVZ53" s="113"/>
      <c r="NWA53" s="113"/>
      <c r="NWB53" s="113"/>
      <c r="NWC53" s="113"/>
      <c r="NWD53" s="113"/>
      <c r="NWE53" s="113"/>
      <c r="NWF53" s="113"/>
      <c r="NWG53" s="113"/>
      <c r="NWH53" s="113"/>
      <c r="NWI53" s="113"/>
      <c r="NWJ53" s="113"/>
      <c r="NWK53" s="113"/>
      <c r="NWL53" s="113"/>
      <c r="NWM53" s="113"/>
      <c r="NWN53" s="113"/>
      <c r="NWO53" s="113"/>
      <c r="NWP53" s="113"/>
      <c r="NWQ53" s="113"/>
      <c r="NWR53" s="113"/>
      <c r="NWS53" s="113"/>
      <c r="NWT53" s="113"/>
      <c r="NWU53" s="113"/>
      <c r="NWV53" s="113"/>
      <c r="NWW53" s="113"/>
      <c r="NWX53" s="113"/>
      <c r="NWY53" s="113"/>
      <c r="NWZ53" s="113"/>
      <c r="NXA53" s="113"/>
      <c r="NXB53" s="113"/>
      <c r="NXC53" s="113"/>
      <c r="NXD53" s="113"/>
      <c r="NXE53" s="113"/>
      <c r="NXF53" s="113"/>
      <c r="NXG53" s="113"/>
      <c r="NXH53" s="113"/>
      <c r="NXI53" s="113"/>
      <c r="NXJ53" s="113"/>
      <c r="NXK53" s="113"/>
      <c r="NXL53" s="113"/>
      <c r="NXM53" s="113"/>
      <c r="NXN53" s="113"/>
      <c r="NXO53" s="113"/>
      <c r="NXP53" s="113"/>
      <c r="NXQ53" s="113"/>
      <c r="NXR53" s="113"/>
      <c r="NXS53" s="113"/>
      <c r="NXT53" s="113"/>
      <c r="NXU53" s="113"/>
      <c r="NXV53" s="113"/>
      <c r="NXW53" s="113"/>
      <c r="NXX53" s="113"/>
      <c r="NXY53" s="113"/>
      <c r="NXZ53" s="113"/>
      <c r="NYA53" s="113"/>
      <c r="NYB53" s="113"/>
      <c r="NYC53" s="113"/>
      <c r="NYD53" s="113"/>
      <c r="NYE53" s="113"/>
      <c r="NYF53" s="113"/>
      <c r="NYG53" s="113"/>
      <c r="NYH53" s="113"/>
      <c r="NYI53" s="113"/>
      <c r="NYJ53" s="113"/>
      <c r="NYK53" s="113"/>
      <c r="NYL53" s="113"/>
      <c r="NYM53" s="113"/>
      <c r="NYN53" s="113"/>
      <c r="NYO53" s="113"/>
      <c r="NYP53" s="113"/>
      <c r="NYQ53" s="113"/>
      <c r="NYR53" s="113"/>
      <c r="NYS53" s="113"/>
      <c r="NYT53" s="113"/>
      <c r="NYU53" s="113"/>
      <c r="NYV53" s="113"/>
      <c r="NYW53" s="113"/>
      <c r="NYX53" s="113"/>
      <c r="NYY53" s="113"/>
      <c r="NYZ53" s="113"/>
      <c r="NZA53" s="113"/>
      <c r="NZB53" s="113"/>
      <c r="NZC53" s="113"/>
      <c r="NZD53" s="113"/>
      <c r="NZE53" s="113"/>
      <c r="NZF53" s="113"/>
      <c r="NZG53" s="113"/>
      <c r="NZH53" s="113"/>
      <c r="NZI53" s="113"/>
      <c r="NZJ53" s="113"/>
      <c r="NZK53" s="113"/>
      <c r="NZL53" s="113"/>
      <c r="NZM53" s="113"/>
      <c r="NZN53" s="113"/>
      <c r="NZO53" s="113"/>
      <c r="NZP53" s="113"/>
      <c r="NZQ53" s="113"/>
      <c r="NZR53" s="113"/>
      <c r="NZS53" s="113"/>
      <c r="NZT53" s="113"/>
      <c r="NZU53" s="113"/>
      <c r="NZV53" s="113"/>
      <c r="NZW53" s="113"/>
      <c r="NZX53" s="113"/>
      <c r="NZY53" s="113"/>
      <c r="NZZ53" s="113"/>
      <c r="OAA53" s="113"/>
      <c r="OAB53" s="113"/>
      <c r="OAC53" s="113"/>
      <c r="OAD53" s="113"/>
      <c r="OAE53" s="113"/>
      <c r="OAF53" s="113"/>
      <c r="OAG53" s="113"/>
      <c r="OAH53" s="113"/>
      <c r="OAI53" s="113"/>
      <c r="OAJ53" s="113"/>
      <c r="OAK53" s="113"/>
      <c r="OAL53" s="113"/>
      <c r="OAM53" s="113"/>
      <c r="OAN53" s="113"/>
      <c r="OAO53" s="113"/>
      <c r="OAP53" s="113"/>
      <c r="OAQ53" s="113"/>
      <c r="OAR53" s="113"/>
      <c r="OAS53" s="113"/>
      <c r="OAT53" s="113"/>
      <c r="OAU53" s="113"/>
      <c r="OAV53" s="113"/>
      <c r="OAW53" s="113"/>
      <c r="OAX53" s="113"/>
      <c r="OAY53" s="113"/>
      <c r="OAZ53" s="113"/>
      <c r="OBA53" s="113"/>
      <c r="OBB53" s="113"/>
      <c r="OBC53" s="113"/>
      <c r="OBD53" s="113"/>
      <c r="OBE53" s="113"/>
      <c r="OBF53" s="113"/>
      <c r="OBG53" s="113"/>
      <c r="OBH53" s="113"/>
      <c r="OBI53" s="113"/>
      <c r="OBJ53" s="113"/>
      <c r="OBK53" s="113"/>
      <c r="OBL53" s="113"/>
      <c r="OBM53" s="113"/>
      <c r="OBN53" s="113"/>
      <c r="OBO53" s="113"/>
      <c r="OBP53" s="113"/>
      <c r="OBQ53" s="113"/>
      <c r="OBR53" s="113"/>
      <c r="OBS53" s="113"/>
      <c r="OBT53" s="113"/>
      <c r="OBU53" s="113"/>
      <c r="OBV53" s="113"/>
      <c r="OBW53" s="113"/>
      <c r="OBX53" s="113"/>
      <c r="OBY53" s="113"/>
      <c r="OBZ53" s="113"/>
      <c r="OCA53" s="113"/>
      <c r="OCB53" s="113"/>
      <c r="OCC53" s="113"/>
      <c r="OCD53" s="113"/>
      <c r="OCE53" s="113"/>
      <c r="OCF53" s="113"/>
      <c r="OCG53" s="113"/>
      <c r="OCH53" s="113"/>
      <c r="OCI53" s="113"/>
      <c r="OCJ53" s="113"/>
      <c r="OCK53" s="113"/>
      <c r="OCL53" s="113"/>
      <c r="OCM53" s="113"/>
      <c r="OCN53" s="113"/>
      <c r="OCO53" s="113"/>
      <c r="OCP53" s="113"/>
      <c r="OCQ53" s="113"/>
      <c r="OCR53" s="113"/>
      <c r="OCS53" s="113"/>
      <c r="OCT53" s="113"/>
      <c r="OCU53" s="113"/>
      <c r="OCV53" s="113"/>
      <c r="OCW53" s="113"/>
      <c r="OCX53" s="113"/>
      <c r="OCY53" s="113"/>
      <c r="OCZ53" s="113"/>
      <c r="ODA53" s="113"/>
      <c r="ODB53" s="113"/>
      <c r="ODC53" s="113"/>
      <c r="ODD53" s="113"/>
      <c r="ODE53" s="113"/>
      <c r="ODF53" s="113"/>
      <c r="ODG53" s="113"/>
      <c r="ODH53" s="113"/>
      <c r="ODI53" s="113"/>
      <c r="ODJ53" s="113"/>
      <c r="ODK53" s="113"/>
      <c r="ODL53" s="113"/>
      <c r="ODM53" s="113"/>
      <c r="ODN53" s="113"/>
      <c r="ODO53" s="113"/>
      <c r="ODP53" s="113"/>
      <c r="ODQ53" s="113"/>
      <c r="ODR53" s="113"/>
      <c r="ODS53" s="113"/>
      <c r="ODT53" s="113"/>
      <c r="ODU53" s="113"/>
      <c r="ODV53" s="113"/>
      <c r="ODW53" s="113"/>
      <c r="ODX53" s="113"/>
      <c r="ODY53" s="113"/>
      <c r="ODZ53" s="113"/>
      <c r="OEA53" s="113"/>
      <c r="OEB53" s="113"/>
      <c r="OEC53" s="113"/>
      <c r="OED53" s="113"/>
      <c r="OEE53" s="113"/>
      <c r="OEF53" s="113"/>
      <c r="OEG53" s="113"/>
      <c r="OEH53" s="113"/>
      <c r="OEI53" s="113"/>
      <c r="OEJ53" s="113"/>
      <c r="OEK53" s="113"/>
      <c r="OEL53" s="113"/>
      <c r="OEM53" s="113"/>
      <c r="OEN53" s="113"/>
      <c r="OEO53" s="113"/>
      <c r="OEP53" s="113"/>
      <c r="OEQ53" s="113"/>
      <c r="OER53" s="113"/>
      <c r="OES53" s="113"/>
      <c r="OET53" s="113"/>
      <c r="OEU53" s="113"/>
      <c r="OEV53" s="113"/>
      <c r="OEW53" s="113"/>
      <c r="OEX53" s="113"/>
      <c r="OEY53" s="113"/>
      <c r="OEZ53" s="113"/>
      <c r="OFA53" s="113"/>
      <c r="OFB53" s="113"/>
      <c r="OFC53" s="113"/>
      <c r="OFD53" s="113"/>
      <c r="OFE53" s="113"/>
      <c r="OFF53" s="113"/>
      <c r="OFG53" s="113"/>
      <c r="OFH53" s="113"/>
      <c r="OFI53" s="113"/>
      <c r="OFJ53" s="113"/>
      <c r="OFK53" s="113"/>
      <c r="OFL53" s="113"/>
      <c r="OFM53" s="113"/>
      <c r="OFN53" s="113"/>
      <c r="OFO53" s="113"/>
      <c r="OFP53" s="113"/>
      <c r="OFQ53" s="113"/>
      <c r="OFR53" s="113"/>
      <c r="OFS53" s="113"/>
      <c r="OFT53" s="113"/>
      <c r="OFU53" s="113"/>
      <c r="OFV53" s="113"/>
      <c r="OFW53" s="113"/>
      <c r="OFX53" s="113"/>
      <c r="OFY53" s="113"/>
      <c r="OFZ53" s="113"/>
      <c r="OGA53" s="113"/>
      <c r="OGB53" s="113"/>
      <c r="OGC53" s="113"/>
      <c r="OGD53" s="113"/>
      <c r="OGE53" s="113"/>
      <c r="OGF53" s="113"/>
      <c r="OGG53" s="113"/>
      <c r="OGH53" s="113"/>
      <c r="OGI53" s="113"/>
      <c r="OGJ53" s="113"/>
      <c r="OGK53" s="113"/>
      <c r="OGL53" s="113"/>
      <c r="OGM53" s="113"/>
      <c r="OGN53" s="113"/>
      <c r="OGO53" s="113"/>
      <c r="OGP53" s="113"/>
      <c r="OGQ53" s="113"/>
      <c r="OGR53" s="113"/>
      <c r="OGS53" s="113"/>
      <c r="OGT53" s="113"/>
      <c r="OGU53" s="113"/>
      <c r="OGV53" s="113"/>
      <c r="OGW53" s="113"/>
      <c r="OGX53" s="113"/>
      <c r="OGY53" s="113"/>
      <c r="OGZ53" s="113"/>
      <c r="OHA53" s="113"/>
      <c r="OHB53" s="113"/>
      <c r="OHC53" s="113"/>
      <c r="OHD53" s="113"/>
      <c r="OHE53" s="113"/>
      <c r="OHF53" s="113"/>
      <c r="OHG53" s="113"/>
      <c r="OHH53" s="113"/>
      <c r="OHI53" s="113"/>
      <c r="OHJ53" s="113"/>
      <c r="OHK53" s="113"/>
      <c r="OHL53" s="113"/>
      <c r="OHM53" s="113"/>
      <c r="OHN53" s="113"/>
      <c r="OHO53" s="113"/>
      <c r="OHP53" s="113"/>
      <c r="OHQ53" s="113"/>
      <c r="OHR53" s="113"/>
      <c r="OHS53" s="113"/>
      <c r="OHT53" s="113"/>
      <c r="OHU53" s="113"/>
      <c r="OHV53" s="113"/>
      <c r="OHW53" s="113"/>
      <c r="OHX53" s="113"/>
      <c r="OHY53" s="113"/>
      <c r="OHZ53" s="113"/>
      <c r="OIA53" s="113"/>
      <c r="OIB53" s="113"/>
      <c r="OIC53" s="113"/>
      <c r="OID53" s="113"/>
      <c r="OIE53" s="113"/>
      <c r="OIF53" s="113"/>
      <c r="OIG53" s="113"/>
      <c r="OIH53" s="113"/>
      <c r="OII53" s="113"/>
      <c r="OIJ53" s="113"/>
      <c r="OIK53" s="113"/>
      <c r="OIL53" s="113"/>
      <c r="OIM53" s="113"/>
      <c r="OIN53" s="113"/>
      <c r="OIO53" s="113"/>
      <c r="OIP53" s="113"/>
      <c r="OIQ53" s="113"/>
      <c r="OIR53" s="113"/>
      <c r="OIS53" s="113"/>
      <c r="OIT53" s="113"/>
      <c r="OIU53" s="113"/>
      <c r="OIV53" s="113"/>
      <c r="OIW53" s="113"/>
      <c r="OIX53" s="113"/>
      <c r="OIY53" s="113"/>
      <c r="OIZ53" s="113"/>
      <c r="OJA53" s="113"/>
      <c r="OJB53" s="113"/>
      <c r="OJC53" s="113"/>
      <c r="OJD53" s="113"/>
      <c r="OJE53" s="113"/>
      <c r="OJF53" s="113"/>
      <c r="OJG53" s="113"/>
      <c r="OJH53" s="113"/>
      <c r="OJI53" s="113"/>
      <c r="OJJ53" s="113"/>
      <c r="OJK53" s="113"/>
      <c r="OJL53" s="113"/>
      <c r="OJM53" s="113"/>
      <c r="OJN53" s="113"/>
      <c r="OJO53" s="113"/>
      <c r="OJP53" s="113"/>
      <c r="OJQ53" s="113"/>
      <c r="OJR53" s="113"/>
      <c r="OJS53" s="113"/>
      <c r="OJT53" s="113"/>
      <c r="OJU53" s="113"/>
      <c r="OJV53" s="113"/>
      <c r="OJW53" s="113"/>
      <c r="OJX53" s="113"/>
      <c r="OJY53" s="113"/>
      <c r="OJZ53" s="113"/>
      <c r="OKA53" s="113"/>
      <c r="OKB53" s="113"/>
      <c r="OKC53" s="113"/>
      <c r="OKD53" s="113"/>
      <c r="OKE53" s="113"/>
      <c r="OKF53" s="113"/>
      <c r="OKG53" s="113"/>
      <c r="OKH53" s="113"/>
      <c r="OKI53" s="113"/>
      <c r="OKJ53" s="113"/>
      <c r="OKK53" s="113"/>
      <c r="OKL53" s="113"/>
      <c r="OKM53" s="113"/>
      <c r="OKN53" s="113"/>
      <c r="OKO53" s="113"/>
      <c r="OKP53" s="113"/>
      <c r="OKQ53" s="113"/>
      <c r="OKR53" s="113"/>
      <c r="OKS53" s="113"/>
      <c r="OKT53" s="113"/>
      <c r="OKU53" s="113"/>
      <c r="OKV53" s="113"/>
      <c r="OKW53" s="113"/>
      <c r="OKX53" s="113"/>
      <c r="OKY53" s="113"/>
      <c r="OKZ53" s="113"/>
      <c r="OLA53" s="113"/>
      <c r="OLB53" s="113"/>
      <c r="OLC53" s="113"/>
      <c r="OLD53" s="113"/>
      <c r="OLE53" s="113"/>
      <c r="OLF53" s="113"/>
      <c r="OLG53" s="113"/>
      <c r="OLH53" s="113"/>
      <c r="OLI53" s="113"/>
      <c r="OLJ53" s="113"/>
      <c r="OLK53" s="113"/>
      <c r="OLL53" s="113"/>
      <c r="OLM53" s="113"/>
      <c r="OLN53" s="113"/>
      <c r="OLO53" s="113"/>
      <c r="OLP53" s="113"/>
      <c r="OLQ53" s="113"/>
      <c r="OLR53" s="113"/>
      <c r="OLS53" s="113"/>
      <c r="OLT53" s="113"/>
      <c r="OLU53" s="113"/>
      <c r="OLV53" s="113"/>
      <c r="OLW53" s="113"/>
      <c r="OLX53" s="113"/>
      <c r="OLY53" s="113"/>
      <c r="OLZ53" s="113"/>
      <c r="OMA53" s="113"/>
      <c r="OMB53" s="113"/>
      <c r="OMC53" s="113"/>
      <c r="OMD53" s="113"/>
      <c r="OME53" s="113"/>
      <c r="OMF53" s="113"/>
      <c r="OMG53" s="113"/>
      <c r="OMH53" s="113"/>
      <c r="OMI53" s="113"/>
      <c r="OMJ53" s="113"/>
      <c r="OMK53" s="113"/>
      <c r="OML53" s="113"/>
      <c r="OMM53" s="113"/>
      <c r="OMN53" s="113"/>
      <c r="OMO53" s="113"/>
      <c r="OMP53" s="113"/>
      <c r="OMQ53" s="113"/>
      <c r="OMR53" s="113"/>
      <c r="OMS53" s="113"/>
      <c r="OMT53" s="113"/>
      <c r="OMU53" s="113"/>
      <c r="OMV53" s="113"/>
      <c r="OMW53" s="113"/>
      <c r="OMX53" s="113"/>
      <c r="OMY53" s="113"/>
      <c r="OMZ53" s="113"/>
      <c r="ONA53" s="113"/>
      <c r="ONB53" s="113"/>
      <c r="ONC53" s="113"/>
      <c r="OND53" s="113"/>
      <c r="ONE53" s="113"/>
      <c r="ONF53" s="113"/>
      <c r="ONG53" s="113"/>
      <c r="ONH53" s="113"/>
      <c r="ONI53" s="113"/>
      <c r="ONJ53" s="113"/>
      <c r="ONK53" s="113"/>
      <c r="ONL53" s="113"/>
      <c r="ONM53" s="113"/>
      <c r="ONN53" s="113"/>
      <c r="ONO53" s="113"/>
      <c r="ONP53" s="113"/>
      <c r="ONQ53" s="113"/>
      <c r="ONR53" s="113"/>
      <c r="ONS53" s="113"/>
      <c r="ONT53" s="113"/>
      <c r="ONU53" s="113"/>
      <c r="ONV53" s="113"/>
      <c r="ONW53" s="113"/>
      <c r="ONX53" s="113"/>
      <c r="ONY53" s="113"/>
      <c r="ONZ53" s="113"/>
      <c r="OOA53" s="113"/>
      <c r="OOB53" s="113"/>
      <c r="OOC53" s="113"/>
      <c r="OOD53" s="113"/>
      <c r="OOE53" s="113"/>
      <c r="OOF53" s="113"/>
      <c r="OOG53" s="113"/>
      <c r="OOH53" s="113"/>
      <c r="OOI53" s="113"/>
      <c r="OOJ53" s="113"/>
      <c r="OOK53" s="113"/>
      <c r="OOL53" s="113"/>
      <c r="OOM53" s="113"/>
      <c r="OON53" s="113"/>
      <c r="OOO53" s="113"/>
      <c r="OOP53" s="113"/>
      <c r="OOQ53" s="113"/>
      <c r="OOR53" s="113"/>
      <c r="OOS53" s="113"/>
      <c r="OOT53" s="113"/>
      <c r="OOU53" s="113"/>
      <c r="OOV53" s="113"/>
      <c r="OOW53" s="113"/>
      <c r="OOX53" s="113"/>
      <c r="OOY53" s="113"/>
      <c r="OOZ53" s="113"/>
      <c r="OPA53" s="113"/>
      <c r="OPB53" s="113"/>
      <c r="OPC53" s="113"/>
      <c r="OPD53" s="113"/>
      <c r="OPE53" s="113"/>
      <c r="OPF53" s="113"/>
      <c r="OPG53" s="113"/>
      <c r="OPH53" s="113"/>
      <c r="OPI53" s="113"/>
      <c r="OPJ53" s="113"/>
      <c r="OPK53" s="113"/>
      <c r="OPL53" s="113"/>
      <c r="OPM53" s="113"/>
      <c r="OPN53" s="113"/>
      <c r="OPO53" s="113"/>
      <c r="OPP53" s="113"/>
      <c r="OPQ53" s="113"/>
      <c r="OPR53" s="113"/>
      <c r="OPS53" s="113"/>
      <c r="OPT53" s="113"/>
      <c r="OPU53" s="113"/>
      <c r="OPV53" s="113"/>
      <c r="OPW53" s="113"/>
      <c r="OPX53" s="113"/>
      <c r="OPY53" s="113"/>
      <c r="OPZ53" s="113"/>
      <c r="OQA53" s="113"/>
      <c r="OQB53" s="113"/>
      <c r="OQC53" s="113"/>
      <c r="OQD53" s="113"/>
      <c r="OQE53" s="113"/>
      <c r="OQF53" s="113"/>
      <c r="OQG53" s="113"/>
      <c r="OQH53" s="113"/>
      <c r="OQI53" s="113"/>
      <c r="OQJ53" s="113"/>
      <c r="OQK53" s="113"/>
      <c r="OQL53" s="113"/>
      <c r="OQM53" s="113"/>
      <c r="OQN53" s="113"/>
      <c r="OQO53" s="113"/>
      <c r="OQP53" s="113"/>
      <c r="OQQ53" s="113"/>
      <c r="OQR53" s="113"/>
      <c r="OQS53" s="113"/>
      <c r="OQT53" s="113"/>
      <c r="OQU53" s="113"/>
      <c r="OQV53" s="113"/>
      <c r="OQW53" s="113"/>
      <c r="OQX53" s="113"/>
      <c r="OQY53" s="113"/>
      <c r="OQZ53" s="113"/>
      <c r="ORA53" s="113"/>
      <c r="ORB53" s="113"/>
      <c r="ORC53" s="113"/>
      <c r="ORD53" s="113"/>
      <c r="ORE53" s="113"/>
      <c r="ORF53" s="113"/>
      <c r="ORG53" s="113"/>
      <c r="ORH53" s="113"/>
      <c r="ORI53" s="113"/>
      <c r="ORJ53" s="113"/>
      <c r="ORK53" s="113"/>
      <c r="ORL53" s="113"/>
      <c r="ORM53" s="113"/>
      <c r="ORN53" s="113"/>
      <c r="ORO53" s="113"/>
      <c r="ORP53" s="113"/>
      <c r="ORQ53" s="113"/>
      <c r="ORR53" s="113"/>
      <c r="ORS53" s="113"/>
      <c r="ORT53" s="113"/>
      <c r="ORU53" s="113"/>
      <c r="ORV53" s="113"/>
      <c r="ORW53" s="113"/>
      <c r="ORX53" s="113"/>
      <c r="ORY53" s="113"/>
      <c r="ORZ53" s="113"/>
      <c r="OSA53" s="113"/>
      <c r="OSB53" s="113"/>
      <c r="OSC53" s="113"/>
      <c r="OSD53" s="113"/>
      <c r="OSE53" s="113"/>
      <c r="OSF53" s="113"/>
      <c r="OSG53" s="113"/>
      <c r="OSH53" s="113"/>
      <c r="OSI53" s="113"/>
      <c r="OSJ53" s="113"/>
      <c r="OSK53" s="113"/>
      <c r="OSL53" s="113"/>
      <c r="OSM53" s="113"/>
      <c r="OSN53" s="113"/>
      <c r="OSO53" s="113"/>
      <c r="OSP53" s="113"/>
      <c r="OSQ53" s="113"/>
      <c r="OSR53" s="113"/>
      <c r="OSS53" s="113"/>
      <c r="OST53" s="113"/>
      <c r="OSU53" s="113"/>
      <c r="OSV53" s="113"/>
      <c r="OSW53" s="113"/>
      <c r="OSX53" s="113"/>
      <c r="OSY53" s="113"/>
      <c r="OSZ53" s="113"/>
      <c r="OTA53" s="113"/>
      <c r="OTB53" s="113"/>
      <c r="OTC53" s="113"/>
      <c r="OTD53" s="113"/>
      <c r="OTE53" s="113"/>
      <c r="OTF53" s="113"/>
      <c r="OTG53" s="113"/>
      <c r="OTH53" s="113"/>
      <c r="OTI53" s="113"/>
      <c r="OTJ53" s="113"/>
      <c r="OTK53" s="113"/>
      <c r="OTL53" s="113"/>
      <c r="OTM53" s="113"/>
      <c r="OTN53" s="113"/>
      <c r="OTO53" s="113"/>
      <c r="OTP53" s="113"/>
      <c r="OTQ53" s="113"/>
      <c r="OTR53" s="113"/>
      <c r="OTS53" s="113"/>
      <c r="OTT53" s="113"/>
      <c r="OTU53" s="113"/>
      <c r="OTV53" s="113"/>
      <c r="OTW53" s="113"/>
      <c r="OTX53" s="113"/>
      <c r="OTY53" s="113"/>
      <c r="OTZ53" s="113"/>
      <c r="OUA53" s="113"/>
      <c r="OUB53" s="113"/>
      <c r="OUC53" s="113"/>
      <c r="OUD53" s="113"/>
      <c r="OUE53" s="113"/>
      <c r="OUF53" s="113"/>
      <c r="OUG53" s="113"/>
      <c r="OUH53" s="113"/>
      <c r="OUI53" s="113"/>
      <c r="OUJ53" s="113"/>
      <c r="OUK53" s="113"/>
      <c r="OUL53" s="113"/>
      <c r="OUM53" s="113"/>
      <c r="OUN53" s="113"/>
      <c r="OUO53" s="113"/>
      <c r="OUP53" s="113"/>
      <c r="OUQ53" s="113"/>
      <c r="OUR53" s="113"/>
      <c r="OUS53" s="113"/>
      <c r="OUT53" s="113"/>
      <c r="OUU53" s="113"/>
      <c r="OUV53" s="113"/>
      <c r="OUW53" s="113"/>
      <c r="OUX53" s="113"/>
      <c r="OUY53" s="113"/>
      <c r="OUZ53" s="113"/>
      <c r="OVA53" s="113"/>
      <c r="OVB53" s="113"/>
      <c r="OVC53" s="113"/>
      <c r="OVD53" s="113"/>
      <c r="OVE53" s="113"/>
      <c r="OVF53" s="113"/>
      <c r="OVG53" s="113"/>
      <c r="OVH53" s="113"/>
      <c r="OVI53" s="113"/>
      <c r="OVJ53" s="113"/>
      <c r="OVK53" s="113"/>
      <c r="OVL53" s="113"/>
      <c r="OVM53" s="113"/>
      <c r="OVN53" s="113"/>
      <c r="OVO53" s="113"/>
      <c r="OVP53" s="113"/>
      <c r="OVQ53" s="113"/>
      <c r="OVR53" s="113"/>
      <c r="OVS53" s="113"/>
      <c r="OVT53" s="113"/>
      <c r="OVU53" s="113"/>
      <c r="OVV53" s="113"/>
      <c r="OVW53" s="113"/>
      <c r="OVX53" s="113"/>
      <c r="OVY53" s="113"/>
      <c r="OVZ53" s="113"/>
      <c r="OWA53" s="113"/>
      <c r="OWB53" s="113"/>
      <c r="OWC53" s="113"/>
      <c r="OWD53" s="113"/>
      <c r="OWE53" s="113"/>
      <c r="OWF53" s="113"/>
      <c r="OWG53" s="113"/>
      <c r="OWH53" s="113"/>
      <c r="OWI53" s="113"/>
      <c r="OWJ53" s="113"/>
      <c r="OWK53" s="113"/>
      <c r="OWL53" s="113"/>
      <c r="OWM53" s="113"/>
      <c r="OWN53" s="113"/>
      <c r="OWO53" s="113"/>
      <c r="OWP53" s="113"/>
      <c r="OWQ53" s="113"/>
      <c r="OWR53" s="113"/>
      <c r="OWS53" s="113"/>
      <c r="OWT53" s="113"/>
      <c r="OWU53" s="113"/>
      <c r="OWV53" s="113"/>
      <c r="OWW53" s="113"/>
      <c r="OWX53" s="113"/>
      <c r="OWY53" s="113"/>
      <c r="OWZ53" s="113"/>
      <c r="OXA53" s="113"/>
      <c r="OXB53" s="113"/>
      <c r="OXC53" s="113"/>
      <c r="OXD53" s="113"/>
      <c r="OXE53" s="113"/>
      <c r="OXF53" s="113"/>
      <c r="OXG53" s="113"/>
      <c r="OXH53" s="113"/>
      <c r="OXI53" s="113"/>
      <c r="OXJ53" s="113"/>
      <c r="OXK53" s="113"/>
      <c r="OXL53" s="113"/>
      <c r="OXM53" s="113"/>
      <c r="OXN53" s="113"/>
      <c r="OXO53" s="113"/>
      <c r="OXP53" s="113"/>
      <c r="OXQ53" s="113"/>
      <c r="OXR53" s="113"/>
      <c r="OXS53" s="113"/>
      <c r="OXT53" s="113"/>
      <c r="OXU53" s="113"/>
      <c r="OXV53" s="113"/>
      <c r="OXW53" s="113"/>
      <c r="OXX53" s="113"/>
      <c r="OXY53" s="113"/>
      <c r="OXZ53" s="113"/>
      <c r="OYA53" s="113"/>
      <c r="OYB53" s="113"/>
      <c r="OYC53" s="113"/>
      <c r="OYD53" s="113"/>
      <c r="OYE53" s="113"/>
      <c r="OYF53" s="113"/>
      <c r="OYG53" s="113"/>
      <c r="OYH53" s="113"/>
      <c r="OYI53" s="113"/>
      <c r="OYJ53" s="113"/>
      <c r="OYK53" s="113"/>
      <c r="OYL53" s="113"/>
      <c r="OYM53" s="113"/>
      <c r="OYN53" s="113"/>
      <c r="OYO53" s="113"/>
      <c r="OYP53" s="113"/>
      <c r="OYQ53" s="113"/>
      <c r="OYR53" s="113"/>
      <c r="OYS53" s="113"/>
      <c r="OYT53" s="113"/>
      <c r="OYU53" s="113"/>
      <c r="OYV53" s="113"/>
      <c r="OYW53" s="113"/>
      <c r="OYX53" s="113"/>
      <c r="OYY53" s="113"/>
      <c r="OYZ53" s="113"/>
      <c r="OZA53" s="113"/>
      <c r="OZB53" s="113"/>
      <c r="OZC53" s="113"/>
      <c r="OZD53" s="113"/>
      <c r="OZE53" s="113"/>
      <c r="OZF53" s="113"/>
      <c r="OZG53" s="113"/>
      <c r="OZH53" s="113"/>
      <c r="OZI53" s="113"/>
      <c r="OZJ53" s="113"/>
      <c r="OZK53" s="113"/>
      <c r="OZL53" s="113"/>
      <c r="OZM53" s="113"/>
      <c r="OZN53" s="113"/>
      <c r="OZO53" s="113"/>
      <c r="OZP53" s="113"/>
      <c r="OZQ53" s="113"/>
      <c r="OZR53" s="113"/>
      <c r="OZS53" s="113"/>
      <c r="OZT53" s="113"/>
      <c r="OZU53" s="113"/>
      <c r="OZV53" s="113"/>
      <c r="OZW53" s="113"/>
      <c r="OZX53" s="113"/>
      <c r="OZY53" s="113"/>
      <c r="OZZ53" s="113"/>
      <c r="PAA53" s="113"/>
      <c r="PAB53" s="113"/>
      <c r="PAC53" s="113"/>
      <c r="PAD53" s="113"/>
      <c r="PAE53" s="113"/>
      <c r="PAF53" s="113"/>
      <c r="PAG53" s="113"/>
      <c r="PAH53" s="113"/>
      <c r="PAI53" s="113"/>
      <c r="PAJ53" s="113"/>
      <c r="PAK53" s="113"/>
      <c r="PAL53" s="113"/>
      <c r="PAM53" s="113"/>
      <c r="PAN53" s="113"/>
      <c r="PAO53" s="113"/>
      <c r="PAP53" s="113"/>
      <c r="PAQ53" s="113"/>
      <c r="PAR53" s="113"/>
      <c r="PAS53" s="113"/>
      <c r="PAT53" s="113"/>
      <c r="PAU53" s="113"/>
      <c r="PAV53" s="113"/>
      <c r="PAW53" s="113"/>
      <c r="PAX53" s="113"/>
      <c r="PAY53" s="113"/>
      <c r="PAZ53" s="113"/>
      <c r="PBA53" s="113"/>
      <c r="PBB53" s="113"/>
      <c r="PBC53" s="113"/>
      <c r="PBD53" s="113"/>
      <c r="PBE53" s="113"/>
      <c r="PBF53" s="113"/>
      <c r="PBG53" s="113"/>
      <c r="PBH53" s="113"/>
      <c r="PBI53" s="113"/>
      <c r="PBJ53" s="113"/>
      <c r="PBK53" s="113"/>
      <c r="PBL53" s="113"/>
      <c r="PBM53" s="113"/>
      <c r="PBN53" s="113"/>
      <c r="PBO53" s="113"/>
      <c r="PBP53" s="113"/>
      <c r="PBQ53" s="113"/>
      <c r="PBR53" s="113"/>
      <c r="PBS53" s="113"/>
      <c r="PBT53" s="113"/>
      <c r="PBU53" s="113"/>
      <c r="PBV53" s="113"/>
      <c r="PBW53" s="113"/>
      <c r="PBX53" s="113"/>
      <c r="PBY53" s="113"/>
      <c r="PBZ53" s="113"/>
      <c r="PCA53" s="113"/>
      <c r="PCB53" s="113"/>
      <c r="PCC53" s="113"/>
      <c r="PCD53" s="113"/>
      <c r="PCE53" s="113"/>
      <c r="PCF53" s="113"/>
      <c r="PCG53" s="113"/>
      <c r="PCH53" s="113"/>
      <c r="PCI53" s="113"/>
      <c r="PCJ53" s="113"/>
      <c r="PCK53" s="113"/>
      <c r="PCL53" s="113"/>
      <c r="PCM53" s="113"/>
      <c r="PCN53" s="113"/>
      <c r="PCO53" s="113"/>
      <c r="PCP53" s="113"/>
      <c r="PCQ53" s="113"/>
      <c r="PCR53" s="113"/>
      <c r="PCS53" s="113"/>
      <c r="PCT53" s="113"/>
      <c r="PCU53" s="113"/>
      <c r="PCV53" s="113"/>
      <c r="PCW53" s="113"/>
      <c r="PCX53" s="113"/>
      <c r="PCY53" s="113"/>
      <c r="PCZ53" s="113"/>
      <c r="PDA53" s="113"/>
      <c r="PDB53" s="113"/>
      <c r="PDC53" s="113"/>
      <c r="PDD53" s="113"/>
      <c r="PDE53" s="113"/>
      <c r="PDF53" s="113"/>
      <c r="PDG53" s="113"/>
      <c r="PDH53" s="113"/>
      <c r="PDI53" s="113"/>
      <c r="PDJ53" s="113"/>
      <c r="PDK53" s="113"/>
      <c r="PDL53" s="113"/>
      <c r="PDM53" s="113"/>
      <c r="PDN53" s="113"/>
      <c r="PDO53" s="113"/>
      <c r="PDP53" s="113"/>
      <c r="PDQ53" s="113"/>
      <c r="PDR53" s="113"/>
      <c r="PDS53" s="113"/>
      <c r="PDT53" s="113"/>
      <c r="PDU53" s="113"/>
      <c r="PDV53" s="113"/>
      <c r="PDW53" s="113"/>
      <c r="PDX53" s="113"/>
      <c r="PDY53" s="113"/>
      <c r="PDZ53" s="113"/>
      <c r="PEA53" s="113"/>
      <c r="PEB53" s="113"/>
      <c r="PEC53" s="113"/>
      <c r="PED53" s="113"/>
      <c r="PEE53" s="113"/>
      <c r="PEF53" s="113"/>
      <c r="PEG53" s="113"/>
      <c r="PEH53" s="113"/>
      <c r="PEI53" s="113"/>
      <c r="PEJ53" s="113"/>
      <c r="PEK53" s="113"/>
      <c r="PEL53" s="113"/>
      <c r="PEM53" s="113"/>
      <c r="PEN53" s="113"/>
      <c r="PEO53" s="113"/>
      <c r="PEP53" s="113"/>
      <c r="PEQ53" s="113"/>
      <c r="PER53" s="113"/>
      <c r="PES53" s="113"/>
      <c r="PET53" s="113"/>
      <c r="PEU53" s="113"/>
      <c r="PEV53" s="113"/>
      <c r="PEW53" s="113"/>
      <c r="PEX53" s="113"/>
      <c r="PEY53" s="113"/>
      <c r="PEZ53" s="113"/>
      <c r="PFA53" s="113"/>
      <c r="PFB53" s="113"/>
      <c r="PFC53" s="113"/>
      <c r="PFD53" s="113"/>
      <c r="PFE53" s="113"/>
      <c r="PFF53" s="113"/>
      <c r="PFG53" s="113"/>
      <c r="PFH53" s="113"/>
      <c r="PFI53" s="113"/>
      <c r="PFJ53" s="113"/>
      <c r="PFK53" s="113"/>
      <c r="PFL53" s="113"/>
      <c r="PFM53" s="113"/>
      <c r="PFN53" s="113"/>
      <c r="PFO53" s="113"/>
      <c r="PFP53" s="113"/>
      <c r="PFQ53" s="113"/>
      <c r="PFR53" s="113"/>
      <c r="PFS53" s="113"/>
      <c r="PFT53" s="113"/>
      <c r="PFU53" s="113"/>
      <c r="PFV53" s="113"/>
      <c r="PFW53" s="113"/>
      <c r="PFX53" s="113"/>
      <c r="PFY53" s="113"/>
      <c r="PFZ53" s="113"/>
      <c r="PGA53" s="113"/>
      <c r="PGB53" s="113"/>
      <c r="PGC53" s="113"/>
      <c r="PGD53" s="113"/>
      <c r="PGE53" s="113"/>
      <c r="PGF53" s="113"/>
      <c r="PGG53" s="113"/>
      <c r="PGH53" s="113"/>
      <c r="PGI53" s="113"/>
      <c r="PGJ53" s="113"/>
      <c r="PGK53" s="113"/>
      <c r="PGL53" s="113"/>
      <c r="PGM53" s="113"/>
      <c r="PGN53" s="113"/>
      <c r="PGO53" s="113"/>
      <c r="PGP53" s="113"/>
      <c r="PGQ53" s="113"/>
      <c r="PGR53" s="113"/>
      <c r="PGS53" s="113"/>
      <c r="PGT53" s="113"/>
      <c r="PGU53" s="113"/>
      <c r="PGV53" s="113"/>
      <c r="PGW53" s="113"/>
      <c r="PGX53" s="113"/>
      <c r="PGY53" s="113"/>
      <c r="PGZ53" s="113"/>
      <c r="PHA53" s="113"/>
      <c r="PHB53" s="113"/>
      <c r="PHC53" s="113"/>
      <c r="PHD53" s="113"/>
      <c r="PHE53" s="113"/>
      <c r="PHF53" s="113"/>
      <c r="PHG53" s="113"/>
      <c r="PHH53" s="113"/>
      <c r="PHI53" s="113"/>
      <c r="PHJ53" s="113"/>
      <c r="PHK53" s="113"/>
      <c r="PHL53" s="113"/>
      <c r="PHM53" s="113"/>
      <c r="PHN53" s="113"/>
      <c r="PHO53" s="113"/>
      <c r="PHP53" s="113"/>
      <c r="PHQ53" s="113"/>
      <c r="PHR53" s="113"/>
      <c r="PHS53" s="113"/>
      <c r="PHT53" s="113"/>
      <c r="PHU53" s="113"/>
      <c r="PHV53" s="113"/>
      <c r="PHW53" s="113"/>
      <c r="PHX53" s="113"/>
      <c r="PHY53" s="113"/>
      <c r="PHZ53" s="113"/>
      <c r="PIA53" s="113"/>
      <c r="PIB53" s="113"/>
      <c r="PIC53" s="113"/>
      <c r="PID53" s="113"/>
      <c r="PIE53" s="113"/>
      <c r="PIF53" s="113"/>
      <c r="PIG53" s="113"/>
      <c r="PIH53" s="113"/>
      <c r="PII53" s="113"/>
      <c r="PIJ53" s="113"/>
      <c r="PIK53" s="113"/>
      <c r="PIL53" s="113"/>
      <c r="PIM53" s="113"/>
      <c r="PIN53" s="113"/>
      <c r="PIO53" s="113"/>
      <c r="PIP53" s="113"/>
      <c r="PIQ53" s="113"/>
      <c r="PIR53" s="113"/>
      <c r="PIS53" s="113"/>
      <c r="PIT53" s="113"/>
      <c r="PIU53" s="113"/>
      <c r="PIV53" s="113"/>
      <c r="PIW53" s="113"/>
      <c r="PIX53" s="113"/>
      <c r="PIY53" s="113"/>
      <c r="PIZ53" s="113"/>
      <c r="PJA53" s="113"/>
      <c r="PJB53" s="113"/>
      <c r="PJC53" s="113"/>
      <c r="PJD53" s="113"/>
      <c r="PJE53" s="113"/>
      <c r="PJF53" s="113"/>
      <c r="PJG53" s="113"/>
      <c r="PJH53" s="113"/>
      <c r="PJI53" s="113"/>
      <c r="PJJ53" s="113"/>
      <c r="PJK53" s="113"/>
      <c r="PJL53" s="113"/>
      <c r="PJM53" s="113"/>
      <c r="PJN53" s="113"/>
      <c r="PJO53" s="113"/>
      <c r="PJP53" s="113"/>
      <c r="PJQ53" s="113"/>
      <c r="PJR53" s="113"/>
      <c r="PJS53" s="113"/>
      <c r="PJT53" s="113"/>
      <c r="PJU53" s="113"/>
      <c r="PJV53" s="113"/>
      <c r="PJW53" s="113"/>
      <c r="PJX53" s="113"/>
      <c r="PJY53" s="113"/>
      <c r="PJZ53" s="113"/>
      <c r="PKA53" s="113"/>
      <c r="PKB53" s="113"/>
      <c r="PKC53" s="113"/>
      <c r="PKD53" s="113"/>
      <c r="PKE53" s="113"/>
      <c r="PKF53" s="113"/>
      <c r="PKG53" s="113"/>
      <c r="PKH53" s="113"/>
      <c r="PKI53" s="113"/>
      <c r="PKJ53" s="113"/>
      <c r="PKK53" s="113"/>
      <c r="PKL53" s="113"/>
      <c r="PKM53" s="113"/>
      <c r="PKN53" s="113"/>
      <c r="PKO53" s="113"/>
      <c r="PKP53" s="113"/>
      <c r="PKQ53" s="113"/>
      <c r="PKR53" s="113"/>
      <c r="PKS53" s="113"/>
      <c r="PKT53" s="113"/>
      <c r="PKU53" s="113"/>
      <c r="PKV53" s="113"/>
      <c r="PKW53" s="113"/>
      <c r="PKX53" s="113"/>
      <c r="PKY53" s="113"/>
      <c r="PKZ53" s="113"/>
      <c r="PLA53" s="113"/>
      <c r="PLB53" s="113"/>
      <c r="PLC53" s="113"/>
      <c r="PLD53" s="113"/>
      <c r="PLE53" s="113"/>
      <c r="PLF53" s="113"/>
      <c r="PLG53" s="113"/>
      <c r="PLH53" s="113"/>
      <c r="PLI53" s="113"/>
      <c r="PLJ53" s="113"/>
      <c r="PLK53" s="113"/>
      <c r="PLL53" s="113"/>
      <c r="PLM53" s="113"/>
      <c r="PLN53" s="113"/>
      <c r="PLO53" s="113"/>
      <c r="PLP53" s="113"/>
      <c r="PLQ53" s="113"/>
      <c r="PLR53" s="113"/>
      <c r="PLS53" s="113"/>
      <c r="PLT53" s="113"/>
      <c r="PLU53" s="113"/>
      <c r="PLV53" s="113"/>
      <c r="PLW53" s="113"/>
      <c r="PLX53" s="113"/>
      <c r="PLY53" s="113"/>
      <c r="PLZ53" s="113"/>
      <c r="PMA53" s="113"/>
      <c r="PMB53" s="113"/>
      <c r="PMC53" s="113"/>
      <c r="PMD53" s="113"/>
      <c r="PME53" s="113"/>
      <c r="PMF53" s="113"/>
      <c r="PMG53" s="113"/>
      <c r="PMH53" s="113"/>
      <c r="PMI53" s="113"/>
      <c r="PMJ53" s="113"/>
      <c r="PMK53" s="113"/>
      <c r="PML53" s="113"/>
      <c r="PMM53" s="113"/>
      <c r="PMN53" s="113"/>
      <c r="PMO53" s="113"/>
      <c r="PMP53" s="113"/>
      <c r="PMQ53" s="113"/>
      <c r="PMR53" s="113"/>
      <c r="PMS53" s="113"/>
      <c r="PMT53" s="113"/>
      <c r="PMU53" s="113"/>
      <c r="PMV53" s="113"/>
      <c r="PMW53" s="113"/>
      <c r="PMX53" s="113"/>
      <c r="PMY53" s="113"/>
      <c r="PMZ53" s="113"/>
      <c r="PNA53" s="113"/>
      <c r="PNB53" s="113"/>
      <c r="PNC53" s="113"/>
      <c r="PND53" s="113"/>
      <c r="PNE53" s="113"/>
      <c r="PNF53" s="113"/>
      <c r="PNG53" s="113"/>
      <c r="PNH53" s="113"/>
      <c r="PNI53" s="113"/>
      <c r="PNJ53" s="113"/>
      <c r="PNK53" s="113"/>
      <c r="PNL53" s="113"/>
      <c r="PNM53" s="113"/>
      <c r="PNN53" s="113"/>
      <c r="PNO53" s="113"/>
      <c r="PNP53" s="113"/>
      <c r="PNQ53" s="113"/>
      <c r="PNR53" s="113"/>
      <c r="PNS53" s="113"/>
      <c r="PNT53" s="113"/>
      <c r="PNU53" s="113"/>
      <c r="PNV53" s="113"/>
      <c r="PNW53" s="113"/>
      <c r="PNX53" s="113"/>
      <c r="PNY53" s="113"/>
      <c r="PNZ53" s="113"/>
      <c r="POA53" s="113"/>
      <c r="POB53" s="113"/>
      <c r="POC53" s="113"/>
      <c r="POD53" s="113"/>
      <c r="POE53" s="113"/>
      <c r="POF53" s="113"/>
      <c r="POG53" s="113"/>
      <c r="POH53" s="113"/>
      <c r="POI53" s="113"/>
      <c r="POJ53" s="113"/>
      <c r="POK53" s="113"/>
      <c r="POL53" s="113"/>
      <c r="POM53" s="113"/>
      <c r="PON53" s="113"/>
      <c r="POO53" s="113"/>
      <c r="POP53" s="113"/>
      <c r="POQ53" s="113"/>
      <c r="POR53" s="113"/>
      <c r="POS53" s="113"/>
      <c r="POT53" s="113"/>
      <c r="POU53" s="113"/>
      <c r="POV53" s="113"/>
      <c r="POW53" s="113"/>
      <c r="POX53" s="113"/>
      <c r="POY53" s="113"/>
      <c r="POZ53" s="113"/>
      <c r="PPA53" s="113"/>
      <c r="PPB53" s="113"/>
      <c r="PPC53" s="113"/>
      <c r="PPD53" s="113"/>
      <c r="PPE53" s="113"/>
      <c r="PPF53" s="113"/>
      <c r="PPG53" s="113"/>
      <c r="PPH53" s="113"/>
      <c r="PPI53" s="113"/>
      <c r="PPJ53" s="113"/>
      <c r="PPK53" s="113"/>
      <c r="PPL53" s="113"/>
      <c r="PPM53" s="113"/>
      <c r="PPN53" s="113"/>
      <c r="PPO53" s="113"/>
      <c r="PPP53" s="113"/>
      <c r="PPQ53" s="113"/>
      <c r="PPR53" s="113"/>
      <c r="PPS53" s="113"/>
      <c r="PPT53" s="113"/>
      <c r="PPU53" s="113"/>
      <c r="PPV53" s="113"/>
      <c r="PPW53" s="113"/>
      <c r="PPX53" s="113"/>
      <c r="PPY53" s="113"/>
      <c r="PPZ53" s="113"/>
      <c r="PQA53" s="113"/>
      <c r="PQB53" s="113"/>
      <c r="PQC53" s="113"/>
      <c r="PQD53" s="113"/>
      <c r="PQE53" s="113"/>
      <c r="PQF53" s="113"/>
      <c r="PQG53" s="113"/>
      <c r="PQH53" s="113"/>
      <c r="PQI53" s="113"/>
      <c r="PQJ53" s="113"/>
      <c r="PQK53" s="113"/>
      <c r="PQL53" s="113"/>
      <c r="PQM53" s="113"/>
      <c r="PQN53" s="113"/>
      <c r="PQO53" s="113"/>
      <c r="PQP53" s="113"/>
      <c r="PQQ53" s="113"/>
      <c r="PQR53" s="113"/>
      <c r="PQS53" s="113"/>
      <c r="PQT53" s="113"/>
      <c r="PQU53" s="113"/>
      <c r="PQV53" s="113"/>
      <c r="PQW53" s="113"/>
      <c r="PQX53" s="113"/>
      <c r="PQY53" s="113"/>
      <c r="PQZ53" s="113"/>
      <c r="PRA53" s="113"/>
      <c r="PRB53" s="113"/>
      <c r="PRC53" s="113"/>
      <c r="PRD53" s="113"/>
      <c r="PRE53" s="113"/>
      <c r="PRF53" s="113"/>
      <c r="PRG53" s="113"/>
      <c r="PRH53" s="113"/>
      <c r="PRI53" s="113"/>
      <c r="PRJ53" s="113"/>
      <c r="PRK53" s="113"/>
      <c r="PRL53" s="113"/>
      <c r="PRM53" s="113"/>
      <c r="PRN53" s="113"/>
      <c r="PRO53" s="113"/>
      <c r="PRP53" s="113"/>
      <c r="PRQ53" s="113"/>
      <c r="PRR53" s="113"/>
      <c r="PRS53" s="113"/>
      <c r="PRT53" s="113"/>
      <c r="PRU53" s="113"/>
      <c r="PRV53" s="113"/>
      <c r="PRW53" s="113"/>
      <c r="PRX53" s="113"/>
      <c r="PRY53" s="113"/>
      <c r="PRZ53" s="113"/>
      <c r="PSA53" s="113"/>
      <c r="PSB53" s="113"/>
      <c r="PSC53" s="113"/>
      <c r="PSD53" s="113"/>
      <c r="PSE53" s="113"/>
      <c r="PSF53" s="113"/>
      <c r="PSG53" s="113"/>
      <c r="PSH53" s="113"/>
      <c r="PSI53" s="113"/>
      <c r="PSJ53" s="113"/>
      <c r="PSK53" s="113"/>
      <c r="PSL53" s="113"/>
      <c r="PSM53" s="113"/>
      <c r="PSN53" s="113"/>
      <c r="PSO53" s="113"/>
      <c r="PSP53" s="113"/>
      <c r="PSQ53" s="113"/>
      <c r="PSR53" s="113"/>
      <c r="PSS53" s="113"/>
      <c r="PST53" s="113"/>
      <c r="PSU53" s="113"/>
      <c r="PSV53" s="113"/>
      <c r="PSW53" s="113"/>
      <c r="PSX53" s="113"/>
      <c r="PSY53" s="113"/>
      <c r="PSZ53" s="113"/>
      <c r="PTA53" s="113"/>
      <c r="PTB53" s="113"/>
      <c r="PTC53" s="113"/>
      <c r="PTD53" s="113"/>
      <c r="PTE53" s="113"/>
      <c r="PTF53" s="113"/>
      <c r="PTG53" s="113"/>
      <c r="PTH53" s="113"/>
      <c r="PTI53" s="113"/>
      <c r="PTJ53" s="113"/>
      <c r="PTK53" s="113"/>
      <c r="PTL53" s="113"/>
      <c r="PTM53" s="113"/>
      <c r="PTN53" s="113"/>
      <c r="PTO53" s="113"/>
      <c r="PTP53" s="113"/>
      <c r="PTQ53" s="113"/>
      <c r="PTR53" s="113"/>
      <c r="PTS53" s="113"/>
      <c r="PTT53" s="113"/>
      <c r="PTU53" s="113"/>
      <c r="PTV53" s="113"/>
      <c r="PTW53" s="113"/>
      <c r="PTX53" s="113"/>
      <c r="PTY53" s="113"/>
      <c r="PTZ53" s="113"/>
      <c r="PUA53" s="113"/>
      <c r="PUB53" s="113"/>
      <c r="PUC53" s="113"/>
      <c r="PUD53" s="113"/>
      <c r="PUE53" s="113"/>
      <c r="PUF53" s="113"/>
      <c r="PUG53" s="113"/>
      <c r="PUH53" s="113"/>
      <c r="PUI53" s="113"/>
      <c r="PUJ53" s="113"/>
      <c r="PUK53" s="113"/>
      <c r="PUL53" s="113"/>
      <c r="PUM53" s="113"/>
      <c r="PUN53" s="113"/>
      <c r="PUO53" s="113"/>
      <c r="PUP53" s="113"/>
      <c r="PUQ53" s="113"/>
      <c r="PUR53" s="113"/>
      <c r="PUS53" s="113"/>
      <c r="PUT53" s="113"/>
      <c r="PUU53" s="113"/>
      <c r="PUV53" s="113"/>
      <c r="PUW53" s="113"/>
      <c r="PUX53" s="113"/>
      <c r="PUY53" s="113"/>
      <c r="PUZ53" s="113"/>
      <c r="PVA53" s="113"/>
      <c r="PVB53" s="113"/>
      <c r="PVC53" s="113"/>
      <c r="PVD53" s="113"/>
      <c r="PVE53" s="113"/>
      <c r="PVF53" s="113"/>
      <c r="PVG53" s="113"/>
      <c r="PVH53" s="113"/>
      <c r="PVI53" s="113"/>
      <c r="PVJ53" s="113"/>
      <c r="PVK53" s="113"/>
      <c r="PVL53" s="113"/>
      <c r="PVM53" s="113"/>
      <c r="PVN53" s="113"/>
      <c r="PVO53" s="113"/>
      <c r="PVP53" s="113"/>
      <c r="PVQ53" s="113"/>
      <c r="PVR53" s="113"/>
      <c r="PVS53" s="113"/>
      <c r="PVT53" s="113"/>
      <c r="PVU53" s="113"/>
      <c r="PVV53" s="113"/>
      <c r="PVW53" s="113"/>
      <c r="PVX53" s="113"/>
      <c r="PVY53" s="113"/>
      <c r="PVZ53" s="113"/>
      <c r="PWA53" s="113"/>
      <c r="PWB53" s="113"/>
      <c r="PWC53" s="113"/>
      <c r="PWD53" s="113"/>
      <c r="PWE53" s="113"/>
      <c r="PWF53" s="113"/>
      <c r="PWG53" s="113"/>
      <c r="PWH53" s="113"/>
      <c r="PWI53" s="113"/>
      <c r="PWJ53" s="113"/>
      <c r="PWK53" s="113"/>
      <c r="PWL53" s="113"/>
      <c r="PWM53" s="113"/>
      <c r="PWN53" s="113"/>
      <c r="PWO53" s="113"/>
      <c r="PWP53" s="113"/>
      <c r="PWQ53" s="113"/>
      <c r="PWR53" s="113"/>
      <c r="PWS53" s="113"/>
      <c r="PWT53" s="113"/>
      <c r="PWU53" s="113"/>
      <c r="PWV53" s="113"/>
      <c r="PWW53" s="113"/>
      <c r="PWX53" s="113"/>
      <c r="PWY53" s="113"/>
      <c r="PWZ53" s="113"/>
      <c r="PXA53" s="113"/>
      <c r="PXB53" s="113"/>
      <c r="PXC53" s="113"/>
      <c r="PXD53" s="113"/>
      <c r="PXE53" s="113"/>
      <c r="PXF53" s="113"/>
      <c r="PXG53" s="113"/>
      <c r="PXH53" s="113"/>
      <c r="PXI53" s="113"/>
      <c r="PXJ53" s="113"/>
      <c r="PXK53" s="113"/>
      <c r="PXL53" s="113"/>
      <c r="PXM53" s="113"/>
      <c r="PXN53" s="113"/>
      <c r="PXO53" s="113"/>
      <c r="PXP53" s="113"/>
      <c r="PXQ53" s="113"/>
      <c r="PXR53" s="113"/>
      <c r="PXS53" s="113"/>
      <c r="PXT53" s="113"/>
      <c r="PXU53" s="113"/>
      <c r="PXV53" s="113"/>
      <c r="PXW53" s="113"/>
      <c r="PXX53" s="113"/>
      <c r="PXY53" s="113"/>
      <c r="PXZ53" s="113"/>
      <c r="PYA53" s="113"/>
      <c r="PYB53" s="113"/>
      <c r="PYC53" s="113"/>
      <c r="PYD53" s="113"/>
      <c r="PYE53" s="113"/>
      <c r="PYF53" s="113"/>
      <c r="PYG53" s="113"/>
      <c r="PYH53" s="113"/>
      <c r="PYI53" s="113"/>
      <c r="PYJ53" s="113"/>
      <c r="PYK53" s="113"/>
      <c r="PYL53" s="113"/>
      <c r="PYM53" s="113"/>
      <c r="PYN53" s="113"/>
      <c r="PYO53" s="113"/>
      <c r="PYP53" s="113"/>
      <c r="PYQ53" s="113"/>
      <c r="PYR53" s="113"/>
      <c r="PYS53" s="113"/>
      <c r="PYT53" s="113"/>
      <c r="PYU53" s="113"/>
      <c r="PYV53" s="113"/>
      <c r="PYW53" s="113"/>
      <c r="PYX53" s="113"/>
      <c r="PYY53" s="113"/>
      <c r="PYZ53" s="113"/>
      <c r="PZA53" s="113"/>
      <c r="PZB53" s="113"/>
      <c r="PZC53" s="113"/>
      <c r="PZD53" s="113"/>
      <c r="PZE53" s="113"/>
      <c r="PZF53" s="113"/>
      <c r="PZG53" s="113"/>
      <c r="PZH53" s="113"/>
      <c r="PZI53" s="113"/>
      <c r="PZJ53" s="113"/>
      <c r="PZK53" s="113"/>
      <c r="PZL53" s="113"/>
      <c r="PZM53" s="113"/>
      <c r="PZN53" s="113"/>
      <c r="PZO53" s="113"/>
      <c r="PZP53" s="113"/>
      <c r="PZQ53" s="113"/>
      <c r="PZR53" s="113"/>
      <c r="PZS53" s="113"/>
      <c r="PZT53" s="113"/>
      <c r="PZU53" s="113"/>
      <c r="PZV53" s="113"/>
      <c r="PZW53" s="113"/>
      <c r="PZX53" s="113"/>
      <c r="PZY53" s="113"/>
      <c r="PZZ53" s="113"/>
      <c r="QAA53" s="113"/>
      <c r="QAB53" s="113"/>
      <c r="QAC53" s="113"/>
      <c r="QAD53" s="113"/>
      <c r="QAE53" s="113"/>
      <c r="QAF53" s="113"/>
      <c r="QAG53" s="113"/>
      <c r="QAH53" s="113"/>
      <c r="QAI53" s="113"/>
      <c r="QAJ53" s="113"/>
      <c r="QAK53" s="113"/>
      <c r="QAL53" s="113"/>
      <c r="QAM53" s="113"/>
      <c r="QAN53" s="113"/>
      <c r="QAO53" s="113"/>
      <c r="QAP53" s="113"/>
      <c r="QAQ53" s="113"/>
      <c r="QAR53" s="113"/>
      <c r="QAS53" s="113"/>
      <c r="QAT53" s="113"/>
      <c r="QAU53" s="113"/>
      <c r="QAV53" s="113"/>
      <c r="QAW53" s="113"/>
      <c r="QAX53" s="113"/>
      <c r="QAY53" s="113"/>
      <c r="QAZ53" s="113"/>
      <c r="QBA53" s="113"/>
      <c r="QBB53" s="113"/>
      <c r="QBC53" s="113"/>
      <c r="QBD53" s="113"/>
      <c r="QBE53" s="113"/>
      <c r="QBF53" s="113"/>
      <c r="QBG53" s="113"/>
      <c r="QBH53" s="113"/>
      <c r="QBI53" s="113"/>
      <c r="QBJ53" s="113"/>
      <c r="QBK53" s="113"/>
      <c r="QBL53" s="113"/>
      <c r="QBM53" s="113"/>
      <c r="QBN53" s="113"/>
      <c r="QBO53" s="113"/>
      <c r="QBP53" s="113"/>
      <c r="QBQ53" s="113"/>
      <c r="QBR53" s="113"/>
      <c r="QBS53" s="113"/>
      <c r="QBT53" s="113"/>
      <c r="QBU53" s="113"/>
      <c r="QBV53" s="113"/>
      <c r="QBW53" s="113"/>
      <c r="QBX53" s="113"/>
      <c r="QBY53" s="113"/>
      <c r="QBZ53" s="113"/>
      <c r="QCA53" s="113"/>
      <c r="QCB53" s="113"/>
      <c r="QCC53" s="113"/>
      <c r="QCD53" s="113"/>
      <c r="QCE53" s="113"/>
      <c r="QCF53" s="113"/>
      <c r="QCG53" s="113"/>
      <c r="QCH53" s="113"/>
      <c r="QCI53" s="113"/>
      <c r="QCJ53" s="113"/>
      <c r="QCK53" s="113"/>
      <c r="QCL53" s="113"/>
      <c r="QCM53" s="113"/>
      <c r="QCN53" s="113"/>
      <c r="QCO53" s="113"/>
      <c r="QCP53" s="113"/>
      <c r="QCQ53" s="113"/>
      <c r="QCR53" s="113"/>
      <c r="QCS53" s="113"/>
      <c r="QCT53" s="113"/>
      <c r="QCU53" s="113"/>
      <c r="QCV53" s="113"/>
      <c r="QCW53" s="113"/>
      <c r="QCX53" s="113"/>
      <c r="QCY53" s="113"/>
      <c r="QCZ53" s="113"/>
      <c r="QDA53" s="113"/>
      <c r="QDB53" s="113"/>
      <c r="QDC53" s="113"/>
      <c r="QDD53" s="113"/>
      <c r="QDE53" s="113"/>
      <c r="QDF53" s="113"/>
      <c r="QDG53" s="113"/>
      <c r="QDH53" s="113"/>
      <c r="QDI53" s="113"/>
      <c r="QDJ53" s="113"/>
      <c r="QDK53" s="113"/>
      <c r="QDL53" s="113"/>
      <c r="QDM53" s="113"/>
      <c r="QDN53" s="113"/>
      <c r="QDO53" s="113"/>
      <c r="QDP53" s="113"/>
      <c r="QDQ53" s="113"/>
      <c r="QDR53" s="113"/>
      <c r="QDS53" s="113"/>
      <c r="QDT53" s="113"/>
      <c r="QDU53" s="113"/>
      <c r="QDV53" s="113"/>
      <c r="QDW53" s="113"/>
      <c r="QDX53" s="113"/>
      <c r="QDY53" s="113"/>
      <c r="QDZ53" s="113"/>
      <c r="QEA53" s="113"/>
      <c r="QEB53" s="113"/>
      <c r="QEC53" s="113"/>
      <c r="QED53" s="113"/>
      <c r="QEE53" s="113"/>
      <c r="QEF53" s="113"/>
      <c r="QEG53" s="113"/>
      <c r="QEH53" s="113"/>
      <c r="QEI53" s="113"/>
      <c r="QEJ53" s="113"/>
      <c r="QEK53" s="113"/>
      <c r="QEL53" s="113"/>
      <c r="QEM53" s="113"/>
      <c r="QEN53" s="113"/>
      <c r="QEO53" s="113"/>
      <c r="QEP53" s="113"/>
      <c r="QEQ53" s="113"/>
      <c r="QER53" s="113"/>
      <c r="QES53" s="113"/>
      <c r="QET53" s="113"/>
      <c r="QEU53" s="113"/>
      <c r="QEV53" s="113"/>
      <c r="QEW53" s="113"/>
      <c r="QEX53" s="113"/>
      <c r="QEY53" s="113"/>
      <c r="QEZ53" s="113"/>
      <c r="QFA53" s="113"/>
      <c r="QFB53" s="113"/>
      <c r="QFC53" s="113"/>
      <c r="QFD53" s="113"/>
      <c r="QFE53" s="113"/>
      <c r="QFF53" s="113"/>
      <c r="QFG53" s="113"/>
      <c r="QFH53" s="113"/>
      <c r="QFI53" s="113"/>
      <c r="QFJ53" s="113"/>
      <c r="QFK53" s="113"/>
      <c r="QFL53" s="113"/>
      <c r="QFM53" s="113"/>
      <c r="QFN53" s="113"/>
      <c r="QFO53" s="113"/>
      <c r="QFP53" s="113"/>
      <c r="QFQ53" s="113"/>
      <c r="QFR53" s="113"/>
      <c r="QFS53" s="113"/>
      <c r="QFT53" s="113"/>
      <c r="QFU53" s="113"/>
      <c r="QFV53" s="113"/>
      <c r="QFW53" s="113"/>
      <c r="QFX53" s="113"/>
      <c r="QFY53" s="113"/>
      <c r="QFZ53" s="113"/>
      <c r="QGA53" s="113"/>
      <c r="QGB53" s="113"/>
      <c r="QGC53" s="113"/>
      <c r="QGD53" s="113"/>
      <c r="QGE53" s="113"/>
      <c r="QGF53" s="113"/>
      <c r="QGG53" s="113"/>
      <c r="QGH53" s="113"/>
      <c r="QGI53" s="113"/>
      <c r="QGJ53" s="113"/>
      <c r="QGK53" s="113"/>
      <c r="QGL53" s="113"/>
      <c r="QGM53" s="113"/>
      <c r="QGN53" s="113"/>
      <c r="QGO53" s="113"/>
      <c r="QGP53" s="113"/>
      <c r="QGQ53" s="113"/>
      <c r="QGR53" s="113"/>
      <c r="QGS53" s="113"/>
      <c r="QGT53" s="113"/>
      <c r="QGU53" s="113"/>
      <c r="QGV53" s="113"/>
      <c r="QGW53" s="113"/>
      <c r="QGX53" s="113"/>
      <c r="QGY53" s="113"/>
      <c r="QGZ53" s="113"/>
      <c r="QHA53" s="113"/>
      <c r="QHB53" s="113"/>
      <c r="QHC53" s="113"/>
      <c r="QHD53" s="113"/>
      <c r="QHE53" s="113"/>
      <c r="QHF53" s="113"/>
      <c r="QHG53" s="113"/>
      <c r="QHH53" s="113"/>
      <c r="QHI53" s="113"/>
      <c r="QHJ53" s="113"/>
      <c r="QHK53" s="113"/>
      <c r="QHL53" s="113"/>
      <c r="QHM53" s="113"/>
      <c r="QHN53" s="113"/>
      <c r="QHO53" s="113"/>
      <c r="QHP53" s="113"/>
      <c r="QHQ53" s="113"/>
      <c r="QHR53" s="113"/>
      <c r="QHS53" s="113"/>
      <c r="QHT53" s="113"/>
      <c r="QHU53" s="113"/>
      <c r="QHV53" s="113"/>
      <c r="QHW53" s="113"/>
      <c r="QHX53" s="113"/>
      <c r="QHY53" s="113"/>
      <c r="QHZ53" s="113"/>
      <c r="QIA53" s="113"/>
      <c r="QIB53" s="113"/>
      <c r="QIC53" s="113"/>
      <c r="QID53" s="113"/>
      <c r="QIE53" s="113"/>
      <c r="QIF53" s="113"/>
      <c r="QIG53" s="113"/>
      <c r="QIH53" s="113"/>
      <c r="QII53" s="113"/>
      <c r="QIJ53" s="113"/>
      <c r="QIK53" s="113"/>
      <c r="QIL53" s="113"/>
      <c r="QIM53" s="113"/>
      <c r="QIN53" s="113"/>
      <c r="QIO53" s="113"/>
      <c r="QIP53" s="113"/>
      <c r="QIQ53" s="113"/>
      <c r="QIR53" s="113"/>
      <c r="QIS53" s="113"/>
      <c r="QIT53" s="113"/>
      <c r="QIU53" s="113"/>
      <c r="QIV53" s="113"/>
      <c r="QIW53" s="113"/>
      <c r="QIX53" s="113"/>
      <c r="QIY53" s="113"/>
      <c r="QIZ53" s="113"/>
      <c r="QJA53" s="113"/>
      <c r="QJB53" s="113"/>
      <c r="QJC53" s="113"/>
      <c r="QJD53" s="113"/>
      <c r="QJE53" s="113"/>
      <c r="QJF53" s="113"/>
      <c r="QJG53" s="113"/>
      <c r="QJH53" s="113"/>
      <c r="QJI53" s="113"/>
      <c r="QJJ53" s="113"/>
      <c r="QJK53" s="113"/>
      <c r="QJL53" s="113"/>
      <c r="QJM53" s="113"/>
      <c r="QJN53" s="113"/>
      <c r="QJO53" s="113"/>
      <c r="QJP53" s="113"/>
      <c r="QJQ53" s="113"/>
      <c r="QJR53" s="113"/>
      <c r="QJS53" s="113"/>
      <c r="QJT53" s="113"/>
      <c r="QJU53" s="113"/>
      <c r="QJV53" s="113"/>
      <c r="QJW53" s="113"/>
      <c r="QJX53" s="113"/>
      <c r="QJY53" s="113"/>
      <c r="QJZ53" s="113"/>
      <c r="QKA53" s="113"/>
      <c r="QKB53" s="113"/>
      <c r="QKC53" s="113"/>
      <c r="QKD53" s="113"/>
      <c r="QKE53" s="113"/>
      <c r="QKF53" s="113"/>
      <c r="QKG53" s="113"/>
      <c r="QKH53" s="113"/>
      <c r="QKI53" s="113"/>
      <c r="QKJ53" s="113"/>
      <c r="QKK53" s="113"/>
      <c r="QKL53" s="113"/>
      <c r="QKM53" s="113"/>
      <c r="QKN53" s="113"/>
      <c r="QKO53" s="113"/>
      <c r="QKP53" s="113"/>
      <c r="QKQ53" s="113"/>
      <c r="QKR53" s="113"/>
      <c r="QKS53" s="113"/>
      <c r="QKT53" s="113"/>
      <c r="QKU53" s="113"/>
      <c r="QKV53" s="113"/>
      <c r="QKW53" s="113"/>
      <c r="QKX53" s="113"/>
      <c r="QKY53" s="113"/>
      <c r="QKZ53" s="113"/>
      <c r="QLA53" s="113"/>
      <c r="QLB53" s="113"/>
      <c r="QLC53" s="113"/>
      <c r="QLD53" s="113"/>
      <c r="QLE53" s="113"/>
      <c r="QLF53" s="113"/>
      <c r="QLG53" s="113"/>
      <c r="QLH53" s="113"/>
      <c r="QLI53" s="113"/>
      <c r="QLJ53" s="113"/>
      <c r="QLK53" s="113"/>
      <c r="QLL53" s="113"/>
      <c r="QLM53" s="113"/>
      <c r="QLN53" s="113"/>
      <c r="QLO53" s="113"/>
      <c r="QLP53" s="113"/>
      <c r="QLQ53" s="113"/>
      <c r="QLR53" s="113"/>
      <c r="QLS53" s="113"/>
      <c r="QLT53" s="113"/>
      <c r="QLU53" s="113"/>
      <c r="QLV53" s="113"/>
      <c r="QLW53" s="113"/>
      <c r="QLX53" s="113"/>
      <c r="QLY53" s="113"/>
      <c r="QLZ53" s="113"/>
      <c r="QMA53" s="113"/>
      <c r="QMB53" s="113"/>
      <c r="QMC53" s="113"/>
      <c r="QMD53" s="113"/>
      <c r="QME53" s="113"/>
      <c r="QMF53" s="113"/>
      <c r="QMG53" s="113"/>
      <c r="QMH53" s="113"/>
      <c r="QMI53" s="113"/>
      <c r="QMJ53" s="113"/>
      <c r="QMK53" s="113"/>
      <c r="QML53" s="113"/>
      <c r="QMM53" s="113"/>
      <c r="QMN53" s="113"/>
      <c r="QMO53" s="113"/>
      <c r="QMP53" s="113"/>
      <c r="QMQ53" s="113"/>
      <c r="QMR53" s="113"/>
      <c r="QMS53" s="113"/>
      <c r="QMT53" s="113"/>
      <c r="QMU53" s="113"/>
      <c r="QMV53" s="113"/>
      <c r="QMW53" s="113"/>
      <c r="QMX53" s="113"/>
      <c r="QMY53" s="113"/>
      <c r="QMZ53" s="113"/>
      <c r="QNA53" s="113"/>
      <c r="QNB53" s="113"/>
      <c r="QNC53" s="113"/>
      <c r="QND53" s="113"/>
      <c r="QNE53" s="113"/>
      <c r="QNF53" s="113"/>
      <c r="QNG53" s="113"/>
      <c r="QNH53" s="113"/>
      <c r="QNI53" s="113"/>
      <c r="QNJ53" s="113"/>
      <c r="QNK53" s="113"/>
      <c r="QNL53" s="113"/>
      <c r="QNM53" s="113"/>
      <c r="QNN53" s="113"/>
      <c r="QNO53" s="113"/>
      <c r="QNP53" s="113"/>
      <c r="QNQ53" s="113"/>
      <c r="QNR53" s="113"/>
      <c r="QNS53" s="113"/>
      <c r="QNT53" s="113"/>
      <c r="QNU53" s="113"/>
      <c r="QNV53" s="113"/>
      <c r="QNW53" s="113"/>
      <c r="QNX53" s="113"/>
      <c r="QNY53" s="113"/>
      <c r="QNZ53" s="113"/>
      <c r="QOA53" s="113"/>
      <c r="QOB53" s="113"/>
      <c r="QOC53" s="113"/>
      <c r="QOD53" s="113"/>
      <c r="QOE53" s="113"/>
      <c r="QOF53" s="113"/>
      <c r="QOG53" s="113"/>
      <c r="QOH53" s="113"/>
      <c r="QOI53" s="113"/>
      <c r="QOJ53" s="113"/>
      <c r="QOK53" s="113"/>
      <c r="QOL53" s="113"/>
      <c r="QOM53" s="113"/>
      <c r="QON53" s="113"/>
      <c r="QOO53" s="113"/>
      <c r="QOP53" s="113"/>
      <c r="QOQ53" s="113"/>
      <c r="QOR53" s="113"/>
      <c r="QOS53" s="113"/>
      <c r="QOT53" s="113"/>
      <c r="QOU53" s="113"/>
      <c r="QOV53" s="113"/>
      <c r="QOW53" s="113"/>
      <c r="QOX53" s="113"/>
      <c r="QOY53" s="113"/>
      <c r="QOZ53" s="113"/>
      <c r="QPA53" s="113"/>
      <c r="QPB53" s="113"/>
      <c r="QPC53" s="113"/>
      <c r="QPD53" s="113"/>
      <c r="QPE53" s="113"/>
      <c r="QPF53" s="113"/>
      <c r="QPG53" s="113"/>
      <c r="QPH53" s="113"/>
      <c r="QPI53" s="113"/>
      <c r="QPJ53" s="113"/>
      <c r="QPK53" s="113"/>
      <c r="QPL53" s="113"/>
      <c r="QPM53" s="113"/>
      <c r="QPN53" s="113"/>
      <c r="QPO53" s="113"/>
      <c r="QPP53" s="113"/>
      <c r="QPQ53" s="113"/>
      <c r="QPR53" s="113"/>
      <c r="QPS53" s="113"/>
      <c r="QPT53" s="113"/>
      <c r="QPU53" s="113"/>
      <c r="QPV53" s="113"/>
      <c r="QPW53" s="113"/>
      <c r="QPX53" s="113"/>
      <c r="QPY53" s="113"/>
      <c r="QPZ53" s="113"/>
      <c r="QQA53" s="113"/>
      <c r="QQB53" s="113"/>
      <c r="QQC53" s="113"/>
      <c r="QQD53" s="113"/>
      <c r="QQE53" s="113"/>
      <c r="QQF53" s="113"/>
      <c r="QQG53" s="113"/>
      <c r="QQH53" s="113"/>
      <c r="QQI53" s="113"/>
      <c r="QQJ53" s="113"/>
      <c r="QQK53" s="113"/>
      <c r="QQL53" s="113"/>
      <c r="QQM53" s="113"/>
      <c r="QQN53" s="113"/>
      <c r="QQO53" s="113"/>
      <c r="QQP53" s="113"/>
      <c r="QQQ53" s="113"/>
      <c r="QQR53" s="113"/>
      <c r="QQS53" s="113"/>
      <c r="QQT53" s="113"/>
      <c r="QQU53" s="113"/>
      <c r="QQV53" s="113"/>
      <c r="QQW53" s="113"/>
      <c r="QQX53" s="113"/>
      <c r="QQY53" s="113"/>
      <c r="QQZ53" s="113"/>
      <c r="QRA53" s="113"/>
      <c r="QRB53" s="113"/>
      <c r="QRC53" s="113"/>
      <c r="QRD53" s="113"/>
      <c r="QRE53" s="113"/>
      <c r="QRF53" s="113"/>
      <c r="QRG53" s="113"/>
      <c r="QRH53" s="113"/>
      <c r="QRI53" s="113"/>
      <c r="QRJ53" s="113"/>
      <c r="QRK53" s="113"/>
      <c r="QRL53" s="113"/>
      <c r="QRM53" s="113"/>
      <c r="QRN53" s="113"/>
      <c r="QRO53" s="113"/>
      <c r="QRP53" s="113"/>
      <c r="QRQ53" s="113"/>
      <c r="QRR53" s="113"/>
      <c r="QRS53" s="113"/>
      <c r="QRT53" s="113"/>
      <c r="QRU53" s="113"/>
      <c r="QRV53" s="113"/>
      <c r="QRW53" s="113"/>
      <c r="QRX53" s="113"/>
      <c r="QRY53" s="113"/>
      <c r="QRZ53" s="113"/>
      <c r="QSA53" s="113"/>
      <c r="QSB53" s="113"/>
      <c r="QSC53" s="113"/>
      <c r="QSD53" s="113"/>
      <c r="QSE53" s="113"/>
      <c r="QSF53" s="113"/>
      <c r="QSG53" s="113"/>
      <c r="QSH53" s="113"/>
      <c r="QSI53" s="113"/>
      <c r="QSJ53" s="113"/>
      <c r="QSK53" s="113"/>
      <c r="QSL53" s="113"/>
      <c r="QSM53" s="113"/>
      <c r="QSN53" s="113"/>
      <c r="QSO53" s="113"/>
      <c r="QSP53" s="113"/>
      <c r="QSQ53" s="113"/>
      <c r="QSR53" s="113"/>
      <c r="QSS53" s="113"/>
      <c r="QST53" s="113"/>
      <c r="QSU53" s="113"/>
      <c r="QSV53" s="113"/>
      <c r="QSW53" s="113"/>
      <c r="QSX53" s="113"/>
      <c r="QSY53" s="113"/>
      <c r="QSZ53" s="113"/>
      <c r="QTA53" s="113"/>
      <c r="QTB53" s="113"/>
      <c r="QTC53" s="113"/>
      <c r="QTD53" s="113"/>
      <c r="QTE53" s="113"/>
      <c r="QTF53" s="113"/>
      <c r="QTG53" s="113"/>
      <c r="QTH53" s="113"/>
      <c r="QTI53" s="113"/>
      <c r="QTJ53" s="113"/>
      <c r="QTK53" s="113"/>
      <c r="QTL53" s="113"/>
      <c r="QTM53" s="113"/>
      <c r="QTN53" s="113"/>
      <c r="QTO53" s="113"/>
      <c r="QTP53" s="113"/>
      <c r="QTQ53" s="113"/>
      <c r="QTR53" s="113"/>
      <c r="QTS53" s="113"/>
      <c r="QTT53" s="113"/>
      <c r="QTU53" s="113"/>
      <c r="QTV53" s="113"/>
      <c r="QTW53" s="113"/>
      <c r="QTX53" s="113"/>
      <c r="QTY53" s="113"/>
      <c r="QTZ53" s="113"/>
      <c r="QUA53" s="113"/>
      <c r="QUB53" s="113"/>
      <c r="QUC53" s="113"/>
      <c r="QUD53" s="113"/>
      <c r="QUE53" s="113"/>
      <c r="QUF53" s="113"/>
      <c r="QUG53" s="113"/>
      <c r="QUH53" s="113"/>
      <c r="QUI53" s="113"/>
      <c r="QUJ53" s="113"/>
      <c r="QUK53" s="113"/>
      <c r="QUL53" s="113"/>
      <c r="QUM53" s="113"/>
      <c r="QUN53" s="113"/>
      <c r="QUO53" s="113"/>
      <c r="QUP53" s="113"/>
      <c r="QUQ53" s="113"/>
      <c r="QUR53" s="113"/>
      <c r="QUS53" s="113"/>
      <c r="QUT53" s="113"/>
      <c r="QUU53" s="113"/>
      <c r="QUV53" s="113"/>
      <c r="QUW53" s="113"/>
      <c r="QUX53" s="113"/>
      <c r="QUY53" s="113"/>
      <c r="QUZ53" s="113"/>
      <c r="QVA53" s="113"/>
      <c r="QVB53" s="113"/>
      <c r="QVC53" s="113"/>
      <c r="QVD53" s="113"/>
      <c r="QVE53" s="113"/>
      <c r="QVF53" s="113"/>
      <c r="QVG53" s="113"/>
      <c r="QVH53" s="113"/>
      <c r="QVI53" s="113"/>
      <c r="QVJ53" s="113"/>
      <c r="QVK53" s="113"/>
      <c r="QVL53" s="113"/>
      <c r="QVM53" s="113"/>
      <c r="QVN53" s="113"/>
      <c r="QVO53" s="113"/>
      <c r="QVP53" s="113"/>
      <c r="QVQ53" s="113"/>
      <c r="QVR53" s="113"/>
      <c r="QVS53" s="113"/>
      <c r="QVT53" s="113"/>
      <c r="QVU53" s="113"/>
      <c r="QVV53" s="113"/>
      <c r="QVW53" s="113"/>
      <c r="QVX53" s="113"/>
      <c r="QVY53" s="113"/>
      <c r="QVZ53" s="113"/>
      <c r="QWA53" s="113"/>
      <c r="QWB53" s="113"/>
      <c r="QWC53" s="113"/>
      <c r="QWD53" s="113"/>
      <c r="QWE53" s="113"/>
      <c r="QWF53" s="113"/>
      <c r="QWG53" s="113"/>
      <c r="QWH53" s="113"/>
      <c r="QWI53" s="113"/>
      <c r="QWJ53" s="113"/>
      <c r="QWK53" s="113"/>
      <c r="QWL53" s="113"/>
      <c r="QWM53" s="113"/>
      <c r="QWN53" s="113"/>
      <c r="QWO53" s="113"/>
      <c r="QWP53" s="113"/>
      <c r="QWQ53" s="113"/>
      <c r="QWR53" s="113"/>
      <c r="QWS53" s="113"/>
      <c r="QWT53" s="113"/>
      <c r="QWU53" s="113"/>
      <c r="QWV53" s="113"/>
      <c r="QWW53" s="113"/>
      <c r="QWX53" s="113"/>
      <c r="QWY53" s="113"/>
      <c r="QWZ53" s="113"/>
      <c r="QXA53" s="113"/>
      <c r="QXB53" s="113"/>
      <c r="QXC53" s="113"/>
      <c r="QXD53" s="113"/>
      <c r="QXE53" s="113"/>
      <c r="QXF53" s="113"/>
      <c r="QXG53" s="113"/>
      <c r="QXH53" s="113"/>
      <c r="QXI53" s="113"/>
      <c r="QXJ53" s="113"/>
      <c r="QXK53" s="113"/>
      <c r="QXL53" s="113"/>
      <c r="QXM53" s="113"/>
      <c r="QXN53" s="113"/>
      <c r="QXO53" s="113"/>
      <c r="QXP53" s="113"/>
      <c r="QXQ53" s="113"/>
      <c r="QXR53" s="113"/>
      <c r="QXS53" s="113"/>
      <c r="QXT53" s="113"/>
      <c r="QXU53" s="113"/>
      <c r="QXV53" s="113"/>
      <c r="QXW53" s="113"/>
      <c r="QXX53" s="113"/>
      <c r="QXY53" s="113"/>
      <c r="QXZ53" s="113"/>
      <c r="QYA53" s="113"/>
      <c r="QYB53" s="113"/>
      <c r="QYC53" s="113"/>
      <c r="QYD53" s="113"/>
      <c r="QYE53" s="113"/>
      <c r="QYF53" s="113"/>
      <c r="QYG53" s="113"/>
      <c r="QYH53" s="113"/>
      <c r="QYI53" s="113"/>
      <c r="QYJ53" s="113"/>
      <c r="QYK53" s="113"/>
      <c r="QYL53" s="113"/>
      <c r="QYM53" s="113"/>
      <c r="QYN53" s="113"/>
      <c r="QYO53" s="113"/>
      <c r="QYP53" s="113"/>
      <c r="QYQ53" s="113"/>
      <c r="QYR53" s="113"/>
      <c r="QYS53" s="113"/>
      <c r="QYT53" s="113"/>
      <c r="QYU53" s="113"/>
      <c r="QYV53" s="113"/>
      <c r="QYW53" s="113"/>
      <c r="QYX53" s="113"/>
      <c r="QYY53" s="113"/>
      <c r="QYZ53" s="113"/>
      <c r="QZA53" s="113"/>
      <c r="QZB53" s="113"/>
      <c r="QZC53" s="113"/>
      <c r="QZD53" s="113"/>
      <c r="QZE53" s="113"/>
      <c r="QZF53" s="113"/>
      <c r="QZG53" s="113"/>
      <c r="QZH53" s="113"/>
      <c r="QZI53" s="113"/>
      <c r="QZJ53" s="113"/>
      <c r="QZK53" s="113"/>
      <c r="QZL53" s="113"/>
      <c r="QZM53" s="113"/>
      <c r="QZN53" s="113"/>
      <c r="QZO53" s="113"/>
      <c r="QZP53" s="113"/>
      <c r="QZQ53" s="113"/>
      <c r="QZR53" s="113"/>
      <c r="QZS53" s="113"/>
      <c r="QZT53" s="113"/>
      <c r="QZU53" s="113"/>
      <c r="QZV53" s="113"/>
      <c r="QZW53" s="113"/>
      <c r="QZX53" s="113"/>
      <c r="QZY53" s="113"/>
      <c r="QZZ53" s="113"/>
      <c r="RAA53" s="113"/>
      <c r="RAB53" s="113"/>
      <c r="RAC53" s="113"/>
      <c r="RAD53" s="113"/>
      <c r="RAE53" s="113"/>
      <c r="RAF53" s="113"/>
      <c r="RAG53" s="113"/>
      <c r="RAH53" s="113"/>
      <c r="RAI53" s="113"/>
      <c r="RAJ53" s="113"/>
      <c r="RAK53" s="113"/>
      <c r="RAL53" s="113"/>
      <c r="RAM53" s="113"/>
      <c r="RAN53" s="113"/>
      <c r="RAO53" s="113"/>
      <c r="RAP53" s="113"/>
      <c r="RAQ53" s="113"/>
      <c r="RAR53" s="113"/>
      <c r="RAS53" s="113"/>
      <c r="RAT53" s="113"/>
      <c r="RAU53" s="113"/>
      <c r="RAV53" s="113"/>
      <c r="RAW53" s="113"/>
      <c r="RAX53" s="113"/>
      <c r="RAY53" s="113"/>
      <c r="RAZ53" s="113"/>
      <c r="RBA53" s="113"/>
      <c r="RBB53" s="113"/>
      <c r="RBC53" s="113"/>
      <c r="RBD53" s="113"/>
      <c r="RBE53" s="113"/>
      <c r="RBF53" s="113"/>
      <c r="RBG53" s="113"/>
      <c r="RBH53" s="113"/>
      <c r="RBI53" s="113"/>
      <c r="RBJ53" s="113"/>
      <c r="RBK53" s="113"/>
      <c r="RBL53" s="113"/>
      <c r="RBM53" s="113"/>
      <c r="RBN53" s="113"/>
      <c r="RBO53" s="113"/>
      <c r="RBP53" s="113"/>
      <c r="RBQ53" s="113"/>
      <c r="RBR53" s="113"/>
      <c r="RBS53" s="113"/>
      <c r="RBT53" s="113"/>
      <c r="RBU53" s="113"/>
      <c r="RBV53" s="113"/>
      <c r="RBW53" s="113"/>
      <c r="RBX53" s="113"/>
      <c r="RBY53" s="113"/>
      <c r="RBZ53" s="113"/>
      <c r="RCA53" s="113"/>
      <c r="RCB53" s="113"/>
      <c r="RCC53" s="113"/>
      <c r="RCD53" s="113"/>
      <c r="RCE53" s="113"/>
      <c r="RCF53" s="113"/>
      <c r="RCG53" s="113"/>
      <c r="RCH53" s="113"/>
      <c r="RCI53" s="113"/>
      <c r="RCJ53" s="113"/>
      <c r="RCK53" s="113"/>
      <c r="RCL53" s="113"/>
      <c r="RCM53" s="113"/>
      <c r="RCN53" s="113"/>
      <c r="RCO53" s="113"/>
      <c r="RCP53" s="113"/>
      <c r="RCQ53" s="113"/>
      <c r="RCR53" s="113"/>
      <c r="RCS53" s="113"/>
      <c r="RCT53" s="113"/>
      <c r="RCU53" s="113"/>
      <c r="RCV53" s="113"/>
      <c r="RCW53" s="113"/>
      <c r="RCX53" s="113"/>
      <c r="RCY53" s="113"/>
      <c r="RCZ53" s="113"/>
      <c r="RDA53" s="113"/>
      <c r="RDB53" s="113"/>
      <c r="RDC53" s="113"/>
      <c r="RDD53" s="113"/>
      <c r="RDE53" s="113"/>
      <c r="RDF53" s="113"/>
      <c r="RDG53" s="113"/>
      <c r="RDH53" s="113"/>
      <c r="RDI53" s="113"/>
      <c r="RDJ53" s="113"/>
      <c r="RDK53" s="113"/>
      <c r="RDL53" s="113"/>
      <c r="RDM53" s="113"/>
      <c r="RDN53" s="113"/>
      <c r="RDO53" s="113"/>
      <c r="RDP53" s="113"/>
      <c r="RDQ53" s="113"/>
      <c r="RDR53" s="113"/>
      <c r="RDS53" s="113"/>
      <c r="RDT53" s="113"/>
      <c r="RDU53" s="113"/>
      <c r="RDV53" s="113"/>
      <c r="RDW53" s="113"/>
      <c r="RDX53" s="113"/>
      <c r="RDY53" s="113"/>
      <c r="RDZ53" s="113"/>
      <c r="REA53" s="113"/>
      <c r="REB53" s="113"/>
      <c r="REC53" s="113"/>
      <c r="RED53" s="113"/>
      <c r="REE53" s="113"/>
      <c r="REF53" s="113"/>
      <c r="REG53" s="113"/>
      <c r="REH53" s="113"/>
      <c r="REI53" s="113"/>
      <c r="REJ53" s="113"/>
      <c r="REK53" s="113"/>
      <c r="REL53" s="113"/>
      <c r="REM53" s="113"/>
      <c r="REN53" s="113"/>
      <c r="REO53" s="113"/>
      <c r="REP53" s="113"/>
      <c r="REQ53" s="113"/>
      <c r="RER53" s="113"/>
      <c r="RES53" s="113"/>
      <c r="RET53" s="113"/>
      <c r="REU53" s="113"/>
      <c r="REV53" s="113"/>
      <c r="REW53" s="113"/>
      <c r="REX53" s="113"/>
      <c r="REY53" s="113"/>
      <c r="REZ53" s="113"/>
      <c r="RFA53" s="113"/>
      <c r="RFB53" s="113"/>
      <c r="RFC53" s="113"/>
      <c r="RFD53" s="113"/>
      <c r="RFE53" s="113"/>
      <c r="RFF53" s="113"/>
      <c r="RFG53" s="113"/>
      <c r="RFH53" s="113"/>
      <c r="RFI53" s="113"/>
      <c r="RFJ53" s="113"/>
      <c r="RFK53" s="113"/>
      <c r="RFL53" s="113"/>
      <c r="RFM53" s="113"/>
      <c r="RFN53" s="113"/>
      <c r="RFO53" s="113"/>
      <c r="RFP53" s="113"/>
      <c r="RFQ53" s="113"/>
      <c r="RFR53" s="113"/>
      <c r="RFS53" s="113"/>
      <c r="RFT53" s="113"/>
      <c r="RFU53" s="113"/>
      <c r="RFV53" s="113"/>
      <c r="RFW53" s="113"/>
      <c r="RFX53" s="113"/>
      <c r="RFY53" s="113"/>
      <c r="RFZ53" s="113"/>
      <c r="RGA53" s="113"/>
      <c r="RGB53" s="113"/>
      <c r="RGC53" s="113"/>
      <c r="RGD53" s="113"/>
      <c r="RGE53" s="113"/>
      <c r="RGF53" s="113"/>
      <c r="RGG53" s="113"/>
      <c r="RGH53" s="113"/>
      <c r="RGI53" s="113"/>
      <c r="RGJ53" s="113"/>
      <c r="RGK53" s="113"/>
      <c r="RGL53" s="113"/>
      <c r="RGM53" s="113"/>
      <c r="RGN53" s="113"/>
      <c r="RGO53" s="113"/>
      <c r="RGP53" s="113"/>
      <c r="RGQ53" s="113"/>
      <c r="RGR53" s="113"/>
      <c r="RGS53" s="113"/>
      <c r="RGT53" s="113"/>
      <c r="RGU53" s="113"/>
      <c r="RGV53" s="113"/>
      <c r="RGW53" s="113"/>
      <c r="RGX53" s="113"/>
      <c r="RGY53" s="113"/>
      <c r="RGZ53" s="113"/>
      <c r="RHA53" s="113"/>
      <c r="RHB53" s="113"/>
      <c r="RHC53" s="113"/>
      <c r="RHD53" s="113"/>
      <c r="RHE53" s="113"/>
      <c r="RHF53" s="113"/>
      <c r="RHG53" s="113"/>
      <c r="RHH53" s="113"/>
      <c r="RHI53" s="113"/>
      <c r="RHJ53" s="113"/>
      <c r="RHK53" s="113"/>
      <c r="RHL53" s="113"/>
      <c r="RHM53" s="113"/>
      <c r="RHN53" s="113"/>
      <c r="RHO53" s="113"/>
      <c r="RHP53" s="113"/>
      <c r="RHQ53" s="113"/>
      <c r="RHR53" s="113"/>
      <c r="RHS53" s="113"/>
      <c r="RHT53" s="113"/>
      <c r="RHU53" s="113"/>
      <c r="RHV53" s="113"/>
      <c r="RHW53" s="113"/>
      <c r="RHX53" s="113"/>
      <c r="RHY53" s="113"/>
      <c r="RHZ53" s="113"/>
      <c r="RIA53" s="113"/>
      <c r="RIB53" s="113"/>
      <c r="RIC53" s="113"/>
      <c r="RID53" s="113"/>
      <c r="RIE53" s="113"/>
      <c r="RIF53" s="113"/>
      <c r="RIG53" s="113"/>
      <c r="RIH53" s="113"/>
      <c r="RII53" s="113"/>
      <c r="RIJ53" s="113"/>
      <c r="RIK53" s="113"/>
      <c r="RIL53" s="113"/>
      <c r="RIM53" s="113"/>
      <c r="RIN53" s="113"/>
      <c r="RIO53" s="113"/>
      <c r="RIP53" s="113"/>
      <c r="RIQ53" s="113"/>
      <c r="RIR53" s="113"/>
      <c r="RIS53" s="113"/>
      <c r="RIT53" s="113"/>
      <c r="RIU53" s="113"/>
      <c r="RIV53" s="113"/>
      <c r="RIW53" s="113"/>
      <c r="RIX53" s="113"/>
      <c r="RIY53" s="113"/>
      <c r="RIZ53" s="113"/>
      <c r="RJA53" s="113"/>
      <c r="RJB53" s="113"/>
      <c r="RJC53" s="113"/>
      <c r="RJD53" s="113"/>
      <c r="RJE53" s="113"/>
      <c r="RJF53" s="113"/>
      <c r="RJG53" s="113"/>
      <c r="RJH53" s="113"/>
      <c r="RJI53" s="113"/>
      <c r="RJJ53" s="113"/>
      <c r="RJK53" s="113"/>
      <c r="RJL53" s="113"/>
      <c r="RJM53" s="113"/>
      <c r="RJN53" s="113"/>
      <c r="RJO53" s="113"/>
      <c r="RJP53" s="113"/>
      <c r="RJQ53" s="113"/>
      <c r="RJR53" s="113"/>
      <c r="RJS53" s="113"/>
      <c r="RJT53" s="113"/>
      <c r="RJU53" s="113"/>
      <c r="RJV53" s="113"/>
      <c r="RJW53" s="113"/>
      <c r="RJX53" s="113"/>
      <c r="RJY53" s="113"/>
      <c r="RJZ53" s="113"/>
      <c r="RKA53" s="113"/>
      <c r="RKB53" s="113"/>
      <c r="RKC53" s="113"/>
      <c r="RKD53" s="113"/>
      <c r="RKE53" s="113"/>
      <c r="RKF53" s="113"/>
      <c r="RKG53" s="113"/>
      <c r="RKH53" s="113"/>
      <c r="RKI53" s="113"/>
      <c r="RKJ53" s="113"/>
      <c r="RKK53" s="113"/>
      <c r="RKL53" s="113"/>
      <c r="RKM53" s="113"/>
      <c r="RKN53" s="113"/>
      <c r="RKO53" s="113"/>
      <c r="RKP53" s="113"/>
      <c r="RKQ53" s="113"/>
      <c r="RKR53" s="113"/>
      <c r="RKS53" s="113"/>
      <c r="RKT53" s="113"/>
      <c r="RKU53" s="113"/>
      <c r="RKV53" s="113"/>
      <c r="RKW53" s="113"/>
      <c r="RKX53" s="113"/>
      <c r="RKY53" s="113"/>
      <c r="RKZ53" s="113"/>
      <c r="RLA53" s="113"/>
      <c r="RLB53" s="113"/>
      <c r="RLC53" s="113"/>
      <c r="RLD53" s="113"/>
      <c r="RLE53" s="113"/>
      <c r="RLF53" s="113"/>
      <c r="RLG53" s="113"/>
      <c r="RLH53" s="113"/>
      <c r="RLI53" s="113"/>
      <c r="RLJ53" s="113"/>
      <c r="RLK53" s="113"/>
      <c r="RLL53" s="113"/>
      <c r="RLM53" s="113"/>
      <c r="RLN53" s="113"/>
      <c r="RLO53" s="113"/>
      <c r="RLP53" s="113"/>
      <c r="RLQ53" s="113"/>
      <c r="RLR53" s="113"/>
      <c r="RLS53" s="113"/>
      <c r="RLT53" s="113"/>
      <c r="RLU53" s="113"/>
      <c r="RLV53" s="113"/>
      <c r="RLW53" s="113"/>
      <c r="RLX53" s="113"/>
      <c r="RLY53" s="113"/>
      <c r="RLZ53" s="113"/>
      <c r="RMA53" s="113"/>
      <c r="RMB53" s="113"/>
      <c r="RMC53" s="113"/>
      <c r="RMD53" s="113"/>
      <c r="RME53" s="113"/>
      <c r="RMF53" s="113"/>
      <c r="RMG53" s="113"/>
      <c r="RMH53" s="113"/>
      <c r="RMI53" s="113"/>
      <c r="RMJ53" s="113"/>
      <c r="RMK53" s="113"/>
      <c r="RML53" s="113"/>
      <c r="RMM53" s="113"/>
      <c r="RMN53" s="113"/>
      <c r="RMO53" s="113"/>
      <c r="RMP53" s="113"/>
      <c r="RMQ53" s="113"/>
      <c r="RMR53" s="113"/>
      <c r="RMS53" s="113"/>
      <c r="RMT53" s="113"/>
      <c r="RMU53" s="113"/>
      <c r="RMV53" s="113"/>
      <c r="RMW53" s="113"/>
      <c r="RMX53" s="113"/>
      <c r="RMY53" s="113"/>
      <c r="RMZ53" s="113"/>
      <c r="RNA53" s="113"/>
      <c r="RNB53" s="113"/>
      <c r="RNC53" s="113"/>
      <c r="RND53" s="113"/>
      <c r="RNE53" s="113"/>
      <c r="RNF53" s="113"/>
      <c r="RNG53" s="113"/>
      <c r="RNH53" s="113"/>
      <c r="RNI53" s="113"/>
      <c r="RNJ53" s="113"/>
      <c r="RNK53" s="113"/>
      <c r="RNL53" s="113"/>
      <c r="RNM53" s="113"/>
      <c r="RNN53" s="113"/>
      <c r="RNO53" s="113"/>
      <c r="RNP53" s="113"/>
      <c r="RNQ53" s="113"/>
      <c r="RNR53" s="113"/>
      <c r="RNS53" s="113"/>
      <c r="RNT53" s="113"/>
      <c r="RNU53" s="113"/>
      <c r="RNV53" s="113"/>
      <c r="RNW53" s="113"/>
      <c r="RNX53" s="113"/>
      <c r="RNY53" s="113"/>
      <c r="RNZ53" s="113"/>
      <c r="ROA53" s="113"/>
      <c r="ROB53" s="113"/>
      <c r="ROC53" s="113"/>
      <c r="ROD53" s="113"/>
      <c r="ROE53" s="113"/>
      <c r="ROF53" s="113"/>
      <c r="ROG53" s="113"/>
      <c r="ROH53" s="113"/>
      <c r="ROI53" s="113"/>
      <c r="ROJ53" s="113"/>
      <c r="ROK53" s="113"/>
      <c r="ROL53" s="113"/>
      <c r="ROM53" s="113"/>
      <c r="RON53" s="113"/>
      <c r="ROO53" s="113"/>
      <c r="ROP53" s="113"/>
      <c r="ROQ53" s="113"/>
      <c r="ROR53" s="113"/>
      <c r="ROS53" s="113"/>
      <c r="ROT53" s="113"/>
      <c r="ROU53" s="113"/>
      <c r="ROV53" s="113"/>
      <c r="ROW53" s="113"/>
      <c r="ROX53" s="113"/>
      <c r="ROY53" s="113"/>
      <c r="ROZ53" s="113"/>
      <c r="RPA53" s="113"/>
      <c r="RPB53" s="113"/>
      <c r="RPC53" s="113"/>
      <c r="RPD53" s="113"/>
      <c r="RPE53" s="113"/>
      <c r="RPF53" s="113"/>
      <c r="RPG53" s="113"/>
      <c r="RPH53" s="113"/>
      <c r="RPI53" s="113"/>
      <c r="RPJ53" s="113"/>
      <c r="RPK53" s="113"/>
      <c r="RPL53" s="113"/>
      <c r="RPM53" s="113"/>
      <c r="RPN53" s="113"/>
      <c r="RPO53" s="113"/>
      <c r="RPP53" s="113"/>
      <c r="RPQ53" s="113"/>
      <c r="RPR53" s="113"/>
      <c r="RPS53" s="113"/>
      <c r="RPT53" s="113"/>
      <c r="RPU53" s="113"/>
      <c r="RPV53" s="113"/>
      <c r="RPW53" s="113"/>
      <c r="RPX53" s="113"/>
      <c r="RPY53" s="113"/>
      <c r="RPZ53" s="113"/>
      <c r="RQA53" s="113"/>
      <c r="RQB53" s="113"/>
      <c r="RQC53" s="113"/>
      <c r="RQD53" s="113"/>
      <c r="RQE53" s="113"/>
      <c r="RQF53" s="113"/>
      <c r="RQG53" s="113"/>
      <c r="RQH53" s="113"/>
      <c r="RQI53" s="113"/>
      <c r="RQJ53" s="113"/>
      <c r="RQK53" s="113"/>
      <c r="RQL53" s="113"/>
      <c r="RQM53" s="113"/>
      <c r="RQN53" s="113"/>
      <c r="RQO53" s="113"/>
      <c r="RQP53" s="113"/>
      <c r="RQQ53" s="113"/>
      <c r="RQR53" s="113"/>
      <c r="RQS53" s="113"/>
      <c r="RQT53" s="113"/>
      <c r="RQU53" s="113"/>
      <c r="RQV53" s="113"/>
      <c r="RQW53" s="113"/>
      <c r="RQX53" s="113"/>
      <c r="RQY53" s="113"/>
      <c r="RQZ53" s="113"/>
      <c r="RRA53" s="113"/>
      <c r="RRB53" s="113"/>
      <c r="RRC53" s="113"/>
      <c r="RRD53" s="113"/>
      <c r="RRE53" s="113"/>
      <c r="RRF53" s="113"/>
      <c r="RRG53" s="113"/>
      <c r="RRH53" s="113"/>
      <c r="RRI53" s="113"/>
      <c r="RRJ53" s="113"/>
      <c r="RRK53" s="113"/>
      <c r="RRL53" s="113"/>
      <c r="RRM53" s="113"/>
      <c r="RRN53" s="113"/>
      <c r="RRO53" s="113"/>
      <c r="RRP53" s="113"/>
      <c r="RRQ53" s="113"/>
      <c r="RRR53" s="113"/>
      <c r="RRS53" s="113"/>
      <c r="RRT53" s="113"/>
      <c r="RRU53" s="113"/>
      <c r="RRV53" s="113"/>
      <c r="RRW53" s="113"/>
      <c r="RRX53" s="113"/>
      <c r="RRY53" s="113"/>
      <c r="RRZ53" s="113"/>
      <c r="RSA53" s="113"/>
      <c r="RSB53" s="113"/>
      <c r="RSC53" s="113"/>
      <c r="RSD53" s="113"/>
      <c r="RSE53" s="113"/>
      <c r="RSF53" s="113"/>
      <c r="RSG53" s="113"/>
      <c r="RSH53" s="113"/>
      <c r="RSI53" s="113"/>
      <c r="RSJ53" s="113"/>
      <c r="RSK53" s="113"/>
      <c r="RSL53" s="113"/>
      <c r="RSM53" s="113"/>
      <c r="RSN53" s="113"/>
      <c r="RSO53" s="113"/>
      <c r="RSP53" s="113"/>
      <c r="RSQ53" s="113"/>
      <c r="RSR53" s="113"/>
      <c r="RSS53" s="113"/>
      <c r="RST53" s="113"/>
      <c r="RSU53" s="113"/>
      <c r="RSV53" s="113"/>
      <c r="RSW53" s="113"/>
      <c r="RSX53" s="113"/>
      <c r="RSY53" s="113"/>
      <c r="RSZ53" s="113"/>
      <c r="RTA53" s="113"/>
      <c r="RTB53" s="113"/>
      <c r="RTC53" s="113"/>
      <c r="RTD53" s="113"/>
      <c r="RTE53" s="113"/>
      <c r="RTF53" s="113"/>
      <c r="RTG53" s="113"/>
      <c r="RTH53" s="113"/>
      <c r="RTI53" s="113"/>
      <c r="RTJ53" s="113"/>
      <c r="RTK53" s="113"/>
      <c r="RTL53" s="113"/>
      <c r="RTM53" s="113"/>
      <c r="RTN53" s="113"/>
      <c r="RTO53" s="113"/>
      <c r="RTP53" s="113"/>
      <c r="RTQ53" s="113"/>
      <c r="RTR53" s="113"/>
      <c r="RTS53" s="113"/>
      <c r="RTT53" s="113"/>
      <c r="RTU53" s="113"/>
      <c r="RTV53" s="113"/>
      <c r="RTW53" s="113"/>
      <c r="RTX53" s="113"/>
      <c r="RTY53" s="113"/>
      <c r="RTZ53" s="113"/>
      <c r="RUA53" s="113"/>
      <c r="RUB53" s="113"/>
      <c r="RUC53" s="113"/>
      <c r="RUD53" s="113"/>
      <c r="RUE53" s="113"/>
      <c r="RUF53" s="113"/>
      <c r="RUG53" s="113"/>
      <c r="RUH53" s="113"/>
      <c r="RUI53" s="113"/>
      <c r="RUJ53" s="113"/>
      <c r="RUK53" s="113"/>
      <c r="RUL53" s="113"/>
      <c r="RUM53" s="113"/>
      <c r="RUN53" s="113"/>
      <c r="RUO53" s="113"/>
      <c r="RUP53" s="113"/>
      <c r="RUQ53" s="113"/>
      <c r="RUR53" s="113"/>
      <c r="RUS53" s="113"/>
      <c r="RUT53" s="113"/>
      <c r="RUU53" s="113"/>
      <c r="RUV53" s="113"/>
      <c r="RUW53" s="113"/>
      <c r="RUX53" s="113"/>
      <c r="RUY53" s="113"/>
      <c r="RUZ53" s="113"/>
      <c r="RVA53" s="113"/>
      <c r="RVB53" s="113"/>
      <c r="RVC53" s="113"/>
      <c r="RVD53" s="113"/>
      <c r="RVE53" s="113"/>
      <c r="RVF53" s="113"/>
      <c r="RVG53" s="113"/>
      <c r="RVH53" s="113"/>
      <c r="RVI53" s="113"/>
      <c r="RVJ53" s="113"/>
      <c r="RVK53" s="113"/>
      <c r="RVL53" s="113"/>
      <c r="RVM53" s="113"/>
      <c r="RVN53" s="113"/>
      <c r="RVO53" s="113"/>
      <c r="RVP53" s="113"/>
      <c r="RVQ53" s="113"/>
      <c r="RVR53" s="113"/>
      <c r="RVS53" s="113"/>
      <c r="RVT53" s="113"/>
      <c r="RVU53" s="113"/>
      <c r="RVV53" s="113"/>
      <c r="RVW53" s="113"/>
      <c r="RVX53" s="113"/>
      <c r="RVY53" s="113"/>
      <c r="RVZ53" s="113"/>
      <c r="RWA53" s="113"/>
      <c r="RWB53" s="113"/>
      <c r="RWC53" s="113"/>
      <c r="RWD53" s="113"/>
      <c r="RWE53" s="113"/>
      <c r="RWF53" s="113"/>
      <c r="RWG53" s="113"/>
      <c r="RWH53" s="113"/>
      <c r="RWI53" s="113"/>
      <c r="RWJ53" s="113"/>
      <c r="RWK53" s="113"/>
      <c r="RWL53" s="113"/>
      <c r="RWM53" s="113"/>
      <c r="RWN53" s="113"/>
      <c r="RWO53" s="113"/>
      <c r="RWP53" s="113"/>
      <c r="RWQ53" s="113"/>
      <c r="RWR53" s="113"/>
      <c r="RWS53" s="113"/>
      <c r="RWT53" s="113"/>
      <c r="RWU53" s="113"/>
      <c r="RWV53" s="113"/>
      <c r="RWW53" s="113"/>
      <c r="RWX53" s="113"/>
      <c r="RWY53" s="113"/>
      <c r="RWZ53" s="113"/>
      <c r="RXA53" s="113"/>
      <c r="RXB53" s="113"/>
      <c r="RXC53" s="113"/>
      <c r="RXD53" s="113"/>
      <c r="RXE53" s="113"/>
      <c r="RXF53" s="113"/>
      <c r="RXG53" s="113"/>
      <c r="RXH53" s="113"/>
      <c r="RXI53" s="113"/>
      <c r="RXJ53" s="113"/>
      <c r="RXK53" s="113"/>
      <c r="RXL53" s="113"/>
      <c r="RXM53" s="113"/>
      <c r="RXN53" s="113"/>
      <c r="RXO53" s="113"/>
      <c r="RXP53" s="113"/>
      <c r="RXQ53" s="113"/>
      <c r="RXR53" s="113"/>
      <c r="RXS53" s="113"/>
      <c r="RXT53" s="113"/>
      <c r="RXU53" s="113"/>
      <c r="RXV53" s="113"/>
      <c r="RXW53" s="113"/>
      <c r="RXX53" s="113"/>
      <c r="RXY53" s="113"/>
      <c r="RXZ53" s="113"/>
      <c r="RYA53" s="113"/>
      <c r="RYB53" s="113"/>
      <c r="RYC53" s="113"/>
      <c r="RYD53" s="113"/>
      <c r="RYE53" s="113"/>
      <c r="RYF53" s="113"/>
      <c r="RYG53" s="113"/>
      <c r="RYH53" s="113"/>
      <c r="RYI53" s="113"/>
      <c r="RYJ53" s="113"/>
      <c r="RYK53" s="113"/>
      <c r="RYL53" s="113"/>
      <c r="RYM53" s="113"/>
      <c r="RYN53" s="113"/>
      <c r="RYO53" s="113"/>
      <c r="RYP53" s="113"/>
      <c r="RYQ53" s="113"/>
      <c r="RYR53" s="113"/>
      <c r="RYS53" s="113"/>
      <c r="RYT53" s="113"/>
      <c r="RYU53" s="113"/>
      <c r="RYV53" s="113"/>
      <c r="RYW53" s="113"/>
      <c r="RYX53" s="113"/>
      <c r="RYY53" s="113"/>
      <c r="RYZ53" s="113"/>
      <c r="RZA53" s="113"/>
      <c r="RZB53" s="113"/>
      <c r="RZC53" s="113"/>
      <c r="RZD53" s="113"/>
      <c r="RZE53" s="113"/>
      <c r="RZF53" s="113"/>
      <c r="RZG53" s="113"/>
      <c r="RZH53" s="113"/>
      <c r="RZI53" s="113"/>
      <c r="RZJ53" s="113"/>
      <c r="RZK53" s="113"/>
      <c r="RZL53" s="113"/>
      <c r="RZM53" s="113"/>
      <c r="RZN53" s="113"/>
      <c r="RZO53" s="113"/>
      <c r="RZP53" s="113"/>
      <c r="RZQ53" s="113"/>
      <c r="RZR53" s="113"/>
      <c r="RZS53" s="113"/>
      <c r="RZT53" s="113"/>
      <c r="RZU53" s="113"/>
      <c r="RZV53" s="113"/>
      <c r="RZW53" s="113"/>
      <c r="RZX53" s="113"/>
      <c r="RZY53" s="113"/>
      <c r="RZZ53" s="113"/>
      <c r="SAA53" s="113"/>
      <c r="SAB53" s="113"/>
      <c r="SAC53" s="113"/>
      <c r="SAD53" s="113"/>
      <c r="SAE53" s="113"/>
      <c r="SAF53" s="113"/>
      <c r="SAG53" s="113"/>
      <c r="SAH53" s="113"/>
      <c r="SAI53" s="113"/>
      <c r="SAJ53" s="113"/>
      <c r="SAK53" s="113"/>
      <c r="SAL53" s="113"/>
      <c r="SAM53" s="113"/>
      <c r="SAN53" s="113"/>
      <c r="SAO53" s="113"/>
      <c r="SAP53" s="113"/>
      <c r="SAQ53" s="113"/>
      <c r="SAR53" s="113"/>
      <c r="SAS53" s="113"/>
      <c r="SAT53" s="113"/>
      <c r="SAU53" s="113"/>
      <c r="SAV53" s="113"/>
      <c r="SAW53" s="113"/>
      <c r="SAX53" s="113"/>
      <c r="SAY53" s="113"/>
      <c r="SAZ53" s="113"/>
      <c r="SBA53" s="113"/>
      <c r="SBB53" s="113"/>
      <c r="SBC53" s="113"/>
      <c r="SBD53" s="113"/>
      <c r="SBE53" s="113"/>
      <c r="SBF53" s="113"/>
      <c r="SBG53" s="113"/>
      <c r="SBH53" s="113"/>
      <c r="SBI53" s="113"/>
      <c r="SBJ53" s="113"/>
      <c r="SBK53" s="113"/>
      <c r="SBL53" s="113"/>
      <c r="SBM53" s="113"/>
      <c r="SBN53" s="113"/>
      <c r="SBO53" s="113"/>
      <c r="SBP53" s="113"/>
      <c r="SBQ53" s="113"/>
      <c r="SBR53" s="113"/>
      <c r="SBS53" s="113"/>
      <c r="SBT53" s="113"/>
      <c r="SBU53" s="113"/>
      <c r="SBV53" s="113"/>
      <c r="SBW53" s="113"/>
      <c r="SBX53" s="113"/>
      <c r="SBY53" s="113"/>
      <c r="SBZ53" s="113"/>
      <c r="SCA53" s="113"/>
      <c r="SCB53" s="113"/>
      <c r="SCC53" s="113"/>
      <c r="SCD53" s="113"/>
      <c r="SCE53" s="113"/>
      <c r="SCF53" s="113"/>
      <c r="SCG53" s="113"/>
      <c r="SCH53" s="113"/>
      <c r="SCI53" s="113"/>
      <c r="SCJ53" s="113"/>
      <c r="SCK53" s="113"/>
      <c r="SCL53" s="113"/>
      <c r="SCM53" s="113"/>
      <c r="SCN53" s="113"/>
      <c r="SCO53" s="113"/>
      <c r="SCP53" s="113"/>
      <c r="SCQ53" s="113"/>
      <c r="SCR53" s="113"/>
      <c r="SCS53" s="113"/>
      <c r="SCT53" s="113"/>
      <c r="SCU53" s="113"/>
      <c r="SCV53" s="113"/>
      <c r="SCW53" s="113"/>
      <c r="SCX53" s="113"/>
      <c r="SCY53" s="113"/>
      <c r="SCZ53" s="113"/>
      <c r="SDA53" s="113"/>
      <c r="SDB53" s="113"/>
      <c r="SDC53" s="113"/>
      <c r="SDD53" s="113"/>
      <c r="SDE53" s="113"/>
      <c r="SDF53" s="113"/>
      <c r="SDG53" s="113"/>
      <c r="SDH53" s="113"/>
      <c r="SDI53" s="113"/>
      <c r="SDJ53" s="113"/>
      <c r="SDK53" s="113"/>
      <c r="SDL53" s="113"/>
      <c r="SDM53" s="113"/>
      <c r="SDN53" s="113"/>
      <c r="SDO53" s="113"/>
      <c r="SDP53" s="113"/>
      <c r="SDQ53" s="113"/>
      <c r="SDR53" s="113"/>
      <c r="SDS53" s="113"/>
      <c r="SDT53" s="113"/>
      <c r="SDU53" s="113"/>
      <c r="SDV53" s="113"/>
      <c r="SDW53" s="113"/>
      <c r="SDX53" s="113"/>
      <c r="SDY53" s="113"/>
      <c r="SDZ53" s="113"/>
      <c r="SEA53" s="113"/>
      <c r="SEB53" s="113"/>
      <c r="SEC53" s="113"/>
      <c r="SED53" s="113"/>
      <c r="SEE53" s="113"/>
      <c r="SEF53" s="113"/>
      <c r="SEG53" s="113"/>
      <c r="SEH53" s="113"/>
      <c r="SEI53" s="113"/>
      <c r="SEJ53" s="113"/>
      <c r="SEK53" s="113"/>
      <c r="SEL53" s="113"/>
      <c r="SEM53" s="113"/>
      <c r="SEN53" s="113"/>
      <c r="SEO53" s="113"/>
      <c r="SEP53" s="113"/>
      <c r="SEQ53" s="113"/>
      <c r="SER53" s="113"/>
      <c r="SES53" s="113"/>
      <c r="SET53" s="113"/>
      <c r="SEU53" s="113"/>
      <c r="SEV53" s="113"/>
      <c r="SEW53" s="113"/>
      <c r="SEX53" s="113"/>
      <c r="SEY53" s="113"/>
      <c r="SEZ53" s="113"/>
      <c r="SFA53" s="113"/>
      <c r="SFB53" s="113"/>
      <c r="SFC53" s="113"/>
      <c r="SFD53" s="113"/>
      <c r="SFE53" s="113"/>
      <c r="SFF53" s="113"/>
      <c r="SFG53" s="113"/>
      <c r="SFH53" s="113"/>
      <c r="SFI53" s="113"/>
      <c r="SFJ53" s="113"/>
      <c r="SFK53" s="113"/>
      <c r="SFL53" s="113"/>
      <c r="SFM53" s="113"/>
      <c r="SFN53" s="113"/>
      <c r="SFO53" s="113"/>
      <c r="SFP53" s="113"/>
      <c r="SFQ53" s="113"/>
      <c r="SFR53" s="113"/>
      <c r="SFS53" s="113"/>
      <c r="SFT53" s="113"/>
      <c r="SFU53" s="113"/>
      <c r="SFV53" s="113"/>
      <c r="SFW53" s="113"/>
      <c r="SFX53" s="113"/>
      <c r="SFY53" s="113"/>
      <c r="SFZ53" s="113"/>
      <c r="SGA53" s="113"/>
      <c r="SGB53" s="113"/>
      <c r="SGC53" s="113"/>
      <c r="SGD53" s="113"/>
      <c r="SGE53" s="113"/>
      <c r="SGF53" s="113"/>
      <c r="SGG53" s="113"/>
      <c r="SGH53" s="113"/>
      <c r="SGI53" s="113"/>
      <c r="SGJ53" s="113"/>
      <c r="SGK53" s="113"/>
      <c r="SGL53" s="113"/>
      <c r="SGM53" s="113"/>
      <c r="SGN53" s="113"/>
      <c r="SGO53" s="113"/>
      <c r="SGP53" s="113"/>
      <c r="SGQ53" s="113"/>
      <c r="SGR53" s="113"/>
      <c r="SGS53" s="113"/>
      <c r="SGT53" s="113"/>
      <c r="SGU53" s="113"/>
      <c r="SGV53" s="113"/>
      <c r="SGW53" s="113"/>
      <c r="SGX53" s="113"/>
      <c r="SGY53" s="113"/>
      <c r="SGZ53" s="113"/>
      <c r="SHA53" s="113"/>
      <c r="SHB53" s="113"/>
      <c r="SHC53" s="113"/>
      <c r="SHD53" s="113"/>
      <c r="SHE53" s="113"/>
      <c r="SHF53" s="113"/>
      <c r="SHG53" s="113"/>
      <c r="SHH53" s="113"/>
      <c r="SHI53" s="113"/>
      <c r="SHJ53" s="113"/>
      <c r="SHK53" s="113"/>
      <c r="SHL53" s="113"/>
      <c r="SHM53" s="113"/>
      <c r="SHN53" s="113"/>
      <c r="SHO53" s="113"/>
      <c r="SHP53" s="113"/>
      <c r="SHQ53" s="113"/>
      <c r="SHR53" s="113"/>
      <c r="SHS53" s="113"/>
      <c r="SHT53" s="113"/>
      <c r="SHU53" s="113"/>
      <c r="SHV53" s="113"/>
      <c r="SHW53" s="113"/>
      <c r="SHX53" s="113"/>
      <c r="SHY53" s="113"/>
      <c r="SHZ53" s="113"/>
      <c r="SIA53" s="113"/>
      <c r="SIB53" s="113"/>
      <c r="SIC53" s="113"/>
      <c r="SID53" s="113"/>
      <c r="SIE53" s="113"/>
      <c r="SIF53" s="113"/>
      <c r="SIG53" s="113"/>
      <c r="SIH53" s="113"/>
      <c r="SII53" s="113"/>
      <c r="SIJ53" s="113"/>
      <c r="SIK53" s="113"/>
      <c r="SIL53" s="113"/>
      <c r="SIM53" s="113"/>
      <c r="SIN53" s="113"/>
      <c r="SIO53" s="113"/>
      <c r="SIP53" s="113"/>
      <c r="SIQ53" s="113"/>
      <c r="SIR53" s="113"/>
      <c r="SIS53" s="113"/>
      <c r="SIT53" s="113"/>
      <c r="SIU53" s="113"/>
      <c r="SIV53" s="113"/>
      <c r="SIW53" s="113"/>
      <c r="SIX53" s="113"/>
      <c r="SIY53" s="113"/>
      <c r="SIZ53" s="113"/>
      <c r="SJA53" s="113"/>
      <c r="SJB53" s="113"/>
      <c r="SJC53" s="113"/>
      <c r="SJD53" s="113"/>
      <c r="SJE53" s="113"/>
      <c r="SJF53" s="113"/>
      <c r="SJG53" s="113"/>
      <c r="SJH53" s="113"/>
      <c r="SJI53" s="113"/>
      <c r="SJJ53" s="113"/>
      <c r="SJK53" s="113"/>
      <c r="SJL53" s="113"/>
      <c r="SJM53" s="113"/>
      <c r="SJN53" s="113"/>
      <c r="SJO53" s="113"/>
      <c r="SJP53" s="113"/>
      <c r="SJQ53" s="113"/>
      <c r="SJR53" s="113"/>
      <c r="SJS53" s="113"/>
      <c r="SJT53" s="113"/>
      <c r="SJU53" s="113"/>
      <c r="SJV53" s="113"/>
      <c r="SJW53" s="113"/>
      <c r="SJX53" s="113"/>
      <c r="SJY53" s="113"/>
      <c r="SJZ53" s="113"/>
      <c r="SKA53" s="113"/>
      <c r="SKB53" s="113"/>
      <c r="SKC53" s="113"/>
      <c r="SKD53" s="113"/>
      <c r="SKE53" s="113"/>
      <c r="SKF53" s="113"/>
      <c r="SKG53" s="113"/>
      <c r="SKH53" s="113"/>
      <c r="SKI53" s="113"/>
      <c r="SKJ53" s="113"/>
      <c r="SKK53" s="113"/>
      <c r="SKL53" s="113"/>
      <c r="SKM53" s="113"/>
      <c r="SKN53" s="113"/>
      <c r="SKO53" s="113"/>
      <c r="SKP53" s="113"/>
      <c r="SKQ53" s="113"/>
      <c r="SKR53" s="113"/>
      <c r="SKS53" s="113"/>
      <c r="SKT53" s="113"/>
      <c r="SKU53" s="113"/>
      <c r="SKV53" s="113"/>
      <c r="SKW53" s="113"/>
      <c r="SKX53" s="113"/>
      <c r="SKY53" s="113"/>
      <c r="SKZ53" s="113"/>
      <c r="SLA53" s="113"/>
      <c r="SLB53" s="113"/>
      <c r="SLC53" s="113"/>
      <c r="SLD53" s="113"/>
      <c r="SLE53" s="113"/>
      <c r="SLF53" s="113"/>
      <c r="SLG53" s="113"/>
      <c r="SLH53" s="113"/>
      <c r="SLI53" s="113"/>
      <c r="SLJ53" s="113"/>
      <c r="SLK53" s="113"/>
      <c r="SLL53" s="113"/>
      <c r="SLM53" s="113"/>
      <c r="SLN53" s="113"/>
      <c r="SLO53" s="113"/>
      <c r="SLP53" s="113"/>
      <c r="SLQ53" s="113"/>
      <c r="SLR53" s="113"/>
      <c r="SLS53" s="113"/>
      <c r="SLT53" s="113"/>
      <c r="SLU53" s="113"/>
      <c r="SLV53" s="113"/>
      <c r="SLW53" s="113"/>
      <c r="SLX53" s="113"/>
      <c r="SLY53" s="113"/>
      <c r="SLZ53" s="113"/>
      <c r="SMA53" s="113"/>
      <c r="SMB53" s="113"/>
      <c r="SMC53" s="113"/>
      <c r="SMD53" s="113"/>
      <c r="SME53" s="113"/>
      <c r="SMF53" s="113"/>
      <c r="SMG53" s="113"/>
      <c r="SMH53" s="113"/>
      <c r="SMI53" s="113"/>
      <c r="SMJ53" s="113"/>
      <c r="SMK53" s="113"/>
      <c r="SML53" s="113"/>
      <c r="SMM53" s="113"/>
      <c r="SMN53" s="113"/>
      <c r="SMO53" s="113"/>
      <c r="SMP53" s="113"/>
      <c r="SMQ53" s="113"/>
      <c r="SMR53" s="113"/>
      <c r="SMS53" s="113"/>
      <c r="SMT53" s="113"/>
      <c r="SMU53" s="113"/>
      <c r="SMV53" s="113"/>
      <c r="SMW53" s="113"/>
      <c r="SMX53" s="113"/>
      <c r="SMY53" s="113"/>
      <c r="SMZ53" s="113"/>
      <c r="SNA53" s="113"/>
      <c r="SNB53" s="113"/>
      <c r="SNC53" s="113"/>
      <c r="SND53" s="113"/>
      <c r="SNE53" s="113"/>
      <c r="SNF53" s="113"/>
      <c r="SNG53" s="113"/>
      <c r="SNH53" s="113"/>
      <c r="SNI53" s="113"/>
      <c r="SNJ53" s="113"/>
      <c r="SNK53" s="113"/>
      <c r="SNL53" s="113"/>
      <c r="SNM53" s="113"/>
      <c r="SNN53" s="113"/>
      <c r="SNO53" s="113"/>
      <c r="SNP53" s="113"/>
      <c r="SNQ53" s="113"/>
      <c r="SNR53" s="113"/>
      <c r="SNS53" s="113"/>
      <c r="SNT53" s="113"/>
      <c r="SNU53" s="113"/>
      <c r="SNV53" s="113"/>
      <c r="SNW53" s="113"/>
      <c r="SNX53" s="113"/>
      <c r="SNY53" s="113"/>
      <c r="SNZ53" s="113"/>
      <c r="SOA53" s="113"/>
      <c r="SOB53" s="113"/>
      <c r="SOC53" s="113"/>
      <c r="SOD53" s="113"/>
      <c r="SOE53" s="113"/>
      <c r="SOF53" s="113"/>
      <c r="SOG53" s="113"/>
      <c r="SOH53" s="113"/>
      <c r="SOI53" s="113"/>
      <c r="SOJ53" s="113"/>
      <c r="SOK53" s="113"/>
      <c r="SOL53" s="113"/>
      <c r="SOM53" s="113"/>
      <c r="SON53" s="113"/>
      <c r="SOO53" s="113"/>
      <c r="SOP53" s="113"/>
      <c r="SOQ53" s="113"/>
      <c r="SOR53" s="113"/>
      <c r="SOS53" s="113"/>
      <c r="SOT53" s="113"/>
      <c r="SOU53" s="113"/>
      <c r="SOV53" s="113"/>
      <c r="SOW53" s="113"/>
      <c r="SOX53" s="113"/>
      <c r="SOY53" s="113"/>
      <c r="SOZ53" s="113"/>
      <c r="SPA53" s="113"/>
      <c r="SPB53" s="113"/>
      <c r="SPC53" s="113"/>
      <c r="SPD53" s="113"/>
      <c r="SPE53" s="113"/>
      <c r="SPF53" s="113"/>
      <c r="SPG53" s="113"/>
      <c r="SPH53" s="113"/>
      <c r="SPI53" s="113"/>
      <c r="SPJ53" s="113"/>
      <c r="SPK53" s="113"/>
      <c r="SPL53" s="113"/>
      <c r="SPM53" s="113"/>
      <c r="SPN53" s="113"/>
      <c r="SPO53" s="113"/>
      <c r="SPP53" s="113"/>
      <c r="SPQ53" s="113"/>
      <c r="SPR53" s="113"/>
      <c r="SPS53" s="113"/>
      <c r="SPT53" s="113"/>
      <c r="SPU53" s="113"/>
      <c r="SPV53" s="113"/>
      <c r="SPW53" s="113"/>
      <c r="SPX53" s="113"/>
      <c r="SPY53" s="113"/>
      <c r="SPZ53" s="113"/>
      <c r="SQA53" s="113"/>
      <c r="SQB53" s="113"/>
      <c r="SQC53" s="113"/>
      <c r="SQD53" s="113"/>
      <c r="SQE53" s="113"/>
      <c r="SQF53" s="113"/>
      <c r="SQG53" s="113"/>
      <c r="SQH53" s="113"/>
      <c r="SQI53" s="113"/>
      <c r="SQJ53" s="113"/>
      <c r="SQK53" s="113"/>
      <c r="SQL53" s="113"/>
      <c r="SQM53" s="113"/>
      <c r="SQN53" s="113"/>
      <c r="SQO53" s="113"/>
      <c r="SQP53" s="113"/>
      <c r="SQQ53" s="113"/>
      <c r="SQR53" s="113"/>
      <c r="SQS53" s="113"/>
      <c r="SQT53" s="113"/>
      <c r="SQU53" s="113"/>
      <c r="SQV53" s="113"/>
      <c r="SQW53" s="113"/>
      <c r="SQX53" s="113"/>
      <c r="SQY53" s="113"/>
      <c r="SQZ53" s="113"/>
      <c r="SRA53" s="113"/>
      <c r="SRB53" s="113"/>
      <c r="SRC53" s="113"/>
      <c r="SRD53" s="113"/>
      <c r="SRE53" s="113"/>
      <c r="SRF53" s="113"/>
      <c r="SRG53" s="113"/>
      <c r="SRH53" s="113"/>
      <c r="SRI53" s="113"/>
      <c r="SRJ53" s="113"/>
      <c r="SRK53" s="113"/>
      <c r="SRL53" s="113"/>
      <c r="SRM53" s="113"/>
      <c r="SRN53" s="113"/>
      <c r="SRO53" s="113"/>
      <c r="SRP53" s="113"/>
      <c r="SRQ53" s="113"/>
      <c r="SRR53" s="113"/>
      <c r="SRS53" s="113"/>
      <c r="SRT53" s="113"/>
      <c r="SRU53" s="113"/>
      <c r="SRV53" s="113"/>
      <c r="SRW53" s="113"/>
      <c r="SRX53" s="113"/>
      <c r="SRY53" s="113"/>
      <c r="SRZ53" s="113"/>
      <c r="SSA53" s="113"/>
      <c r="SSB53" s="113"/>
      <c r="SSC53" s="113"/>
      <c r="SSD53" s="113"/>
      <c r="SSE53" s="113"/>
      <c r="SSF53" s="113"/>
      <c r="SSG53" s="113"/>
      <c r="SSH53" s="113"/>
      <c r="SSI53" s="113"/>
      <c r="SSJ53" s="113"/>
      <c r="SSK53" s="113"/>
      <c r="SSL53" s="113"/>
      <c r="SSM53" s="113"/>
      <c r="SSN53" s="113"/>
      <c r="SSO53" s="113"/>
      <c r="SSP53" s="113"/>
      <c r="SSQ53" s="113"/>
      <c r="SSR53" s="113"/>
      <c r="SSS53" s="113"/>
      <c r="SST53" s="113"/>
      <c r="SSU53" s="113"/>
      <c r="SSV53" s="113"/>
      <c r="SSW53" s="113"/>
      <c r="SSX53" s="113"/>
      <c r="SSY53" s="113"/>
      <c r="SSZ53" s="113"/>
      <c r="STA53" s="113"/>
      <c r="STB53" s="113"/>
      <c r="STC53" s="113"/>
      <c r="STD53" s="113"/>
      <c r="STE53" s="113"/>
      <c r="STF53" s="113"/>
      <c r="STG53" s="113"/>
      <c r="STH53" s="113"/>
      <c r="STI53" s="113"/>
      <c r="STJ53" s="113"/>
      <c r="STK53" s="113"/>
      <c r="STL53" s="113"/>
      <c r="STM53" s="113"/>
      <c r="STN53" s="113"/>
      <c r="STO53" s="113"/>
      <c r="STP53" s="113"/>
      <c r="STQ53" s="113"/>
      <c r="STR53" s="113"/>
      <c r="STS53" s="113"/>
      <c r="STT53" s="113"/>
      <c r="STU53" s="113"/>
      <c r="STV53" s="113"/>
      <c r="STW53" s="113"/>
      <c r="STX53" s="113"/>
      <c r="STY53" s="113"/>
      <c r="STZ53" s="113"/>
      <c r="SUA53" s="113"/>
      <c r="SUB53" s="113"/>
      <c r="SUC53" s="113"/>
      <c r="SUD53" s="113"/>
      <c r="SUE53" s="113"/>
      <c r="SUF53" s="113"/>
      <c r="SUG53" s="113"/>
      <c r="SUH53" s="113"/>
      <c r="SUI53" s="113"/>
      <c r="SUJ53" s="113"/>
      <c r="SUK53" s="113"/>
      <c r="SUL53" s="113"/>
      <c r="SUM53" s="113"/>
      <c r="SUN53" s="113"/>
      <c r="SUO53" s="113"/>
      <c r="SUP53" s="113"/>
      <c r="SUQ53" s="113"/>
      <c r="SUR53" s="113"/>
      <c r="SUS53" s="113"/>
      <c r="SUT53" s="113"/>
      <c r="SUU53" s="113"/>
      <c r="SUV53" s="113"/>
      <c r="SUW53" s="113"/>
      <c r="SUX53" s="113"/>
      <c r="SUY53" s="113"/>
      <c r="SUZ53" s="113"/>
      <c r="SVA53" s="113"/>
      <c r="SVB53" s="113"/>
      <c r="SVC53" s="113"/>
      <c r="SVD53" s="113"/>
      <c r="SVE53" s="113"/>
      <c r="SVF53" s="113"/>
      <c r="SVG53" s="113"/>
      <c r="SVH53" s="113"/>
      <c r="SVI53" s="113"/>
      <c r="SVJ53" s="113"/>
      <c r="SVK53" s="113"/>
      <c r="SVL53" s="113"/>
      <c r="SVM53" s="113"/>
      <c r="SVN53" s="113"/>
      <c r="SVO53" s="113"/>
      <c r="SVP53" s="113"/>
      <c r="SVQ53" s="113"/>
      <c r="SVR53" s="113"/>
      <c r="SVS53" s="113"/>
      <c r="SVT53" s="113"/>
      <c r="SVU53" s="113"/>
      <c r="SVV53" s="113"/>
      <c r="SVW53" s="113"/>
      <c r="SVX53" s="113"/>
      <c r="SVY53" s="113"/>
      <c r="SVZ53" s="113"/>
      <c r="SWA53" s="113"/>
      <c r="SWB53" s="113"/>
      <c r="SWC53" s="113"/>
      <c r="SWD53" s="113"/>
      <c r="SWE53" s="113"/>
      <c r="SWF53" s="113"/>
      <c r="SWG53" s="113"/>
      <c r="SWH53" s="113"/>
      <c r="SWI53" s="113"/>
      <c r="SWJ53" s="113"/>
      <c r="SWK53" s="113"/>
      <c r="SWL53" s="113"/>
      <c r="SWM53" s="113"/>
      <c r="SWN53" s="113"/>
      <c r="SWO53" s="113"/>
      <c r="SWP53" s="113"/>
      <c r="SWQ53" s="113"/>
      <c r="SWR53" s="113"/>
      <c r="SWS53" s="113"/>
      <c r="SWT53" s="113"/>
      <c r="SWU53" s="113"/>
      <c r="SWV53" s="113"/>
      <c r="SWW53" s="113"/>
      <c r="SWX53" s="113"/>
      <c r="SWY53" s="113"/>
      <c r="SWZ53" s="113"/>
      <c r="SXA53" s="113"/>
      <c r="SXB53" s="113"/>
      <c r="SXC53" s="113"/>
      <c r="SXD53" s="113"/>
      <c r="SXE53" s="113"/>
      <c r="SXF53" s="113"/>
      <c r="SXG53" s="113"/>
      <c r="SXH53" s="113"/>
      <c r="SXI53" s="113"/>
      <c r="SXJ53" s="113"/>
      <c r="SXK53" s="113"/>
      <c r="SXL53" s="113"/>
      <c r="SXM53" s="113"/>
      <c r="SXN53" s="113"/>
      <c r="SXO53" s="113"/>
      <c r="SXP53" s="113"/>
      <c r="SXQ53" s="113"/>
      <c r="SXR53" s="113"/>
      <c r="SXS53" s="113"/>
      <c r="SXT53" s="113"/>
      <c r="SXU53" s="113"/>
      <c r="SXV53" s="113"/>
      <c r="SXW53" s="113"/>
      <c r="SXX53" s="113"/>
      <c r="SXY53" s="113"/>
      <c r="SXZ53" s="113"/>
      <c r="SYA53" s="113"/>
      <c r="SYB53" s="113"/>
      <c r="SYC53" s="113"/>
      <c r="SYD53" s="113"/>
      <c r="SYE53" s="113"/>
      <c r="SYF53" s="113"/>
      <c r="SYG53" s="113"/>
      <c r="SYH53" s="113"/>
      <c r="SYI53" s="113"/>
      <c r="SYJ53" s="113"/>
      <c r="SYK53" s="113"/>
      <c r="SYL53" s="113"/>
      <c r="SYM53" s="113"/>
      <c r="SYN53" s="113"/>
      <c r="SYO53" s="113"/>
      <c r="SYP53" s="113"/>
      <c r="SYQ53" s="113"/>
      <c r="SYR53" s="113"/>
      <c r="SYS53" s="113"/>
      <c r="SYT53" s="113"/>
      <c r="SYU53" s="113"/>
      <c r="SYV53" s="113"/>
      <c r="SYW53" s="113"/>
      <c r="SYX53" s="113"/>
      <c r="SYY53" s="113"/>
      <c r="SYZ53" s="113"/>
      <c r="SZA53" s="113"/>
      <c r="SZB53" s="113"/>
      <c r="SZC53" s="113"/>
      <c r="SZD53" s="113"/>
      <c r="SZE53" s="113"/>
      <c r="SZF53" s="113"/>
      <c r="SZG53" s="113"/>
      <c r="SZH53" s="113"/>
      <c r="SZI53" s="113"/>
      <c r="SZJ53" s="113"/>
      <c r="SZK53" s="113"/>
      <c r="SZL53" s="113"/>
      <c r="SZM53" s="113"/>
      <c r="SZN53" s="113"/>
      <c r="SZO53" s="113"/>
      <c r="SZP53" s="113"/>
      <c r="SZQ53" s="113"/>
      <c r="SZR53" s="113"/>
      <c r="SZS53" s="113"/>
      <c r="SZT53" s="113"/>
      <c r="SZU53" s="113"/>
      <c r="SZV53" s="113"/>
      <c r="SZW53" s="113"/>
      <c r="SZX53" s="113"/>
      <c r="SZY53" s="113"/>
      <c r="SZZ53" s="113"/>
      <c r="TAA53" s="113"/>
      <c r="TAB53" s="113"/>
      <c r="TAC53" s="113"/>
      <c r="TAD53" s="113"/>
      <c r="TAE53" s="113"/>
      <c r="TAF53" s="113"/>
      <c r="TAG53" s="113"/>
      <c r="TAH53" s="113"/>
      <c r="TAI53" s="113"/>
      <c r="TAJ53" s="113"/>
      <c r="TAK53" s="113"/>
      <c r="TAL53" s="113"/>
      <c r="TAM53" s="113"/>
      <c r="TAN53" s="113"/>
      <c r="TAO53" s="113"/>
      <c r="TAP53" s="113"/>
      <c r="TAQ53" s="113"/>
      <c r="TAR53" s="113"/>
      <c r="TAS53" s="113"/>
      <c r="TAT53" s="113"/>
      <c r="TAU53" s="113"/>
      <c r="TAV53" s="113"/>
      <c r="TAW53" s="113"/>
      <c r="TAX53" s="113"/>
      <c r="TAY53" s="113"/>
      <c r="TAZ53" s="113"/>
      <c r="TBA53" s="113"/>
      <c r="TBB53" s="113"/>
      <c r="TBC53" s="113"/>
      <c r="TBD53" s="113"/>
      <c r="TBE53" s="113"/>
      <c r="TBF53" s="113"/>
      <c r="TBG53" s="113"/>
      <c r="TBH53" s="113"/>
      <c r="TBI53" s="113"/>
      <c r="TBJ53" s="113"/>
      <c r="TBK53" s="113"/>
      <c r="TBL53" s="113"/>
      <c r="TBM53" s="113"/>
      <c r="TBN53" s="113"/>
      <c r="TBO53" s="113"/>
      <c r="TBP53" s="113"/>
      <c r="TBQ53" s="113"/>
      <c r="TBR53" s="113"/>
      <c r="TBS53" s="113"/>
      <c r="TBT53" s="113"/>
      <c r="TBU53" s="113"/>
      <c r="TBV53" s="113"/>
      <c r="TBW53" s="113"/>
      <c r="TBX53" s="113"/>
      <c r="TBY53" s="113"/>
      <c r="TBZ53" s="113"/>
      <c r="TCA53" s="113"/>
      <c r="TCB53" s="113"/>
      <c r="TCC53" s="113"/>
      <c r="TCD53" s="113"/>
      <c r="TCE53" s="113"/>
      <c r="TCF53" s="113"/>
      <c r="TCG53" s="113"/>
      <c r="TCH53" s="113"/>
      <c r="TCI53" s="113"/>
      <c r="TCJ53" s="113"/>
      <c r="TCK53" s="113"/>
      <c r="TCL53" s="113"/>
      <c r="TCM53" s="113"/>
      <c r="TCN53" s="113"/>
      <c r="TCO53" s="113"/>
      <c r="TCP53" s="113"/>
      <c r="TCQ53" s="113"/>
      <c r="TCR53" s="113"/>
      <c r="TCS53" s="113"/>
      <c r="TCT53" s="113"/>
      <c r="TCU53" s="113"/>
      <c r="TCV53" s="113"/>
      <c r="TCW53" s="113"/>
      <c r="TCX53" s="113"/>
      <c r="TCY53" s="113"/>
      <c r="TCZ53" s="113"/>
      <c r="TDA53" s="113"/>
      <c r="TDB53" s="113"/>
      <c r="TDC53" s="113"/>
      <c r="TDD53" s="113"/>
      <c r="TDE53" s="113"/>
      <c r="TDF53" s="113"/>
      <c r="TDG53" s="113"/>
      <c r="TDH53" s="113"/>
      <c r="TDI53" s="113"/>
      <c r="TDJ53" s="113"/>
      <c r="TDK53" s="113"/>
      <c r="TDL53" s="113"/>
      <c r="TDM53" s="113"/>
      <c r="TDN53" s="113"/>
      <c r="TDO53" s="113"/>
      <c r="TDP53" s="113"/>
      <c r="TDQ53" s="113"/>
      <c r="TDR53" s="113"/>
      <c r="TDS53" s="113"/>
      <c r="TDT53" s="113"/>
      <c r="TDU53" s="113"/>
      <c r="TDV53" s="113"/>
      <c r="TDW53" s="113"/>
      <c r="TDX53" s="113"/>
      <c r="TDY53" s="113"/>
      <c r="TDZ53" s="113"/>
      <c r="TEA53" s="113"/>
      <c r="TEB53" s="113"/>
      <c r="TEC53" s="113"/>
      <c r="TED53" s="113"/>
      <c r="TEE53" s="113"/>
      <c r="TEF53" s="113"/>
      <c r="TEG53" s="113"/>
      <c r="TEH53" s="113"/>
      <c r="TEI53" s="113"/>
      <c r="TEJ53" s="113"/>
      <c r="TEK53" s="113"/>
      <c r="TEL53" s="113"/>
      <c r="TEM53" s="113"/>
      <c r="TEN53" s="113"/>
      <c r="TEO53" s="113"/>
      <c r="TEP53" s="113"/>
      <c r="TEQ53" s="113"/>
      <c r="TER53" s="113"/>
      <c r="TES53" s="113"/>
      <c r="TET53" s="113"/>
      <c r="TEU53" s="113"/>
      <c r="TEV53" s="113"/>
      <c r="TEW53" s="113"/>
      <c r="TEX53" s="113"/>
      <c r="TEY53" s="113"/>
      <c r="TEZ53" s="113"/>
      <c r="TFA53" s="113"/>
      <c r="TFB53" s="113"/>
      <c r="TFC53" s="113"/>
      <c r="TFD53" s="113"/>
      <c r="TFE53" s="113"/>
      <c r="TFF53" s="113"/>
      <c r="TFG53" s="113"/>
      <c r="TFH53" s="113"/>
      <c r="TFI53" s="113"/>
      <c r="TFJ53" s="113"/>
      <c r="TFK53" s="113"/>
      <c r="TFL53" s="113"/>
      <c r="TFM53" s="113"/>
      <c r="TFN53" s="113"/>
      <c r="TFO53" s="113"/>
      <c r="TFP53" s="113"/>
      <c r="TFQ53" s="113"/>
      <c r="TFR53" s="113"/>
      <c r="TFS53" s="113"/>
      <c r="TFT53" s="113"/>
      <c r="TFU53" s="113"/>
      <c r="TFV53" s="113"/>
      <c r="TFW53" s="113"/>
      <c r="TFX53" s="113"/>
      <c r="TFY53" s="113"/>
      <c r="TFZ53" s="113"/>
      <c r="TGA53" s="113"/>
      <c r="TGB53" s="113"/>
      <c r="TGC53" s="113"/>
      <c r="TGD53" s="113"/>
      <c r="TGE53" s="113"/>
      <c r="TGF53" s="113"/>
      <c r="TGG53" s="113"/>
      <c r="TGH53" s="113"/>
      <c r="TGI53" s="113"/>
      <c r="TGJ53" s="113"/>
      <c r="TGK53" s="113"/>
      <c r="TGL53" s="113"/>
      <c r="TGM53" s="113"/>
      <c r="TGN53" s="113"/>
      <c r="TGO53" s="113"/>
      <c r="TGP53" s="113"/>
      <c r="TGQ53" s="113"/>
      <c r="TGR53" s="113"/>
      <c r="TGS53" s="113"/>
      <c r="TGT53" s="113"/>
      <c r="TGU53" s="113"/>
      <c r="TGV53" s="113"/>
      <c r="TGW53" s="113"/>
      <c r="TGX53" s="113"/>
      <c r="TGY53" s="113"/>
      <c r="TGZ53" s="113"/>
      <c r="THA53" s="113"/>
      <c r="THB53" s="113"/>
      <c r="THC53" s="113"/>
      <c r="THD53" s="113"/>
      <c r="THE53" s="113"/>
      <c r="THF53" s="113"/>
      <c r="THG53" s="113"/>
      <c r="THH53" s="113"/>
      <c r="THI53" s="113"/>
      <c r="THJ53" s="113"/>
      <c r="THK53" s="113"/>
      <c r="THL53" s="113"/>
      <c r="THM53" s="113"/>
      <c r="THN53" s="113"/>
      <c r="THO53" s="113"/>
      <c r="THP53" s="113"/>
      <c r="THQ53" s="113"/>
      <c r="THR53" s="113"/>
      <c r="THS53" s="113"/>
      <c r="THT53" s="113"/>
      <c r="THU53" s="113"/>
      <c r="THV53" s="113"/>
      <c r="THW53" s="113"/>
      <c r="THX53" s="113"/>
      <c r="THY53" s="113"/>
      <c r="THZ53" s="113"/>
      <c r="TIA53" s="113"/>
      <c r="TIB53" s="113"/>
      <c r="TIC53" s="113"/>
      <c r="TID53" s="113"/>
      <c r="TIE53" s="113"/>
      <c r="TIF53" s="113"/>
      <c r="TIG53" s="113"/>
      <c r="TIH53" s="113"/>
      <c r="TII53" s="113"/>
      <c r="TIJ53" s="113"/>
      <c r="TIK53" s="113"/>
      <c r="TIL53" s="113"/>
      <c r="TIM53" s="113"/>
      <c r="TIN53" s="113"/>
      <c r="TIO53" s="113"/>
      <c r="TIP53" s="113"/>
      <c r="TIQ53" s="113"/>
      <c r="TIR53" s="113"/>
      <c r="TIS53" s="113"/>
      <c r="TIT53" s="113"/>
      <c r="TIU53" s="113"/>
      <c r="TIV53" s="113"/>
      <c r="TIW53" s="113"/>
      <c r="TIX53" s="113"/>
      <c r="TIY53" s="113"/>
      <c r="TIZ53" s="113"/>
      <c r="TJA53" s="113"/>
      <c r="TJB53" s="113"/>
      <c r="TJC53" s="113"/>
      <c r="TJD53" s="113"/>
      <c r="TJE53" s="113"/>
      <c r="TJF53" s="113"/>
      <c r="TJG53" s="113"/>
      <c r="TJH53" s="113"/>
      <c r="TJI53" s="113"/>
      <c r="TJJ53" s="113"/>
      <c r="TJK53" s="113"/>
      <c r="TJL53" s="113"/>
      <c r="TJM53" s="113"/>
      <c r="TJN53" s="113"/>
      <c r="TJO53" s="113"/>
      <c r="TJP53" s="113"/>
      <c r="TJQ53" s="113"/>
      <c r="TJR53" s="113"/>
      <c r="TJS53" s="113"/>
      <c r="TJT53" s="113"/>
      <c r="TJU53" s="113"/>
      <c r="TJV53" s="113"/>
      <c r="TJW53" s="113"/>
      <c r="TJX53" s="113"/>
      <c r="TJY53" s="113"/>
      <c r="TJZ53" s="113"/>
      <c r="TKA53" s="113"/>
      <c r="TKB53" s="113"/>
      <c r="TKC53" s="113"/>
      <c r="TKD53" s="113"/>
      <c r="TKE53" s="113"/>
      <c r="TKF53" s="113"/>
      <c r="TKG53" s="113"/>
      <c r="TKH53" s="113"/>
      <c r="TKI53" s="113"/>
      <c r="TKJ53" s="113"/>
      <c r="TKK53" s="113"/>
      <c r="TKL53" s="113"/>
      <c r="TKM53" s="113"/>
      <c r="TKN53" s="113"/>
      <c r="TKO53" s="113"/>
      <c r="TKP53" s="113"/>
      <c r="TKQ53" s="113"/>
      <c r="TKR53" s="113"/>
      <c r="TKS53" s="113"/>
      <c r="TKT53" s="113"/>
      <c r="TKU53" s="113"/>
      <c r="TKV53" s="113"/>
      <c r="TKW53" s="113"/>
      <c r="TKX53" s="113"/>
      <c r="TKY53" s="113"/>
      <c r="TKZ53" s="113"/>
      <c r="TLA53" s="113"/>
      <c r="TLB53" s="113"/>
      <c r="TLC53" s="113"/>
      <c r="TLD53" s="113"/>
      <c r="TLE53" s="113"/>
      <c r="TLF53" s="113"/>
      <c r="TLG53" s="113"/>
      <c r="TLH53" s="113"/>
      <c r="TLI53" s="113"/>
      <c r="TLJ53" s="113"/>
      <c r="TLK53" s="113"/>
      <c r="TLL53" s="113"/>
      <c r="TLM53" s="113"/>
      <c r="TLN53" s="113"/>
      <c r="TLO53" s="113"/>
      <c r="TLP53" s="113"/>
      <c r="TLQ53" s="113"/>
      <c r="TLR53" s="113"/>
      <c r="TLS53" s="113"/>
      <c r="TLT53" s="113"/>
      <c r="TLU53" s="113"/>
      <c r="TLV53" s="113"/>
      <c r="TLW53" s="113"/>
      <c r="TLX53" s="113"/>
      <c r="TLY53" s="113"/>
      <c r="TLZ53" s="113"/>
      <c r="TMA53" s="113"/>
      <c r="TMB53" s="113"/>
      <c r="TMC53" s="113"/>
      <c r="TMD53" s="113"/>
      <c r="TME53" s="113"/>
      <c r="TMF53" s="113"/>
      <c r="TMG53" s="113"/>
      <c r="TMH53" s="113"/>
      <c r="TMI53" s="113"/>
      <c r="TMJ53" s="113"/>
      <c r="TMK53" s="113"/>
      <c r="TML53" s="113"/>
      <c r="TMM53" s="113"/>
      <c r="TMN53" s="113"/>
      <c r="TMO53" s="113"/>
      <c r="TMP53" s="113"/>
      <c r="TMQ53" s="113"/>
      <c r="TMR53" s="113"/>
      <c r="TMS53" s="113"/>
      <c r="TMT53" s="113"/>
      <c r="TMU53" s="113"/>
      <c r="TMV53" s="113"/>
      <c r="TMW53" s="113"/>
      <c r="TMX53" s="113"/>
      <c r="TMY53" s="113"/>
      <c r="TMZ53" s="113"/>
      <c r="TNA53" s="113"/>
      <c r="TNB53" s="113"/>
      <c r="TNC53" s="113"/>
      <c r="TND53" s="113"/>
      <c r="TNE53" s="113"/>
      <c r="TNF53" s="113"/>
      <c r="TNG53" s="113"/>
      <c r="TNH53" s="113"/>
      <c r="TNI53" s="113"/>
      <c r="TNJ53" s="113"/>
      <c r="TNK53" s="113"/>
      <c r="TNL53" s="113"/>
      <c r="TNM53" s="113"/>
      <c r="TNN53" s="113"/>
      <c r="TNO53" s="113"/>
      <c r="TNP53" s="113"/>
      <c r="TNQ53" s="113"/>
      <c r="TNR53" s="113"/>
      <c r="TNS53" s="113"/>
      <c r="TNT53" s="113"/>
      <c r="TNU53" s="113"/>
      <c r="TNV53" s="113"/>
      <c r="TNW53" s="113"/>
      <c r="TNX53" s="113"/>
      <c r="TNY53" s="113"/>
      <c r="TNZ53" s="113"/>
      <c r="TOA53" s="113"/>
      <c r="TOB53" s="113"/>
      <c r="TOC53" s="113"/>
      <c r="TOD53" s="113"/>
      <c r="TOE53" s="113"/>
      <c r="TOF53" s="113"/>
      <c r="TOG53" s="113"/>
      <c r="TOH53" s="113"/>
      <c r="TOI53" s="113"/>
      <c r="TOJ53" s="113"/>
      <c r="TOK53" s="113"/>
      <c r="TOL53" s="113"/>
      <c r="TOM53" s="113"/>
      <c r="TON53" s="113"/>
      <c r="TOO53" s="113"/>
      <c r="TOP53" s="113"/>
      <c r="TOQ53" s="113"/>
      <c r="TOR53" s="113"/>
      <c r="TOS53" s="113"/>
      <c r="TOT53" s="113"/>
      <c r="TOU53" s="113"/>
      <c r="TOV53" s="113"/>
      <c r="TOW53" s="113"/>
      <c r="TOX53" s="113"/>
      <c r="TOY53" s="113"/>
      <c r="TOZ53" s="113"/>
      <c r="TPA53" s="113"/>
      <c r="TPB53" s="113"/>
      <c r="TPC53" s="113"/>
      <c r="TPD53" s="113"/>
      <c r="TPE53" s="113"/>
      <c r="TPF53" s="113"/>
      <c r="TPG53" s="113"/>
      <c r="TPH53" s="113"/>
      <c r="TPI53" s="113"/>
      <c r="TPJ53" s="113"/>
      <c r="TPK53" s="113"/>
      <c r="TPL53" s="113"/>
      <c r="TPM53" s="113"/>
      <c r="TPN53" s="113"/>
      <c r="TPO53" s="113"/>
      <c r="TPP53" s="113"/>
      <c r="TPQ53" s="113"/>
      <c r="TPR53" s="113"/>
      <c r="TPS53" s="113"/>
      <c r="TPT53" s="113"/>
      <c r="TPU53" s="113"/>
      <c r="TPV53" s="113"/>
      <c r="TPW53" s="113"/>
      <c r="TPX53" s="113"/>
      <c r="TPY53" s="113"/>
      <c r="TPZ53" s="113"/>
      <c r="TQA53" s="113"/>
      <c r="TQB53" s="113"/>
      <c r="TQC53" s="113"/>
      <c r="TQD53" s="113"/>
      <c r="TQE53" s="113"/>
      <c r="TQF53" s="113"/>
      <c r="TQG53" s="113"/>
      <c r="TQH53" s="113"/>
      <c r="TQI53" s="113"/>
      <c r="TQJ53" s="113"/>
      <c r="TQK53" s="113"/>
      <c r="TQL53" s="113"/>
      <c r="TQM53" s="113"/>
      <c r="TQN53" s="113"/>
      <c r="TQO53" s="113"/>
      <c r="TQP53" s="113"/>
      <c r="TQQ53" s="113"/>
      <c r="TQR53" s="113"/>
      <c r="TQS53" s="113"/>
      <c r="TQT53" s="113"/>
      <c r="TQU53" s="113"/>
      <c r="TQV53" s="113"/>
      <c r="TQW53" s="113"/>
      <c r="TQX53" s="113"/>
      <c r="TQY53" s="113"/>
      <c r="TQZ53" s="113"/>
      <c r="TRA53" s="113"/>
      <c r="TRB53" s="113"/>
      <c r="TRC53" s="113"/>
      <c r="TRD53" s="113"/>
      <c r="TRE53" s="113"/>
      <c r="TRF53" s="113"/>
      <c r="TRG53" s="113"/>
      <c r="TRH53" s="113"/>
      <c r="TRI53" s="113"/>
      <c r="TRJ53" s="113"/>
      <c r="TRK53" s="113"/>
      <c r="TRL53" s="113"/>
      <c r="TRM53" s="113"/>
      <c r="TRN53" s="113"/>
      <c r="TRO53" s="113"/>
      <c r="TRP53" s="113"/>
      <c r="TRQ53" s="113"/>
      <c r="TRR53" s="113"/>
      <c r="TRS53" s="113"/>
      <c r="TRT53" s="113"/>
      <c r="TRU53" s="113"/>
      <c r="TRV53" s="113"/>
      <c r="TRW53" s="113"/>
      <c r="TRX53" s="113"/>
      <c r="TRY53" s="113"/>
      <c r="TRZ53" s="113"/>
      <c r="TSA53" s="113"/>
      <c r="TSB53" s="113"/>
      <c r="TSC53" s="113"/>
      <c r="TSD53" s="113"/>
      <c r="TSE53" s="113"/>
      <c r="TSF53" s="113"/>
      <c r="TSG53" s="113"/>
      <c r="TSH53" s="113"/>
      <c r="TSI53" s="113"/>
      <c r="TSJ53" s="113"/>
      <c r="TSK53" s="113"/>
      <c r="TSL53" s="113"/>
      <c r="TSM53" s="113"/>
      <c r="TSN53" s="113"/>
      <c r="TSO53" s="113"/>
      <c r="TSP53" s="113"/>
      <c r="TSQ53" s="113"/>
      <c r="TSR53" s="113"/>
      <c r="TSS53" s="113"/>
      <c r="TST53" s="113"/>
      <c r="TSU53" s="113"/>
      <c r="TSV53" s="113"/>
      <c r="TSW53" s="113"/>
      <c r="TSX53" s="113"/>
      <c r="TSY53" s="113"/>
      <c r="TSZ53" s="113"/>
      <c r="TTA53" s="113"/>
      <c r="TTB53" s="113"/>
      <c r="TTC53" s="113"/>
      <c r="TTD53" s="113"/>
      <c r="TTE53" s="113"/>
      <c r="TTF53" s="113"/>
      <c r="TTG53" s="113"/>
      <c r="TTH53" s="113"/>
      <c r="TTI53" s="113"/>
      <c r="TTJ53" s="113"/>
      <c r="TTK53" s="113"/>
      <c r="TTL53" s="113"/>
      <c r="TTM53" s="113"/>
      <c r="TTN53" s="113"/>
      <c r="TTO53" s="113"/>
      <c r="TTP53" s="113"/>
      <c r="TTQ53" s="113"/>
      <c r="TTR53" s="113"/>
      <c r="TTS53" s="113"/>
      <c r="TTT53" s="113"/>
      <c r="TTU53" s="113"/>
      <c r="TTV53" s="113"/>
      <c r="TTW53" s="113"/>
      <c r="TTX53" s="113"/>
      <c r="TTY53" s="113"/>
      <c r="TTZ53" s="113"/>
      <c r="TUA53" s="113"/>
      <c r="TUB53" s="113"/>
      <c r="TUC53" s="113"/>
      <c r="TUD53" s="113"/>
      <c r="TUE53" s="113"/>
      <c r="TUF53" s="113"/>
      <c r="TUG53" s="113"/>
      <c r="TUH53" s="113"/>
      <c r="TUI53" s="113"/>
      <c r="TUJ53" s="113"/>
      <c r="TUK53" s="113"/>
      <c r="TUL53" s="113"/>
      <c r="TUM53" s="113"/>
      <c r="TUN53" s="113"/>
      <c r="TUO53" s="113"/>
      <c r="TUP53" s="113"/>
      <c r="TUQ53" s="113"/>
      <c r="TUR53" s="113"/>
      <c r="TUS53" s="113"/>
      <c r="TUT53" s="113"/>
      <c r="TUU53" s="113"/>
      <c r="TUV53" s="113"/>
      <c r="TUW53" s="113"/>
      <c r="TUX53" s="113"/>
      <c r="TUY53" s="113"/>
      <c r="TUZ53" s="113"/>
      <c r="TVA53" s="113"/>
      <c r="TVB53" s="113"/>
      <c r="TVC53" s="113"/>
      <c r="TVD53" s="113"/>
      <c r="TVE53" s="113"/>
      <c r="TVF53" s="113"/>
      <c r="TVG53" s="113"/>
      <c r="TVH53" s="113"/>
      <c r="TVI53" s="113"/>
      <c r="TVJ53" s="113"/>
      <c r="TVK53" s="113"/>
      <c r="TVL53" s="113"/>
      <c r="TVM53" s="113"/>
      <c r="TVN53" s="113"/>
      <c r="TVO53" s="113"/>
      <c r="TVP53" s="113"/>
      <c r="TVQ53" s="113"/>
      <c r="TVR53" s="113"/>
      <c r="TVS53" s="113"/>
      <c r="TVT53" s="113"/>
      <c r="TVU53" s="113"/>
      <c r="TVV53" s="113"/>
      <c r="TVW53" s="113"/>
      <c r="TVX53" s="113"/>
      <c r="TVY53" s="113"/>
      <c r="TVZ53" s="113"/>
      <c r="TWA53" s="113"/>
      <c r="TWB53" s="113"/>
      <c r="TWC53" s="113"/>
      <c r="TWD53" s="113"/>
      <c r="TWE53" s="113"/>
      <c r="TWF53" s="113"/>
      <c r="TWG53" s="113"/>
      <c r="TWH53" s="113"/>
      <c r="TWI53" s="113"/>
      <c r="TWJ53" s="113"/>
      <c r="TWK53" s="113"/>
      <c r="TWL53" s="113"/>
      <c r="TWM53" s="113"/>
      <c r="TWN53" s="113"/>
      <c r="TWO53" s="113"/>
      <c r="TWP53" s="113"/>
      <c r="TWQ53" s="113"/>
      <c r="TWR53" s="113"/>
      <c r="TWS53" s="113"/>
      <c r="TWT53" s="113"/>
      <c r="TWU53" s="113"/>
      <c r="TWV53" s="113"/>
      <c r="TWW53" s="113"/>
      <c r="TWX53" s="113"/>
      <c r="TWY53" s="113"/>
      <c r="TWZ53" s="113"/>
      <c r="TXA53" s="113"/>
      <c r="TXB53" s="113"/>
      <c r="TXC53" s="113"/>
      <c r="TXD53" s="113"/>
      <c r="TXE53" s="113"/>
      <c r="TXF53" s="113"/>
      <c r="TXG53" s="113"/>
      <c r="TXH53" s="113"/>
      <c r="TXI53" s="113"/>
      <c r="TXJ53" s="113"/>
      <c r="TXK53" s="113"/>
      <c r="TXL53" s="113"/>
      <c r="TXM53" s="113"/>
      <c r="TXN53" s="113"/>
      <c r="TXO53" s="113"/>
      <c r="TXP53" s="113"/>
      <c r="TXQ53" s="113"/>
      <c r="TXR53" s="113"/>
      <c r="TXS53" s="113"/>
      <c r="TXT53" s="113"/>
      <c r="TXU53" s="113"/>
      <c r="TXV53" s="113"/>
      <c r="TXW53" s="113"/>
      <c r="TXX53" s="113"/>
      <c r="TXY53" s="113"/>
      <c r="TXZ53" s="113"/>
      <c r="TYA53" s="113"/>
      <c r="TYB53" s="113"/>
      <c r="TYC53" s="113"/>
      <c r="TYD53" s="113"/>
      <c r="TYE53" s="113"/>
      <c r="TYF53" s="113"/>
      <c r="TYG53" s="113"/>
      <c r="TYH53" s="113"/>
      <c r="TYI53" s="113"/>
      <c r="TYJ53" s="113"/>
      <c r="TYK53" s="113"/>
      <c r="TYL53" s="113"/>
      <c r="TYM53" s="113"/>
      <c r="TYN53" s="113"/>
      <c r="TYO53" s="113"/>
      <c r="TYP53" s="113"/>
      <c r="TYQ53" s="113"/>
      <c r="TYR53" s="113"/>
      <c r="TYS53" s="113"/>
      <c r="TYT53" s="113"/>
      <c r="TYU53" s="113"/>
      <c r="TYV53" s="113"/>
      <c r="TYW53" s="113"/>
      <c r="TYX53" s="113"/>
      <c r="TYY53" s="113"/>
      <c r="TYZ53" s="113"/>
      <c r="TZA53" s="113"/>
      <c r="TZB53" s="113"/>
      <c r="TZC53" s="113"/>
      <c r="TZD53" s="113"/>
      <c r="TZE53" s="113"/>
      <c r="TZF53" s="113"/>
      <c r="TZG53" s="113"/>
      <c r="TZH53" s="113"/>
      <c r="TZI53" s="113"/>
      <c r="TZJ53" s="113"/>
      <c r="TZK53" s="113"/>
      <c r="TZL53" s="113"/>
      <c r="TZM53" s="113"/>
      <c r="TZN53" s="113"/>
      <c r="TZO53" s="113"/>
      <c r="TZP53" s="113"/>
      <c r="TZQ53" s="113"/>
      <c r="TZR53" s="113"/>
      <c r="TZS53" s="113"/>
      <c r="TZT53" s="113"/>
      <c r="TZU53" s="113"/>
      <c r="TZV53" s="113"/>
      <c r="TZW53" s="113"/>
      <c r="TZX53" s="113"/>
      <c r="TZY53" s="113"/>
      <c r="TZZ53" s="113"/>
      <c r="UAA53" s="113"/>
      <c r="UAB53" s="113"/>
      <c r="UAC53" s="113"/>
      <c r="UAD53" s="113"/>
      <c r="UAE53" s="113"/>
      <c r="UAF53" s="113"/>
      <c r="UAG53" s="113"/>
      <c r="UAH53" s="113"/>
      <c r="UAI53" s="113"/>
      <c r="UAJ53" s="113"/>
      <c r="UAK53" s="113"/>
      <c r="UAL53" s="113"/>
      <c r="UAM53" s="113"/>
      <c r="UAN53" s="113"/>
      <c r="UAO53" s="113"/>
      <c r="UAP53" s="113"/>
      <c r="UAQ53" s="113"/>
      <c r="UAR53" s="113"/>
      <c r="UAS53" s="113"/>
      <c r="UAT53" s="113"/>
      <c r="UAU53" s="113"/>
      <c r="UAV53" s="113"/>
      <c r="UAW53" s="113"/>
      <c r="UAX53" s="113"/>
      <c r="UAY53" s="113"/>
      <c r="UAZ53" s="113"/>
      <c r="UBA53" s="113"/>
      <c r="UBB53" s="113"/>
      <c r="UBC53" s="113"/>
      <c r="UBD53" s="113"/>
      <c r="UBE53" s="113"/>
      <c r="UBF53" s="113"/>
      <c r="UBG53" s="113"/>
      <c r="UBH53" s="113"/>
      <c r="UBI53" s="113"/>
      <c r="UBJ53" s="113"/>
      <c r="UBK53" s="113"/>
      <c r="UBL53" s="113"/>
      <c r="UBM53" s="113"/>
      <c r="UBN53" s="113"/>
      <c r="UBO53" s="113"/>
      <c r="UBP53" s="113"/>
      <c r="UBQ53" s="113"/>
      <c r="UBR53" s="113"/>
      <c r="UBS53" s="113"/>
      <c r="UBT53" s="113"/>
      <c r="UBU53" s="113"/>
      <c r="UBV53" s="113"/>
      <c r="UBW53" s="113"/>
      <c r="UBX53" s="113"/>
      <c r="UBY53" s="113"/>
      <c r="UBZ53" s="113"/>
      <c r="UCA53" s="113"/>
      <c r="UCB53" s="113"/>
      <c r="UCC53" s="113"/>
      <c r="UCD53" s="113"/>
      <c r="UCE53" s="113"/>
      <c r="UCF53" s="113"/>
      <c r="UCG53" s="113"/>
      <c r="UCH53" s="113"/>
      <c r="UCI53" s="113"/>
      <c r="UCJ53" s="113"/>
      <c r="UCK53" s="113"/>
      <c r="UCL53" s="113"/>
      <c r="UCM53" s="113"/>
      <c r="UCN53" s="113"/>
      <c r="UCO53" s="113"/>
      <c r="UCP53" s="113"/>
      <c r="UCQ53" s="113"/>
      <c r="UCR53" s="113"/>
      <c r="UCS53" s="113"/>
      <c r="UCT53" s="113"/>
      <c r="UCU53" s="113"/>
      <c r="UCV53" s="113"/>
      <c r="UCW53" s="113"/>
      <c r="UCX53" s="113"/>
      <c r="UCY53" s="113"/>
      <c r="UCZ53" s="113"/>
      <c r="UDA53" s="113"/>
      <c r="UDB53" s="113"/>
      <c r="UDC53" s="113"/>
      <c r="UDD53" s="113"/>
      <c r="UDE53" s="113"/>
      <c r="UDF53" s="113"/>
      <c r="UDG53" s="113"/>
      <c r="UDH53" s="113"/>
      <c r="UDI53" s="113"/>
      <c r="UDJ53" s="113"/>
      <c r="UDK53" s="113"/>
      <c r="UDL53" s="113"/>
      <c r="UDM53" s="113"/>
      <c r="UDN53" s="113"/>
      <c r="UDO53" s="113"/>
      <c r="UDP53" s="113"/>
      <c r="UDQ53" s="113"/>
      <c r="UDR53" s="113"/>
      <c r="UDS53" s="113"/>
      <c r="UDT53" s="113"/>
      <c r="UDU53" s="113"/>
      <c r="UDV53" s="113"/>
      <c r="UDW53" s="113"/>
      <c r="UDX53" s="113"/>
      <c r="UDY53" s="113"/>
      <c r="UDZ53" s="113"/>
      <c r="UEA53" s="113"/>
      <c r="UEB53" s="113"/>
      <c r="UEC53" s="113"/>
      <c r="UED53" s="113"/>
      <c r="UEE53" s="113"/>
      <c r="UEF53" s="113"/>
      <c r="UEG53" s="113"/>
      <c r="UEH53" s="113"/>
      <c r="UEI53" s="113"/>
      <c r="UEJ53" s="113"/>
      <c r="UEK53" s="113"/>
      <c r="UEL53" s="113"/>
      <c r="UEM53" s="113"/>
      <c r="UEN53" s="113"/>
      <c r="UEO53" s="113"/>
      <c r="UEP53" s="113"/>
      <c r="UEQ53" s="113"/>
      <c r="UER53" s="113"/>
      <c r="UES53" s="113"/>
      <c r="UET53" s="113"/>
      <c r="UEU53" s="113"/>
      <c r="UEV53" s="113"/>
      <c r="UEW53" s="113"/>
      <c r="UEX53" s="113"/>
      <c r="UEY53" s="113"/>
      <c r="UEZ53" s="113"/>
      <c r="UFA53" s="113"/>
      <c r="UFB53" s="113"/>
      <c r="UFC53" s="113"/>
      <c r="UFD53" s="113"/>
      <c r="UFE53" s="113"/>
      <c r="UFF53" s="113"/>
      <c r="UFG53" s="113"/>
      <c r="UFH53" s="113"/>
      <c r="UFI53" s="113"/>
      <c r="UFJ53" s="113"/>
      <c r="UFK53" s="113"/>
      <c r="UFL53" s="113"/>
      <c r="UFM53" s="113"/>
      <c r="UFN53" s="113"/>
      <c r="UFO53" s="113"/>
      <c r="UFP53" s="113"/>
      <c r="UFQ53" s="113"/>
      <c r="UFR53" s="113"/>
      <c r="UFS53" s="113"/>
      <c r="UFT53" s="113"/>
      <c r="UFU53" s="113"/>
      <c r="UFV53" s="113"/>
      <c r="UFW53" s="113"/>
      <c r="UFX53" s="113"/>
      <c r="UFY53" s="113"/>
      <c r="UFZ53" s="113"/>
      <c r="UGA53" s="113"/>
      <c r="UGB53" s="113"/>
      <c r="UGC53" s="113"/>
      <c r="UGD53" s="113"/>
      <c r="UGE53" s="113"/>
      <c r="UGF53" s="113"/>
      <c r="UGG53" s="113"/>
      <c r="UGH53" s="113"/>
      <c r="UGI53" s="113"/>
      <c r="UGJ53" s="113"/>
      <c r="UGK53" s="113"/>
      <c r="UGL53" s="113"/>
      <c r="UGM53" s="113"/>
      <c r="UGN53" s="113"/>
      <c r="UGO53" s="113"/>
      <c r="UGP53" s="113"/>
      <c r="UGQ53" s="113"/>
      <c r="UGR53" s="113"/>
      <c r="UGS53" s="113"/>
      <c r="UGT53" s="113"/>
      <c r="UGU53" s="113"/>
      <c r="UGV53" s="113"/>
      <c r="UGW53" s="113"/>
      <c r="UGX53" s="113"/>
      <c r="UGY53" s="113"/>
      <c r="UGZ53" s="113"/>
      <c r="UHA53" s="113"/>
      <c r="UHB53" s="113"/>
      <c r="UHC53" s="113"/>
      <c r="UHD53" s="113"/>
      <c r="UHE53" s="113"/>
      <c r="UHF53" s="113"/>
      <c r="UHG53" s="113"/>
      <c r="UHH53" s="113"/>
      <c r="UHI53" s="113"/>
      <c r="UHJ53" s="113"/>
      <c r="UHK53" s="113"/>
      <c r="UHL53" s="113"/>
      <c r="UHM53" s="113"/>
      <c r="UHN53" s="113"/>
      <c r="UHO53" s="113"/>
      <c r="UHP53" s="113"/>
      <c r="UHQ53" s="113"/>
      <c r="UHR53" s="113"/>
      <c r="UHS53" s="113"/>
      <c r="UHT53" s="113"/>
      <c r="UHU53" s="113"/>
      <c r="UHV53" s="113"/>
      <c r="UHW53" s="113"/>
      <c r="UHX53" s="113"/>
      <c r="UHY53" s="113"/>
      <c r="UHZ53" s="113"/>
      <c r="UIA53" s="113"/>
      <c r="UIB53" s="113"/>
      <c r="UIC53" s="113"/>
      <c r="UID53" s="113"/>
      <c r="UIE53" s="113"/>
      <c r="UIF53" s="113"/>
      <c r="UIG53" s="113"/>
      <c r="UIH53" s="113"/>
      <c r="UII53" s="113"/>
      <c r="UIJ53" s="113"/>
      <c r="UIK53" s="113"/>
      <c r="UIL53" s="113"/>
      <c r="UIM53" s="113"/>
      <c r="UIN53" s="113"/>
      <c r="UIO53" s="113"/>
      <c r="UIP53" s="113"/>
      <c r="UIQ53" s="113"/>
      <c r="UIR53" s="113"/>
      <c r="UIS53" s="113"/>
      <c r="UIT53" s="113"/>
      <c r="UIU53" s="113"/>
      <c r="UIV53" s="113"/>
      <c r="UIW53" s="113"/>
      <c r="UIX53" s="113"/>
      <c r="UIY53" s="113"/>
      <c r="UIZ53" s="113"/>
      <c r="UJA53" s="113"/>
      <c r="UJB53" s="113"/>
      <c r="UJC53" s="113"/>
      <c r="UJD53" s="113"/>
      <c r="UJE53" s="113"/>
      <c r="UJF53" s="113"/>
      <c r="UJG53" s="113"/>
      <c r="UJH53" s="113"/>
      <c r="UJI53" s="113"/>
      <c r="UJJ53" s="113"/>
      <c r="UJK53" s="113"/>
      <c r="UJL53" s="113"/>
      <c r="UJM53" s="113"/>
      <c r="UJN53" s="113"/>
      <c r="UJO53" s="113"/>
      <c r="UJP53" s="113"/>
      <c r="UJQ53" s="113"/>
      <c r="UJR53" s="113"/>
      <c r="UJS53" s="113"/>
      <c r="UJT53" s="113"/>
      <c r="UJU53" s="113"/>
      <c r="UJV53" s="113"/>
      <c r="UJW53" s="113"/>
      <c r="UJX53" s="113"/>
      <c r="UJY53" s="113"/>
      <c r="UJZ53" s="113"/>
      <c r="UKA53" s="113"/>
      <c r="UKB53" s="113"/>
      <c r="UKC53" s="113"/>
      <c r="UKD53" s="113"/>
      <c r="UKE53" s="113"/>
      <c r="UKF53" s="113"/>
      <c r="UKG53" s="113"/>
      <c r="UKH53" s="113"/>
      <c r="UKI53" s="113"/>
      <c r="UKJ53" s="113"/>
      <c r="UKK53" s="113"/>
      <c r="UKL53" s="113"/>
      <c r="UKM53" s="113"/>
      <c r="UKN53" s="113"/>
      <c r="UKO53" s="113"/>
      <c r="UKP53" s="113"/>
      <c r="UKQ53" s="113"/>
      <c r="UKR53" s="113"/>
      <c r="UKS53" s="113"/>
      <c r="UKT53" s="113"/>
      <c r="UKU53" s="113"/>
      <c r="UKV53" s="113"/>
      <c r="UKW53" s="113"/>
      <c r="UKX53" s="113"/>
      <c r="UKY53" s="113"/>
      <c r="UKZ53" s="113"/>
      <c r="ULA53" s="113"/>
      <c r="ULB53" s="113"/>
      <c r="ULC53" s="113"/>
      <c r="ULD53" s="113"/>
      <c r="ULE53" s="113"/>
      <c r="ULF53" s="113"/>
      <c r="ULG53" s="113"/>
      <c r="ULH53" s="113"/>
      <c r="ULI53" s="113"/>
      <c r="ULJ53" s="113"/>
      <c r="ULK53" s="113"/>
      <c r="ULL53" s="113"/>
      <c r="ULM53" s="113"/>
      <c r="ULN53" s="113"/>
      <c r="ULO53" s="113"/>
      <c r="ULP53" s="113"/>
      <c r="ULQ53" s="113"/>
      <c r="ULR53" s="113"/>
      <c r="ULS53" s="113"/>
      <c r="ULT53" s="113"/>
      <c r="ULU53" s="113"/>
      <c r="ULV53" s="113"/>
      <c r="ULW53" s="113"/>
      <c r="ULX53" s="113"/>
      <c r="ULY53" s="113"/>
      <c r="ULZ53" s="113"/>
      <c r="UMA53" s="113"/>
      <c r="UMB53" s="113"/>
      <c r="UMC53" s="113"/>
      <c r="UMD53" s="113"/>
      <c r="UME53" s="113"/>
      <c r="UMF53" s="113"/>
      <c r="UMG53" s="113"/>
      <c r="UMH53" s="113"/>
      <c r="UMI53" s="113"/>
      <c r="UMJ53" s="113"/>
      <c r="UMK53" s="113"/>
      <c r="UML53" s="113"/>
      <c r="UMM53" s="113"/>
      <c r="UMN53" s="113"/>
      <c r="UMO53" s="113"/>
      <c r="UMP53" s="113"/>
      <c r="UMQ53" s="113"/>
      <c r="UMR53" s="113"/>
      <c r="UMS53" s="113"/>
      <c r="UMT53" s="113"/>
      <c r="UMU53" s="113"/>
      <c r="UMV53" s="113"/>
      <c r="UMW53" s="113"/>
      <c r="UMX53" s="113"/>
      <c r="UMY53" s="113"/>
      <c r="UMZ53" s="113"/>
      <c r="UNA53" s="113"/>
      <c r="UNB53" s="113"/>
      <c r="UNC53" s="113"/>
      <c r="UND53" s="113"/>
      <c r="UNE53" s="113"/>
      <c r="UNF53" s="113"/>
      <c r="UNG53" s="113"/>
      <c r="UNH53" s="113"/>
      <c r="UNI53" s="113"/>
      <c r="UNJ53" s="113"/>
      <c r="UNK53" s="113"/>
      <c r="UNL53" s="113"/>
      <c r="UNM53" s="113"/>
      <c r="UNN53" s="113"/>
      <c r="UNO53" s="113"/>
      <c r="UNP53" s="113"/>
      <c r="UNQ53" s="113"/>
      <c r="UNR53" s="113"/>
      <c r="UNS53" s="113"/>
      <c r="UNT53" s="113"/>
      <c r="UNU53" s="113"/>
      <c r="UNV53" s="113"/>
      <c r="UNW53" s="113"/>
      <c r="UNX53" s="113"/>
      <c r="UNY53" s="113"/>
      <c r="UNZ53" s="113"/>
      <c r="UOA53" s="113"/>
      <c r="UOB53" s="113"/>
      <c r="UOC53" s="113"/>
      <c r="UOD53" s="113"/>
      <c r="UOE53" s="113"/>
      <c r="UOF53" s="113"/>
      <c r="UOG53" s="113"/>
      <c r="UOH53" s="113"/>
      <c r="UOI53" s="113"/>
      <c r="UOJ53" s="113"/>
      <c r="UOK53" s="113"/>
      <c r="UOL53" s="113"/>
      <c r="UOM53" s="113"/>
      <c r="UON53" s="113"/>
      <c r="UOO53" s="113"/>
      <c r="UOP53" s="113"/>
      <c r="UOQ53" s="113"/>
      <c r="UOR53" s="113"/>
      <c r="UOS53" s="113"/>
      <c r="UOT53" s="113"/>
      <c r="UOU53" s="113"/>
      <c r="UOV53" s="113"/>
      <c r="UOW53" s="113"/>
      <c r="UOX53" s="113"/>
      <c r="UOY53" s="113"/>
      <c r="UOZ53" s="113"/>
      <c r="UPA53" s="113"/>
      <c r="UPB53" s="113"/>
      <c r="UPC53" s="113"/>
      <c r="UPD53" s="113"/>
      <c r="UPE53" s="113"/>
      <c r="UPF53" s="113"/>
      <c r="UPG53" s="113"/>
      <c r="UPH53" s="113"/>
      <c r="UPI53" s="113"/>
      <c r="UPJ53" s="113"/>
      <c r="UPK53" s="113"/>
      <c r="UPL53" s="113"/>
      <c r="UPM53" s="113"/>
      <c r="UPN53" s="113"/>
      <c r="UPO53" s="113"/>
      <c r="UPP53" s="113"/>
      <c r="UPQ53" s="113"/>
      <c r="UPR53" s="113"/>
      <c r="UPS53" s="113"/>
      <c r="UPT53" s="113"/>
      <c r="UPU53" s="113"/>
      <c r="UPV53" s="113"/>
      <c r="UPW53" s="113"/>
      <c r="UPX53" s="113"/>
      <c r="UPY53" s="113"/>
      <c r="UPZ53" s="113"/>
      <c r="UQA53" s="113"/>
      <c r="UQB53" s="113"/>
      <c r="UQC53" s="113"/>
      <c r="UQD53" s="113"/>
      <c r="UQE53" s="113"/>
      <c r="UQF53" s="113"/>
      <c r="UQG53" s="113"/>
      <c r="UQH53" s="113"/>
      <c r="UQI53" s="113"/>
      <c r="UQJ53" s="113"/>
      <c r="UQK53" s="113"/>
      <c r="UQL53" s="113"/>
      <c r="UQM53" s="113"/>
      <c r="UQN53" s="113"/>
      <c r="UQO53" s="113"/>
      <c r="UQP53" s="113"/>
      <c r="UQQ53" s="113"/>
      <c r="UQR53" s="113"/>
      <c r="UQS53" s="113"/>
      <c r="UQT53" s="113"/>
      <c r="UQU53" s="113"/>
      <c r="UQV53" s="113"/>
      <c r="UQW53" s="113"/>
      <c r="UQX53" s="113"/>
      <c r="UQY53" s="113"/>
      <c r="UQZ53" s="113"/>
      <c r="URA53" s="113"/>
      <c r="URB53" s="113"/>
      <c r="URC53" s="113"/>
      <c r="URD53" s="113"/>
      <c r="URE53" s="113"/>
      <c r="URF53" s="113"/>
      <c r="URG53" s="113"/>
      <c r="URH53" s="113"/>
      <c r="URI53" s="113"/>
      <c r="URJ53" s="113"/>
      <c r="URK53" s="113"/>
      <c r="URL53" s="113"/>
      <c r="URM53" s="113"/>
      <c r="URN53" s="113"/>
      <c r="URO53" s="113"/>
      <c r="URP53" s="113"/>
      <c r="URQ53" s="113"/>
      <c r="URR53" s="113"/>
      <c r="URS53" s="113"/>
      <c r="URT53" s="113"/>
      <c r="URU53" s="113"/>
      <c r="URV53" s="113"/>
      <c r="URW53" s="113"/>
      <c r="URX53" s="113"/>
      <c r="URY53" s="113"/>
      <c r="URZ53" s="113"/>
      <c r="USA53" s="113"/>
      <c r="USB53" s="113"/>
      <c r="USC53" s="113"/>
      <c r="USD53" s="113"/>
      <c r="USE53" s="113"/>
      <c r="USF53" s="113"/>
      <c r="USG53" s="113"/>
      <c r="USH53" s="113"/>
      <c r="USI53" s="113"/>
      <c r="USJ53" s="113"/>
      <c r="USK53" s="113"/>
      <c r="USL53" s="113"/>
      <c r="USM53" s="113"/>
      <c r="USN53" s="113"/>
      <c r="USO53" s="113"/>
      <c r="USP53" s="113"/>
      <c r="USQ53" s="113"/>
      <c r="USR53" s="113"/>
      <c r="USS53" s="113"/>
      <c r="UST53" s="113"/>
      <c r="USU53" s="113"/>
      <c r="USV53" s="113"/>
      <c r="USW53" s="113"/>
      <c r="USX53" s="113"/>
      <c r="USY53" s="113"/>
      <c r="USZ53" s="113"/>
      <c r="UTA53" s="113"/>
      <c r="UTB53" s="113"/>
      <c r="UTC53" s="113"/>
      <c r="UTD53" s="113"/>
      <c r="UTE53" s="113"/>
      <c r="UTF53" s="113"/>
      <c r="UTG53" s="113"/>
      <c r="UTH53" s="113"/>
      <c r="UTI53" s="113"/>
      <c r="UTJ53" s="113"/>
      <c r="UTK53" s="113"/>
      <c r="UTL53" s="113"/>
      <c r="UTM53" s="113"/>
      <c r="UTN53" s="113"/>
      <c r="UTO53" s="113"/>
      <c r="UTP53" s="113"/>
      <c r="UTQ53" s="113"/>
      <c r="UTR53" s="113"/>
      <c r="UTS53" s="113"/>
      <c r="UTT53" s="113"/>
      <c r="UTU53" s="113"/>
      <c r="UTV53" s="113"/>
      <c r="UTW53" s="113"/>
      <c r="UTX53" s="113"/>
      <c r="UTY53" s="113"/>
      <c r="UTZ53" s="113"/>
      <c r="UUA53" s="113"/>
      <c r="UUB53" s="113"/>
      <c r="UUC53" s="113"/>
      <c r="UUD53" s="113"/>
      <c r="UUE53" s="113"/>
      <c r="UUF53" s="113"/>
      <c r="UUG53" s="113"/>
      <c r="UUH53" s="113"/>
      <c r="UUI53" s="113"/>
      <c r="UUJ53" s="113"/>
      <c r="UUK53" s="113"/>
      <c r="UUL53" s="113"/>
      <c r="UUM53" s="113"/>
      <c r="UUN53" s="113"/>
      <c r="UUO53" s="113"/>
      <c r="UUP53" s="113"/>
      <c r="UUQ53" s="113"/>
      <c r="UUR53" s="113"/>
      <c r="UUS53" s="113"/>
      <c r="UUT53" s="113"/>
      <c r="UUU53" s="113"/>
      <c r="UUV53" s="113"/>
      <c r="UUW53" s="113"/>
      <c r="UUX53" s="113"/>
      <c r="UUY53" s="113"/>
      <c r="UUZ53" s="113"/>
      <c r="UVA53" s="113"/>
      <c r="UVB53" s="113"/>
      <c r="UVC53" s="113"/>
      <c r="UVD53" s="113"/>
      <c r="UVE53" s="113"/>
      <c r="UVF53" s="113"/>
      <c r="UVG53" s="113"/>
      <c r="UVH53" s="113"/>
      <c r="UVI53" s="113"/>
      <c r="UVJ53" s="113"/>
      <c r="UVK53" s="113"/>
      <c r="UVL53" s="113"/>
      <c r="UVM53" s="113"/>
      <c r="UVN53" s="113"/>
      <c r="UVO53" s="113"/>
      <c r="UVP53" s="113"/>
      <c r="UVQ53" s="113"/>
      <c r="UVR53" s="113"/>
      <c r="UVS53" s="113"/>
      <c r="UVT53" s="113"/>
      <c r="UVU53" s="113"/>
      <c r="UVV53" s="113"/>
      <c r="UVW53" s="113"/>
      <c r="UVX53" s="113"/>
      <c r="UVY53" s="113"/>
      <c r="UVZ53" s="113"/>
      <c r="UWA53" s="113"/>
      <c r="UWB53" s="113"/>
      <c r="UWC53" s="113"/>
      <c r="UWD53" s="113"/>
      <c r="UWE53" s="113"/>
      <c r="UWF53" s="113"/>
      <c r="UWG53" s="113"/>
      <c r="UWH53" s="113"/>
      <c r="UWI53" s="113"/>
      <c r="UWJ53" s="113"/>
      <c r="UWK53" s="113"/>
      <c r="UWL53" s="113"/>
      <c r="UWM53" s="113"/>
      <c r="UWN53" s="113"/>
      <c r="UWO53" s="113"/>
      <c r="UWP53" s="113"/>
      <c r="UWQ53" s="113"/>
      <c r="UWR53" s="113"/>
      <c r="UWS53" s="113"/>
      <c r="UWT53" s="113"/>
      <c r="UWU53" s="113"/>
      <c r="UWV53" s="113"/>
      <c r="UWW53" s="113"/>
      <c r="UWX53" s="113"/>
      <c r="UWY53" s="113"/>
      <c r="UWZ53" s="113"/>
      <c r="UXA53" s="113"/>
      <c r="UXB53" s="113"/>
      <c r="UXC53" s="113"/>
      <c r="UXD53" s="113"/>
      <c r="UXE53" s="113"/>
      <c r="UXF53" s="113"/>
      <c r="UXG53" s="113"/>
      <c r="UXH53" s="113"/>
      <c r="UXI53" s="113"/>
      <c r="UXJ53" s="113"/>
      <c r="UXK53" s="113"/>
      <c r="UXL53" s="113"/>
      <c r="UXM53" s="113"/>
      <c r="UXN53" s="113"/>
      <c r="UXO53" s="113"/>
      <c r="UXP53" s="113"/>
      <c r="UXQ53" s="113"/>
      <c r="UXR53" s="113"/>
      <c r="UXS53" s="113"/>
      <c r="UXT53" s="113"/>
      <c r="UXU53" s="113"/>
      <c r="UXV53" s="113"/>
      <c r="UXW53" s="113"/>
      <c r="UXX53" s="113"/>
      <c r="UXY53" s="113"/>
      <c r="UXZ53" s="113"/>
      <c r="UYA53" s="113"/>
      <c r="UYB53" s="113"/>
      <c r="UYC53" s="113"/>
      <c r="UYD53" s="113"/>
      <c r="UYE53" s="113"/>
      <c r="UYF53" s="113"/>
      <c r="UYG53" s="113"/>
      <c r="UYH53" s="113"/>
      <c r="UYI53" s="113"/>
      <c r="UYJ53" s="113"/>
      <c r="UYK53" s="113"/>
      <c r="UYL53" s="113"/>
      <c r="UYM53" s="113"/>
      <c r="UYN53" s="113"/>
      <c r="UYO53" s="113"/>
      <c r="UYP53" s="113"/>
      <c r="UYQ53" s="113"/>
      <c r="UYR53" s="113"/>
      <c r="UYS53" s="113"/>
      <c r="UYT53" s="113"/>
      <c r="UYU53" s="113"/>
      <c r="UYV53" s="113"/>
      <c r="UYW53" s="113"/>
      <c r="UYX53" s="113"/>
      <c r="UYY53" s="113"/>
      <c r="UYZ53" s="113"/>
      <c r="UZA53" s="113"/>
      <c r="UZB53" s="113"/>
      <c r="UZC53" s="113"/>
      <c r="UZD53" s="113"/>
      <c r="UZE53" s="113"/>
      <c r="UZF53" s="113"/>
      <c r="UZG53" s="113"/>
      <c r="UZH53" s="113"/>
      <c r="UZI53" s="113"/>
      <c r="UZJ53" s="113"/>
      <c r="UZK53" s="113"/>
      <c r="UZL53" s="113"/>
      <c r="UZM53" s="113"/>
      <c r="UZN53" s="113"/>
      <c r="UZO53" s="113"/>
      <c r="UZP53" s="113"/>
      <c r="UZQ53" s="113"/>
      <c r="UZR53" s="113"/>
      <c r="UZS53" s="113"/>
      <c r="UZT53" s="113"/>
      <c r="UZU53" s="113"/>
      <c r="UZV53" s="113"/>
      <c r="UZW53" s="113"/>
      <c r="UZX53" s="113"/>
      <c r="UZY53" s="113"/>
      <c r="UZZ53" s="113"/>
      <c r="VAA53" s="113"/>
      <c r="VAB53" s="113"/>
      <c r="VAC53" s="113"/>
      <c r="VAD53" s="113"/>
      <c r="VAE53" s="113"/>
      <c r="VAF53" s="113"/>
      <c r="VAG53" s="113"/>
      <c r="VAH53" s="113"/>
      <c r="VAI53" s="113"/>
      <c r="VAJ53" s="113"/>
      <c r="VAK53" s="113"/>
      <c r="VAL53" s="113"/>
      <c r="VAM53" s="113"/>
      <c r="VAN53" s="113"/>
      <c r="VAO53" s="113"/>
      <c r="VAP53" s="113"/>
      <c r="VAQ53" s="113"/>
      <c r="VAR53" s="113"/>
      <c r="VAS53" s="113"/>
      <c r="VAT53" s="113"/>
      <c r="VAU53" s="113"/>
      <c r="VAV53" s="113"/>
      <c r="VAW53" s="113"/>
      <c r="VAX53" s="113"/>
      <c r="VAY53" s="113"/>
      <c r="VAZ53" s="113"/>
      <c r="VBA53" s="113"/>
      <c r="VBB53" s="113"/>
      <c r="VBC53" s="113"/>
      <c r="VBD53" s="113"/>
      <c r="VBE53" s="113"/>
      <c r="VBF53" s="113"/>
      <c r="VBG53" s="113"/>
      <c r="VBH53" s="113"/>
      <c r="VBI53" s="113"/>
      <c r="VBJ53" s="113"/>
      <c r="VBK53" s="113"/>
      <c r="VBL53" s="113"/>
      <c r="VBM53" s="113"/>
      <c r="VBN53" s="113"/>
      <c r="VBO53" s="113"/>
      <c r="VBP53" s="113"/>
      <c r="VBQ53" s="113"/>
      <c r="VBR53" s="113"/>
      <c r="VBS53" s="113"/>
      <c r="VBT53" s="113"/>
      <c r="VBU53" s="113"/>
      <c r="VBV53" s="113"/>
      <c r="VBW53" s="113"/>
      <c r="VBX53" s="113"/>
      <c r="VBY53" s="113"/>
      <c r="VBZ53" s="113"/>
      <c r="VCA53" s="113"/>
      <c r="VCB53" s="113"/>
      <c r="VCC53" s="113"/>
      <c r="VCD53" s="113"/>
      <c r="VCE53" s="113"/>
      <c r="VCF53" s="113"/>
      <c r="VCG53" s="113"/>
      <c r="VCH53" s="113"/>
      <c r="VCI53" s="113"/>
      <c r="VCJ53" s="113"/>
      <c r="VCK53" s="113"/>
      <c r="VCL53" s="113"/>
      <c r="VCM53" s="113"/>
      <c r="VCN53" s="113"/>
      <c r="VCO53" s="113"/>
      <c r="VCP53" s="113"/>
      <c r="VCQ53" s="113"/>
      <c r="VCR53" s="113"/>
      <c r="VCS53" s="113"/>
      <c r="VCT53" s="113"/>
      <c r="VCU53" s="113"/>
      <c r="VCV53" s="113"/>
      <c r="VCW53" s="113"/>
      <c r="VCX53" s="113"/>
      <c r="VCY53" s="113"/>
      <c r="VCZ53" s="113"/>
      <c r="VDA53" s="113"/>
      <c r="VDB53" s="113"/>
      <c r="VDC53" s="113"/>
      <c r="VDD53" s="113"/>
      <c r="VDE53" s="113"/>
      <c r="VDF53" s="113"/>
      <c r="VDG53" s="113"/>
      <c r="VDH53" s="113"/>
      <c r="VDI53" s="113"/>
      <c r="VDJ53" s="113"/>
      <c r="VDK53" s="113"/>
      <c r="VDL53" s="113"/>
      <c r="VDM53" s="113"/>
      <c r="VDN53" s="113"/>
      <c r="VDO53" s="113"/>
      <c r="VDP53" s="113"/>
      <c r="VDQ53" s="113"/>
      <c r="VDR53" s="113"/>
      <c r="VDS53" s="113"/>
      <c r="VDT53" s="113"/>
      <c r="VDU53" s="113"/>
      <c r="VDV53" s="113"/>
      <c r="VDW53" s="113"/>
      <c r="VDX53" s="113"/>
      <c r="VDY53" s="113"/>
      <c r="VDZ53" s="113"/>
      <c r="VEA53" s="113"/>
      <c r="VEB53" s="113"/>
      <c r="VEC53" s="113"/>
      <c r="VED53" s="113"/>
      <c r="VEE53" s="113"/>
      <c r="VEF53" s="113"/>
      <c r="VEG53" s="113"/>
      <c r="VEH53" s="113"/>
      <c r="VEI53" s="113"/>
      <c r="VEJ53" s="113"/>
      <c r="VEK53" s="113"/>
      <c r="VEL53" s="113"/>
      <c r="VEM53" s="113"/>
      <c r="VEN53" s="113"/>
      <c r="VEO53" s="113"/>
      <c r="VEP53" s="113"/>
      <c r="VEQ53" s="113"/>
      <c r="VER53" s="113"/>
      <c r="VES53" s="113"/>
      <c r="VET53" s="113"/>
      <c r="VEU53" s="113"/>
      <c r="VEV53" s="113"/>
      <c r="VEW53" s="113"/>
      <c r="VEX53" s="113"/>
      <c r="VEY53" s="113"/>
      <c r="VEZ53" s="113"/>
      <c r="VFA53" s="113"/>
      <c r="VFB53" s="113"/>
      <c r="VFC53" s="113"/>
      <c r="VFD53" s="113"/>
      <c r="VFE53" s="113"/>
      <c r="VFF53" s="113"/>
      <c r="VFG53" s="113"/>
      <c r="VFH53" s="113"/>
      <c r="VFI53" s="113"/>
      <c r="VFJ53" s="113"/>
      <c r="VFK53" s="113"/>
      <c r="VFL53" s="113"/>
      <c r="VFM53" s="113"/>
      <c r="VFN53" s="113"/>
      <c r="VFO53" s="113"/>
      <c r="VFP53" s="113"/>
      <c r="VFQ53" s="113"/>
      <c r="VFR53" s="113"/>
      <c r="VFS53" s="113"/>
      <c r="VFT53" s="113"/>
      <c r="VFU53" s="113"/>
      <c r="VFV53" s="113"/>
      <c r="VFW53" s="113"/>
      <c r="VFX53" s="113"/>
      <c r="VFY53" s="113"/>
      <c r="VFZ53" s="113"/>
      <c r="VGA53" s="113"/>
      <c r="VGB53" s="113"/>
      <c r="VGC53" s="113"/>
      <c r="VGD53" s="113"/>
      <c r="VGE53" s="113"/>
      <c r="VGF53" s="113"/>
      <c r="VGG53" s="113"/>
      <c r="VGH53" s="113"/>
      <c r="VGI53" s="113"/>
      <c r="VGJ53" s="113"/>
      <c r="VGK53" s="113"/>
      <c r="VGL53" s="113"/>
      <c r="VGM53" s="113"/>
      <c r="VGN53" s="113"/>
      <c r="VGO53" s="113"/>
      <c r="VGP53" s="113"/>
      <c r="VGQ53" s="113"/>
      <c r="VGR53" s="113"/>
      <c r="VGS53" s="113"/>
      <c r="VGT53" s="113"/>
      <c r="VGU53" s="113"/>
      <c r="VGV53" s="113"/>
      <c r="VGW53" s="113"/>
      <c r="VGX53" s="113"/>
      <c r="VGY53" s="113"/>
      <c r="VGZ53" s="113"/>
      <c r="VHA53" s="113"/>
      <c r="VHB53" s="113"/>
      <c r="VHC53" s="113"/>
      <c r="VHD53" s="113"/>
      <c r="VHE53" s="113"/>
      <c r="VHF53" s="113"/>
      <c r="VHG53" s="113"/>
      <c r="VHH53" s="113"/>
      <c r="VHI53" s="113"/>
      <c r="VHJ53" s="113"/>
      <c r="VHK53" s="113"/>
      <c r="VHL53" s="113"/>
      <c r="VHM53" s="113"/>
      <c r="VHN53" s="113"/>
      <c r="VHO53" s="113"/>
      <c r="VHP53" s="113"/>
      <c r="VHQ53" s="113"/>
      <c r="VHR53" s="113"/>
      <c r="VHS53" s="113"/>
      <c r="VHT53" s="113"/>
      <c r="VHU53" s="113"/>
      <c r="VHV53" s="113"/>
      <c r="VHW53" s="113"/>
      <c r="VHX53" s="113"/>
      <c r="VHY53" s="113"/>
      <c r="VHZ53" s="113"/>
      <c r="VIA53" s="113"/>
      <c r="VIB53" s="113"/>
      <c r="VIC53" s="113"/>
      <c r="VID53" s="113"/>
      <c r="VIE53" s="113"/>
      <c r="VIF53" s="113"/>
      <c r="VIG53" s="113"/>
      <c r="VIH53" s="113"/>
      <c r="VII53" s="113"/>
      <c r="VIJ53" s="113"/>
      <c r="VIK53" s="113"/>
      <c r="VIL53" s="113"/>
      <c r="VIM53" s="113"/>
      <c r="VIN53" s="113"/>
      <c r="VIO53" s="113"/>
      <c r="VIP53" s="113"/>
      <c r="VIQ53" s="113"/>
      <c r="VIR53" s="113"/>
      <c r="VIS53" s="113"/>
      <c r="VIT53" s="113"/>
      <c r="VIU53" s="113"/>
      <c r="VIV53" s="113"/>
      <c r="VIW53" s="113"/>
      <c r="VIX53" s="113"/>
      <c r="VIY53" s="113"/>
      <c r="VIZ53" s="113"/>
      <c r="VJA53" s="113"/>
      <c r="VJB53" s="113"/>
      <c r="VJC53" s="113"/>
      <c r="VJD53" s="113"/>
      <c r="VJE53" s="113"/>
      <c r="VJF53" s="113"/>
      <c r="VJG53" s="113"/>
      <c r="VJH53" s="113"/>
      <c r="VJI53" s="113"/>
      <c r="VJJ53" s="113"/>
      <c r="VJK53" s="113"/>
      <c r="VJL53" s="113"/>
      <c r="VJM53" s="113"/>
      <c r="VJN53" s="113"/>
      <c r="VJO53" s="113"/>
      <c r="VJP53" s="113"/>
      <c r="VJQ53" s="113"/>
      <c r="VJR53" s="113"/>
      <c r="VJS53" s="113"/>
      <c r="VJT53" s="113"/>
      <c r="VJU53" s="113"/>
      <c r="VJV53" s="113"/>
      <c r="VJW53" s="113"/>
      <c r="VJX53" s="113"/>
      <c r="VJY53" s="113"/>
      <c r="VJZ53" s="113"/>
      <c r="VKA53" s="113"/>
      <c r="VKB53" s="113"/>
      <c r="VKC53" s="113"/>
      <c r="VKD53" s="113"/>
      <c r="VKE53" s="113"/>
      <c r="VKF53" s="113"/>
      <c r="VKG53" s="113"/>
      <c r="VKH53" s="113"/>
      <c r="VKI53" s="113"/>
      <c r="VKJ53" s="113"/>
      <c r="VKK53" s="113"/>
      <c r="VKL53" s="113"/>
      <c r="VKM53" s="113"/>
      <c r="VKN53" s="113"/>
      <c r="VKO53" s="113"/>
      <c r="VKP53" s="113"/>
      <c r="VKQ53" s="113"/>
      <c r="VKR53" s="113"/>
      <c r="VKS53" s="113"/>
      <c r="VKT53" s="113"/>
      <c r="VKU53" s="113"/>
      <c r="VKV53" s="113"/>
      <c r="VKW53" s="113"/>
      <c r="VKX53" s="113"/>
      <c r="VKY53" s="113"/>
      <c r="VKZ53" s="113"/>
      <c r="VLA53" s="113"/>
      <c r="VLB53" s="113"/>
      <c r="VLC53" s="113"/>
      <c r="VLD53" s="113"/>
      <c r="VLE53" s="113"/>
      <c r="VLF53" s="113"/>
      <c r="VLG53" s="113"/>
      <c r="VLH53" s="113"/>
      <c r="VLI53" s="113"/>
      <c r="VLJ53" s="113"/>
      <c r="VLK53" s="113"/>
      <c r="VLL53" s="113"/>
      <c r="VLM53" s="113"/>
      <c r="VLN53" s="113"/>
      <c r="VLO53" s="113"/>
      <c r="VLP53" s="113"/>
      <c r="VLQ53" s="113"/>
      <c r="VLR53" s="113"/>
      <c r="VLS53" s="113"/>
      <c r="VLT53" s="113"/>
      <c r="VLU53" s="113"/>
      <c r="VLV53" s="113"/>
      <c r="VLW53" s="113"/>
      <c r="VLX53" s="113"/>
      <c r="VLY53" s="113"/>
      <c r="VLZ53" s="113"/>
      <c r="VMA53" s="113"/>
      <c r="VMB53" s="113"/>
      <c r="VMC53" s="113"/>
      <c r="VMD53" s="113"/>
      <c r="VME53" s="113"/>
      <c r="VMF53" s="113"/>
      <c r="VMG53" s="113"/>
      <c r="VMH53" s="113"/>
      <c r="VMI53" s="113"/>
      <c r="VMJ53" s="113"/>
      <c r="VMK53" s="113"/>
      <c r="VML53" s="113"/>
      <c r="VMM53" s="113"/>
      <c r="VMN53" s="113"/>
      <c r="VMO53" s="113"/>
      <c r="VMP53" s="113"/>
      <c r="VMQ53" s="113"/>
      <c r="VMR53" s="113"/>
      <c r="VMS53" s="113"/>
      <c r="VMT53" s="113"/>
      <c r="VMU53" s="113"/>
      <c r="VMV53" s="113"/>
      <c r="VMW53" s="113"/>
      <c r="VMX53" s="113"/>
      <c r="VMY53" s="113"/>
      <c r="VMZ53" s="113"/>
      <c r="VNA53" s="113"/>
      <c r="VNB53" s="113"/>
      <c r="VNC53" s="113"/>
      <c r="VND53" s="113"/>
      <c r="VNE53" s="113"/>
      <c r="VNF53" s="113"/>
      <c r="VNG53" s="113"/>
      <c r="VNH53" s="113"/>
      <c r="VNI53" s="113"/>
      <c r="VNJ53" s="113"/>
      <c r="VNK53" s="113"/>
      <c r="VNL53" s="113"/>
      <c r="VNM53" s="113"/>
      <c r="VNN53" s="113"/>
      <c r="VNO53" s="113"/>
      <c r="VNP53" s="113"/>
      <c r="VNQ53" s="113"/>
      <c r="VNR53" s="113"/>
      <c r="VNS53" s="113"/>
      <c r="VNT53" s="113"/>
      <c r="VNU53" s="113"/>
      <c r="VNV53" s="113"/>
      <c r="VNW53" s="113"/>
      <c r="VNX53" s="113"/>
      <c r="VNY53" s="113"/>
      <c r="VNZ53" s="113"/>
      <c r="VOA53" s="113"/>
      <c r="VOB53" s="113"/>
      <c r="VOC53" s="113"/>
      <c r="VOD53" s="113"/>
      <c r="VOE53" s="113"/>
      <c r="VOF53" s="113"/>
      <c r="VOG53" s="113"/>
      <c r="VOH53" s="113"/>
      <c r="VOI53" s="113"/>
      <c r="VOJ53" s="113"/>
      <c r="VOK53" s="113"/>
      <c r="VOL53" s="113"/>
      <c r="VOM53" s="113"/>
      <c r="VON53" s="113"/>
      <c r="VOO53" s="113"/>
      <c r="VOP53" s="113"/>
      <c r="VOQ53" s="113"/>
      <c r="VOR53" s="113"/>
      <c r="VOS53" s="113"/>
      <c r="VOT53" s="113"/>
      <c r="VOU53" s="113"/>
      <c r="VOV53" s="113"/>
      <c r="VOW53" s="113"/>
      <c r="VOX53" s="113"/>
      <c r="VOY53" s="113"/>
      <c r="VOZ53" s="113"/>
      <c r="VPA53" s="113"/>
      <c r="VPB53" s="113"/>
      <c r="VPC53" s="113"/>
      <c r="VPD53" s="113"/>
      <c r="VPE53" s="113"/>
      <c r="VPF53" s="113"/>
      <c r="VPG53" s="113"/>
      <c r="VPH53" s="113"/>
      <c r="VPI53" s="113"/>
      <c r="VPJ53" s="113"/>
      <c r="VPK53" s="113"/>
      <c r="VPL53" s="113"/>
      <c r="VPM53" s="113"/>
      <c r="VPN53" s="113"/>
      <c r="VPO53" s="113"/>
      <c r="VPP53" s="113"/>
      <c r="VPQ53" s="113"/>
      <c r="VPR53" s="113"/>
      <c r="VPS53" s="113"/>
      <c r="VPT53" s="113"/>
      <c r="VPU53" s="113"/>
      <c r="VPV53" s="113"/>
      <c r="VPW53" s="113"/>
      <c r="VPX53" s="113"/>
      <c r="VPY53" s="113"/>
      <c r="VPZ53" s="113"/>
      <c r="VQA53" s="113"/>
      <c r="VQB53" s="113"/>
      <c r="VQC53" s="113"/>
      <c r="VQD53" s="113"/>
      <c r="VQE53" s="113"/>
      <c r="VQF53" s="113"/>
      <c r="VQG53" s="113"/>
      <c r="VQH53" s="113"/>
      <c r="VQI53" s="113"/>
      <c r="VQJ53" s="113"/>
      <c r="VQK53" s="113"/>
      <c r="VQL53" s="113"/>
      <c r="VQM53" s="113"/>
      <c r="VQN53" s="113"/>
      <c r="VQO53" s="113"/>
      <c r="VQP53" s="113"/>
      <c r="VQQ53" s="113"/>
      <c r="VQR53" s="113"/>
      <c r="VQS53" s="113"/>
      <c r="VQT53" s="113"/>
      <c r="VQU53" s="113"/>
      <c r="VQV53" s="113"/>
      <c r="VQW53" s="113"/>
      <c r="VQX53" s="113"/>
      <c r="VQY53" s="113"/>
      <c r="VQZ53" s="113"/>
      <c r="VRA53" s="113"/>
      <c r="VRB53" s="113"/>
      <c r="VRC53" s="113"/>
      <c r="VRD53" s="113"/>
      <c r="VRE53" s="113"/>
      <c r="VRF53" s="113"/>
      <c r="VRG53" s="113"/>
      <c r="VRH53" s="113"/>
      <c r="VRI53" s="113"/>
      <c r="VRJ53" s="113"/>
      <c r="VRK53" s="113"/>
      <c r="VRL53" s="113"/>
      <c r="VRM53" s="113"/>
      <c r="VRN53" s="113"/>
      <c r="VRO53" s="113"/>
      <c r="VRP53" s="113"/>
      <c r="VRQ53" s="113"/>
      <c r="VRR53" s="113"/>
      <c r="VRS53" s="113"/>
      <c r="VRT53" s="113"/>
      <c r="VRU53" s="113"/>
      <c r="VRV53" s="113"/>
      <c r="VRW53" s="113"/>
      <c r="VRX53" s="113"/>
      <c r="VRY53" s="113"/>
      <c r="VRZ53" s="113"/>
      <c r="VSA53" s="113"/>
      <c r="VSB53" s="113"/>
      <c r="VSC53" s="113"/>
      <c r="VSD53" s="113"/>
      <c r="VSE53" s="113"/>
      <c r="VSF53" s="113"/>
      <c r="VSG53" s="113"/>
      <c r="VSH53" s="113"/>
      <c r="VSI53" s="113"/>
      <c r="VSJ53" s="113"/>
      <c r="VSK53" s="113"/>
      <c r="VSL53" s="113"/>
      <c r="VSM53" s="113"/>
      <c r="VSN53" s="113"/>
      <c r="VSO53" s="113"/>
      <c r="VSP53" s="113"/>
      <c r="VSQ53" s="113"/>
      <c r="VSR53" s="113"/>
      <c r="VSS53" s="113"/>
      <c r="VST53" s="113"/>
      <c r="VSU53" s="113"/>
      <c r="VSV53" s="113"/>
      <c r="VSW53" s="113"/>
      <c r="VSX53" s="113"/>
      <c r="VSY53" s="113"/>
      <c r="VSZ53" s="113"/>
      <c r="VTA53" s="113"/>
      <c r="VTB53" s="113"/>
      <c r="VTC53" s="113"/>
      <c r="VTD53" s="113"/>
      <c r="VTE53" s="113"/>
      <c r="VTF53" s="113"/>
      <c r="VTG53" s="113"/>
      <c r="VTH53" s="113"/>
      <c r="VTI53" s="113"/>
      <c r="VTJ53" s="113"/>
      <c r="VTK53" s="113"/>
      <c r="VTL53" s="113"/>
      <c r="VTM53" s="113"/>
      <c r="VTN53" s="113"/>
      <c r="VTO53" s="113"/>
      <c r="VTP53" s="113"/>
      <c r="VTQ53" s="113"/>
      <c r="VTR53" s="113"/>
      <c r="VTS53" s="113"/>
      <c r="VTT53" s="113"/>
      <c r="VTU53" s="113"/>
      <c r="VTV53" s="113"/>
      <c r="VTW53" s="113"/>
      <c r="VTX53" s="113"/>
      <c r="VTY53" s="113"/>
      <c r="VTZ53" s="113"/>
      <c r="VUA53" s="113"/>
      <c r="VUB53" s="113"/>
      <c r="VUC53" s="113"/>
      <c r="VUD53" s="113"/>
      <c r="VUE53" s="113"/>
      <c r="VUF53" s="113"/>
      <c r="VUG53" s="113"/>
      <c r="VUH53" s="113"/>
      <c r="VUI53" s="113"/>
      <c r="VUJ53" s="113"/>
      <c r="VUK53" s="113"/>
      <c r="VUL53" s="113"/>
      <c r="VUM53" s="113"/>
      <c r="VUN53" s="113"/>
      <c r="VUO53" s="113"/>
      <c r="VUP53" s="113"/>
      <c r="VUQ53" s="113"/>
      <c r="VUR53" s="113"/>
      <c r="VUS53" s="113"/>
      <c r="VUT53" s="113"/>
      <c r="VUU53" s="113"/>
      <c r="VUV53" s="113"/>
      <c r="VUW53" s="113"/>
      <c r="VUX53" s="113"/>
      <c r="VUY53" s="113"/>
      <c r="VUZ53" s="113"/>
      <c r="VVA53" s="113"/>
      <c r="VVB53" s="113"/>
      <c r="VVC53" s="113"/>
      <c r="VVD53" s="113"/>
      <c r="VVE53" s="113"/>
      <c r="VVF53" s="113"/>
      <c r="VVG53" s="113"/>
      <c r="VVH53" s="113"/>
      <c r="VVI53" s="113"/>
      <c r="VVJ53" s="113"/>
      <c r="VVK53" s="113"/>
      <c r="VVL53" s="113"/>
      <c r="VVM53" s="113"/>
      <c r="VVN53" s="113"/>
      <c r="VVO53" s="113"/>
      <c r="VVP53" s="113"/>
      <c r="VVQ53" s="113"/>
      <c r="VVR53" s="113"/>
      <c r="VVS53" s="113"/>
      <c r="VVT53" s="113"/>
      <c r="VVU53" s="113"/>
      <c r="VVV53" s="113"/>
      <c r="VVW53" s="113"/>
      <c r="VVX53" s="113"/>
      <c r="VVY53" s="113"/>
      <c r="VVZ53" s="113"/>
      <c r="VWA53" s="113"/>
      <c r="VWB53" s="113"/>
      <c r="VWC53" s="113"/>
      <c r="VWD53" s="113"/>
      <c r="VWE53" s="113"/>
      <c r="VWF53" s="113"/>
      <c r="VWG53" s="113"/>
      <c r="VWH53" s="113"/>
      <c r="VWI53" s="113"/>
      <c r="VWJ53" s="113"/>
      <c r="VWK53" s="113"/>
      <c r="VWL53" s="113"/>
      <c r="VWM53" s="113"/>
      <c r="VWN53" s="113"/>
      <c r="VWO53" s="113"/>
      <c r="VWP53" s="113"/>
      <c r="VWQ53" s="113"/>
      <c r="VWR53" s="113"/>
      <c r="VWS53" s="113"/>
      <c r="VWT53" s="113"/>
      <c r="VWU53" s="113"/>
      <c r="VWV53" s="113"/>
      <c r="VWW53" s="113"/>
      <c r="VWX53" s="113"/>
      <c r="VWY53" s="113"/>
      <c r="VWZ53" s="113"/>
      <c r="VXA53" s="113"/>
      <c r="VXB53" s="113"/>
      <c r="VXC53" s="113"/>
      <c r="VXD53" s="113"/>
      <c r="VXE53" s="113"/>
      <c r="VXF53" s="113"/>
      <c r="VXG53" s="113"/>
      <c r="VXH53" s="113"/>
      <c r="VXI53" s="113"/>
      <c r="VXJ53" s="113"/>
      <c r="VXK53" s="113"/>
      <c r="VXL53" s="113"/>
      <c r="VXM53" s="113"/>
      <c r="VXN53" s="113"/>
      <c r="VXO53" s="113"/>
      <c r="VXP53" s="113"/>
      <c r="VXQ53" s="113"/>
      <c r="VXR53" s="113"/>
      <c r="VXS53" s="113"/>
      <c r="VXT53" s="113"/>
      <c r="VXU53" s="113"/>
      <c r="VXV53" s="113"/>
      <c r="VXW53" s="113"/>
      <c r="VXX53" s="113"/>
      <c r="VXY53" s="113"/>
      <c r="VXZ53" s="113"/>
      <c r="VYA53" s="113"/>
      <c r="VYB53" s="113"/>
      <c r="VYC53" s="113"/>
      <c r="VYD53" s="113"/>
      <c r="VYE53" s="113"/>
      <c r="VYF53" s="113"/>
      <c r="VYG53" s="113"/>
      <c r="VYH53" s="113"/>
      <c r="VYI53" s="113"/>
      <c r="VYJ53" s="113"/>
      <c r="VYK53" s="113"/>
      <c r="VYL53" s="113"/>
      <c r="VYM53" s="113"/>
      <c r="VYN53" s="113"/>
      <c r="VYO53" s="113"/>
      <c r="VYP53" s="113"/>
      <c r="VYQ53" s="113"/>
      <c r="VYR53" s="113"/>
      <c r="VYS53" s="113"/>
      <c r="VYT53" s="113"/>
      <c r="VYU53" s="113"/>
      <c r="VYV53" s="113"/>
      <c r="VYW53" s="113"/>
      <c r="VYX53" s="113"/>
      <c r="VYY53" s="113"/>
      <c r="VYZ53" s="113"/>
      <c r="VZA53" s="113"/>
      <c r="VZB53" s="113"/>
      <c r="VZC53" s="113"/>
      <c r="VZD53" s="113"/>
      <c r="VZE53" s="113"/>
      <c r="VZF53" s="113"/>
      <c r="VZG53" s="113"/>
      <c r="VZH53" s="113"/>
      <c r="VZI53" s="113"/>
      <c r="VZJ53" s="113"/>
      <c r="VZK53" s="113"/>
      <c r="VZL53" s="113"/>
      <c r="VZM53" s="113"/>
      <c r="VZN53" s="113"/>
      <c r="VZO53" s="113"/>
      <c r="VZP53" s="113"/>
      <c r="VZQ53" s="113"/>
      <c r="VZR53" s="113"/>
      <c r="VZS53" s="113"/>
      <c r="VZT53" s="113"/>
      <c r="VZU53" s="113"/>
      <c r="VZV53" s="113"/>
      <c r="VZW53" s="113"/>
      <c r="VZX53" s="113"/>
      <c r="VZY53" s="113"/>
      <c r="VZZ53" s="113"/>
      <c r="WAA53" s="113"/>
      <c r="WAB53" s="113"/>
      <c r="WAC53" s="113"/>
      <c r="WAD53" s="113"/>
      <c r="WAE53" s="113"/>
      <c r="WAF53" s="113"/>
      <c r="WAG53" s="113"/>
      <c r="WAH53" s="113"/>
      <c r="WAI53" s="113"/>
      <c r="WAJ53" s="113"/>
      <c r="WAK53" s="113"/>
      <c r="WAL53" s="113"/>
      <c r="WAM53" s="113"/>
      <c r="WAN53" s="113"/>
      <c r="WAO53" s="113"/>
      <c r="WAP53" s="113"/>
      <c r="WAQ53" s="113"/>
      <c r="WAR53" s="113"/>
      <c r="WAS53" s="113"/>
      <c r="WAT53" s="113"/>
      <c r="WAU53" s="113"/>
      <c r="WAV53" s="113"/>
      <c r="WAW53" s="113"/>
      <c r="WAX53" s="113"/>
      <c r="WAY53" s="113"/>
      <c r="WAZ53" s="113"/>
      <c r="WBA53" s="113"/>
      <c r="WBB53" s="113"/>
      <c r="WBC53" s="113"/>
      <c r="WBD53" s="113"/>
      <c r="WBE53" s="113"/>
      <c r="WBF53" s="113"/>
      <c r="WBG53" s="113"/>
      <c r="WBH53" s="113"/>
      <c r="WBI53" s="113"/>
      <c r="WBJ53" s="113"/>
      <c r="WBK53" s="113"/>
      <c r="WBL53" s="113"/>
      <c r="WBM53" s="113"/>
      <c r="WBN53" s="113"/>
      <c r="WBO53" s="113"/>
      <c r="WBP53" s="113"/>
      <c r="WBQ53" s="113"/>
      <c r="WBR53" s="113"/>
      <c r="WBS53" s="113"/>
      <c r="WBT53" s="113"/>
      <c r="WBU53" s="113"/>
      <c r="WBV53" s="113"/>
      <c r="WBW53" s="113"/>
      <c r="WBX53" s="113"/>
      <c r="WBY53" s="113"/>
      <c r="WBZ53" s="113"/>
      <c r="WCA53" s="113"/>
      <c r="WCB53" s="113"/>
      <c r="WCC53" s="113"/>
      <c r="WCD53" s="113"/>
      <c r="WCE53" s="113"/>
      <c r="WCF53" s="113"/>
      <c r="WCG53" s="113"/>
      <c r="WCH53" s="113"/>
      <c r="WCI53" s="113"/>
      <c r="WCJ53" s="113"/>
      <c r="WCK53" s="113"/>
      <c r="WCL53" s="113"/>
      <c r="WCM53" s="113"/>
      <c r="WCN53" s="113"/>
      <c r="WCO53" s="113"/>
      <c r="WCP53" s="113"/>
      <c r="WCQ53" s="113"/>
      <c r="WCR53" s="113"/>
      <c r="WCS53" s="113"/>
      <c r="WCT53" s="113"/>
      <c r="WCU53" s="113"/>
      <c r="WCV53" s="113"/>
      <c r="WCW53" s="113"/>
      <c r="WCX53" s="113"/>
      <c r="WCY53" s="113"/>
      <c r="WCZ53" s="113"/>
      <c r="WDA53" s="113"/>
      <c r="WDB53" s="113"/>
      <c r="WDC53" s="113"/>
      <c r="WDD53" s="113"/>
      <c r="WDE53" s="113"/>
      <c r="WDF53" s="113"/>
      <c r="WDG53" s="113"/>
      <c r="WDH53" s="113"/>
      <c r="WDI53" s="113"/>
      <c r="WDJ53" s="113"/>
      <c r="WDK53" s="113"/>
      <c r="WDL53" s="113"/>
      <c r="WDM53" s="113"/>
      <c r="WDN53" s="113"/>
      <c r="WDO53" s="113"/>
      <c r="WDP53" s="113"/>
      <c r="WDQ53" s="113"/>
      <c r="WDR53" s="113"/>
      <c r="WDS53" s="113"/>
      <c r="WDT53" s="113"/>
      <c r="WDU53" s="113"/>
      <c r="WDV53" s="113"/>
      <c r="WDW53" s="113"/>
      <c r="WDX53" s="113"/>
      <c r="WDY53" s="113"/>
      <c r="WDZ53" s="113"/>
      <c r="WEA53" s="113"/>
      <c r="WEB53" s="113"/>
      <c r="WEC53" s="113"/>
      <c r="WED53" s="113"/>
      <c r="WEE53" s="113"/>
      <c r="WEF53" s="113"/>
      <c r="WEG53" s="113"/>
      <c r="WEH53" s="113"/>
      <c r="WEI53" s="113"/>
      <c r="WEJ53" s="113"/>
      <c r="WEK53" s="113"/>
      <c r="WEL53" s="113"/>
      <c r="WEM53" s="113"/>
      <c r="WEN53" s="113"/>
      <c r="WEO53" s="113"/>
      <c r="WEP53" s="113"/>
      <c r="WEQ53" s="113"/>
      <c r="WER53" s="113"/>
      <c r="WES53" s="113"/>
      <c r="WET53" s="113"/>
      <c r="WEU53" s="113"/>
      <c r="WEV53" s="113"/>
      <c r="WEW53" s="113"/>
      <c r="WEX53" s="113"/>
      <c r="WEY53" s="113"/>
      <c r="WEZ53" s="113"/>
      <c r="WFA53" s="113"/>
      <c r="WFB53" s="113"/>
      <c r="WFC53" s="113"/>
      <c r="WFD53" s="113"/>
      <c r="WFE53" s="113"/>
      <c r="WFF53" s="113"/>
      <c r="WFG53" s="113"/>
      <c r="WFH53" s="113"/>
      <c r="WFI53" s="113"/>
      <c r="WFJ53" s="113"/>
      <c r="WFK53" s="113"/>
      <c r="WFL53" s="113"/>
      <c r="WFM53" s="113"/>
      <c r="WFN53" s="113"/>
      <c r="WFO53" s="113"/>
      <c r="WFP53" s="113"/>
      <c r="WFQ53" s="113"/>
      <c r="WFR53" s="113"/>
      <c r="WFS53" s="113"/>
      <c r="WFT53" s="113"/>
      <c r="WFU53" s="113"/>
      <c r="WFV53" s="113"/>
      <c r="WFW53" s="113"/>
      <c r="WFX53" s="113"/>
      <c r="WFY53" s="113"/>
      <c r="WFZ53" s="113"/>
      <c r="WGA53" s="113"/>
      <c r="WGB53" s="113"/>
      <c r="WGC53" s="113"/>
      <c r="WGD53" s="113"/>
      <c r="WGE53" s="113"/>
      <c r="WGF53" s="113"/>
      <c r="WGG53" s="113"/>
      <c r="WGH53" s="113"/>
      <c r="WGI53" s="113"/>
      <c r="WGJ53" s="113"/>
      <c r="WGK53" s="113"/>
      <c r="WGL53" s="113"/>
      <c r="WGM53" s="113"/>
      <c r="WGN53" s="113"/>
      <c r="WGO53" s="113"/>
      <c r="WGP53" s="113"/>
      <c r="WGQ53" s="113"/>
      <c r="WGR53" s="113"/>
      <c r="WGS53" s="113"/>
      <c r="WGT53" s="113"/>
      <c r="WGU53" s="113"/>
      <c r="WGV53" s="113"/>
      <c r="WGW53" s="113"/>
      <c r="WGX53" s="113"/>
      <c r="WGY53" s="113"/>
      <c r="WGZ53" s="113"/>
      <c r="WHA53" s="113"/>
      <c r="WHB53" s="113"/>
      <c r="WHC53" s="113"/>
      <c r="WHD53" s="113"/>
      <c r="WHE53" s="113"/>
      <c r="WHF53" s="113"/>
      <c r="WHG53" s="113"/>
      <c r="WHH53" s="113"/>
      <c r="WHI53" s="113"/>
      <c r="WHJ53" s="113"/>
      <c r="WHK53" s="113"/>
      <c r="WHL53" s="113"/>
      <c r="WHM53" s="113"/>
      <c r="WHN53" s="113"/>
      <c r="WHO53" s="113"/>
      <c r="WHP53" s="113"/>
      <c r="WHQ53" s="113"/>
      <c r="WHR53" s="113"/>
      <c r="WHS53" s="113"/>
      <c r="WHT53" s="113"/>
      <c r="WHU53" s="113"/>
      <c r="WHV53" s="113"/>
      <c r="WHW53" s="113"/>
      <c r="WHX53" s="113"/>
      <c r="WHY53" s="113"/>
      <c r="WHZ53" s="113"/>
      <c r="WIA53" s="113"/>
      <c r="WIB53" s="113"/>
      <c r="WIC53" s="113"/>
      <c r="WID53" s="113"/>
      <c r="WIE53" s="113"/>
      <c r="WIF53" s="113"/>
      <c r="WIG53" s="113"/>
      <c r="WIH53" s="113"/>
      <c r="WII53" s="113"/>
      <c r="WIJ53" s="113"/>
      <c r="WIK53" s="113"/>
      <c r="WIL53" s="113"/>
      <c r="WIM53" s="113"/>
      <c r="WIN53" s="113"/>
      <c r="WIO53" s="113"/>
      <c r="WIP53" s="113"/>
      <c r="WIQ53" s="113"/>
      <c r="WIR53" s="113"/>
      <c r="WIS53" s="113"/>
      <c r="WIT53" s="113"/>
      <c r="WIU53" s="113"/>
      <c r="WIV53" s="113"/>
      <c r="WIW53" s="113"/>
      <c r="WIX53" s="113"/>
      <c r="WIY53" s="113"/>
      <c r="WIZ53" s="113"/>
      <c r="WJA53" s="113"/>
      <c r="WJB53" s="113"/>
      <c r="WJC53" s="113"/>
      <c r="WJD53" s="113"/>
      <c r="WJE53" s="113"/>
      <c r="WJF53" s="113"/>
      <c r="WJG53" s="113"/>
      <c r="WJH53" s="113"/>
      <c r="WJI53" s="113"/>
      <c r="WJJ53" s="113"/>
      <c r="WJK53" s="113"/>
      <c r="WJL53" s="113"/>
      <c r="WJM53" s="113"/>
      <c r="WJN53" s="113"/>
      <c r="WJO53" s="113"/>
      <c r="WJP53" s="113"/>
      <c r="WJQ53" s="113"/>
      <c r="WJR53" s="113"/>
      <c r="WJS53" s="113"/>
      <c r="WJT53" s="113"/>
      <c r="WJU53" s="113"/>
      <c r="WJV53" s="113"/>
      <c r="WJW53" s="113"/>
      <c r="WJX53" s="113"/>
      <c r="WJY53" s="113"/>
      <c r="WJZ53" s="113"/>
      <c r="WKA53" s="113"/>
      <c r="WKB53" s="113"/>
      <c r="WKC53" s="113"/>
      <c r="WKD53" s="113"/>
      <c r="WKE53" s="113"/>
      <c r="WKF53" s="113"/>
      <c r="WKG53" s="113"/>
      <c r="WKH53" s="113"/>
      <c r="WKI53" s="113"/>
      <c r="WKJ53" s="113"/>
      <c r="WKK53" s="113"/>
      <c r="WKL53" s="113"/>
      <c r="WKM53" s="113"/>
      <c r="WKN53" s="113"/>
      <c r="WKO53" s="113"/>
      <c r="WKP53" s="113"/>
      <c r="WKQ53" s="113"/>
      <c r="WKR53" s="113"/>
      <c r="WKS53" s="113"/>
      <c r="WKT53" s="113"/>
      <c r="WKU53" s="113"/>
      <c r="WKV53" s="113"/>
      <c r="WKW53" s="113"/>
      <c r="WKX53" s="113"/>
      <c r="WKY53" s="113"/>
      <c r="WKZ53" s="113"/>
      <c r="WLA53" s="113"/>
      <c r="WLB53" s="113"/>
      <c r="WLC53" s="113"/>
      <c r="WLD53" s="113"/>
      <c r="WLE53" s="113"/>
      <c r="WLF53" s="113"/>
      <c r="WLG53" s="113"/>
      <c r="WLH53" s="113"/>
      <c r="WLI53" s="113"/>
      <c r="WLJ53" s="113"/>
      <c r="WLK53" s="113"/>
      <c r="WLL53" s="113"/>
      <c r="WLM53" s="113"/>
      <c r="WLN53" s="113"/>
      <c r="WLO53" s="113"/>
      <c r="WLP53" s="113"/>
      <c r="WLQ53" s="113"/>
      <c r="WLR53" s="113"/>
      <c r="WLS53" s="113"/>
      <c r="WLT53" s="113"/>
      <c r="WLU53" s="113"/>
      <c r="WLV53" s="113"/>
      <c r="WLW53" s="113"/>
      <c r="WLX53" s="113"/>
      <c r="WLY53" s="113"/>
      <c r="WLZ53" s="113"/>
      <c r="WMA53" s="113"/>
      <c r="WMB53" s="113"/>
      <c r="WMC53" s="113"/>
      <c r="WMD53" s="113"/>
      <c r="WME53" s="113"/>
      <c r="WMF53" s="113"/>
      <c r="WMG53" s="113"/>
      <c r="WMH53" s="113"/>
      <c r="WMI53" s="113"/>
      <c r="WMJ53" s="113"/>
      <c r="WMK53" s="113"/>
      <c r="WML53" s="113"/>
      <c r="WMM53" s="113"/>
      <c r="WMN53" s="113"/>
      <c r="WMO53" s="113"/>
      <c r="WMP53" s="113"/>
      <c r="WMQ53" s="113"/>
      <c r="WMR53" s="113"/>
      <c r="WMS53" s="113"/>
      <c r="WMT53" s="113"/>
      <c r="WMU53" s="113"/>
      <c r="WMV53" s="113"/>
      <c r="WMW53" s="113"/>
      <c r="WMX53" s="113"/>
      <c r="WMY53" s="113"/>
      <c r="WMZ53" s="113"/>
      <c r="WNA53" s="113"/>
      <c r="WNB53" s="113"/>
      <c r="WNC53" s="113"/>
      <c r="WND53" s="113"/>
      <c r="WNE53" s="113"/>
      <c r="WNF53" s="113"/>
      <c r="WNG53" s="113"/>
      <c r="WNH53" s="113"/>
      <c r="WNI53" s="113"/>
      <c r="WNJ53" s="113"/>
      <c r="WNK53" s="113"/>
      <c r="WNL53" s="113"/>
      <c r="WNM53" s="113"/>
      <c r="WNN53" s="113"/>
      <c r="WNO53" s="113"/>
      <c r="WNP53" s="113"/>
      <c r="WNQ53" s="113"/>
      <c r="WNR53" s="113"/>
      <c r="WNS53" s="113"/>
      <c r="WNT53" s="113"/>
      <c r="WNU53" s="113"/>
      <c r="WNV53" s="113"/>
      <c r="WNW53" s="113"/>
      <c r="WNX53" s="113"/>
      <c r="WNY53" s="113"/>
      <c r="WNZ53" s="113"/>
      <c r="WOA53" s="113"/>
      <c r="WOB53" s="113"/>
      <c r="WOC53" s="113"/>
      <c r="WOD53" s="113"/>
      <c r="WOE53" s="113"/>
      <c r="WOF53" s="113"/>
      <c r="WOG53" s="113"/>
      <c r="WOH53" s="113"/>
      <c r="WOI53" s="113"/>
      <c r="WOJ53" s="113"/>
      <c r="WOK53" s="113"/>
      <c r="WOL53" s="113"/>
      <c r="WOM53" s="113"/>
      <c r="WON53" s="113"/>
      <c r="WOO53" s="113"/>
      <c r="WOP53" s="113"/>
      <c r="WOQ53" s="113"/>
      <c r="WOR53" s="113"/>
      <c r="WOS53" s="113"/>
      <c r="WOT53" s="113"/>
      <c r="WOU53" s="113"/>
      <c r="WOV53" s="113"/>
      <c r="WOW53" s="113"/>
      <c r="WOX53" s="113"/>
      <c r="WOY53" s="113"/>
      <c r="WOZ53" s="113"/>
      <c r="WPA53" s="113"/>
      <c r="WPB53" s="113"/>
      <c r="WPC53" s="113"/>
      <c r="WPD53" s="113"/>
      <c r="WPE53" s="113"/>
      <c r="WPF53" s="113"/>
      <c r="WPG53" s="113"/>
      <c r="WPH53" s="113"/>
      <c r="WPI53" s="113"/>
      <c r="WPJ53" s="113"/>
      <c r="WPK53" s="113"/>
      <c r="WPL53" s="113"/>
      <c r="WPM53" s="113"/>
      <c r="WPN53" s="113"/>
      <c r="WPO53" s="113"/>
      <c r="WPP53" s="113"/>
      <c r="WPQ53" s="113"/>
      <c r="WPR53" s="113"/>
      <c r="WPS53" s="113"/>
      <c r="WPT53" s="113"/>
      <c r="WPU53" s="113"/>
      <c r="WPV53" s="113"/>
      <c r="WPW53" s="113"/>
      <c r="WPX53" s="113"/>
      <c r="WPY53" s="113"/>
      <c r="WPZ53" s="113"/>
      <c r="WQA53" s="113"/>
      <c r="WQB53" s="113"/>
      <c r="WQC53" s="113"/>
      <c r="WQD53" s="113"/>
      <c r="WQE53" s="113"/>
      <c r="WQF53" s="113"/>
      <c r="WQG53" s="113"/>
      <c r="WQH53" s="113"/>
      <c r="WQI53" s="113"/>
      <c r="WQJ53" s="113"/>
      <c r="WQK53" s="113"/>
      <c r="WQL53" s="113"/>
      <c r="WQM53" s="113"/>
      <c r="WQN53" s="113"/>
      <c r="WQO53" s="113"/>
      <c r="WQP53" s="113"/>
      <c r="WQQ53" s="113"/>
      <c r="WQR53" s="113"/>
      <c r="WQS53" s="113"/>
      <c r="WQT53" s="113"/>
      <c r="WQU53" s="113"/>
      <c r="WQV53" s="113"/>
      <c r="WQW53" s="113"/>
      <c r="WQX53" s="113"/>
      <c r="WQY53" s="113"/>
      <c r="WQZ53" s="113"/>
      <c r="WRA53" s="113"/>
      <c r="WRB53" s="113"/>
      <c r="WRC53" s="113"/>
      <c r="WRD53" s="113"/>
      <c r="WRE53" s="113"/>
      <c r="WRF53" s="113"/>
      <c r="WRG53" s="113"/>
      <c r="WRH53" s="113"/>
      <c r="WRI53" s="113"/>
      <c r="WRJ53" s="113"/>
      <c r="WRK53" s="113"/>
      <c r="WRL53" s="113"/>
      <c r="WRM53" s="113"/>
      <c r="WRN53" s="113"/>
      <c r="WRO53" s="113"/>
      <c r="WRP53" s="113"/>
      <c r="WRQ53" s="113"/>
      <c r="WRR53" s="113"/>
      <c r="WRS53" s="113"/>
      <c r="WRT53" s="113"/>
      <c r="WRU53" s="113"/>
      <c r="WRV53" s="113"/>
      <c r="WRW53" s="113"/>
      <c r="WRX53" s="113"/>
      <c r="WRY53" s="113"/>
      <c r="WRZ53" s="113"/>
      <c r="WSA53" s="113"/>
      <c r="WSB53" s="113"/>
      <c r="WSC53" s="113"/>
      <c r="WSD53" s="113"/>
      <c r="WSE53" s="113"/>
      <c r="WSF53" s="113"/>
      <c r="WSG53" s="113"/>
      <c r="WSH53" s="113"/>
      <c r="WSI53" s="113"/>
      <c r="WSJ53" s="113"/>
      <c r="WSK53" s="113"/>
      <c r="WSL53" s="113"/>
      <c r="WSM53" s="113"/>
      <c r="WSN53" s="113"/>
      <c r="WSO53" s="113"/>
      <c r="WSP53" s="113"/>
      <c r="WSQ53" s="113"/>
      <c r="WSR53" s="113"/>
      <c r="WSS53" s="113"/>
      <c r="WST53" s="113"/>
      <c r="WSU53" s="113"/>
      <c r="WSV53" s="113"/>
      <c r="WSW53" s="113"/>
      <c r="WSX53" s="113"/>
      <c r="WSY53" s="113"/>
      <c r="WSZ53" s="113"/>
      <c r="WTA53" s="113"/>
      <c r="WTB53" s="113"/>
      <c r="WTC53" s="113"/>
      <c r="WTD53" s="113"/>
      <c r="WTE53" s="113"/>
      <c r="WTF53" s="113"/>
      <c r="WTG53" s="113"/>
      <c r="WTH53" s="113"/>
      <c r="WTI53" s="113"/>
      <c r="WTJ53" s="113"/>
      <c r="WTK53" s="113"/>
      <c r="WTL53" s="113"/>
      <c r="WTM53" s="113"/>
      <c r="WTN53" s="113"/>
      <c r="WTO53" s="113"/>
      <c r="WTP53" s="113"/>
      <c r="WTQ53" s="113"/>
      <c r="WTR53" s="113"/>
      <c r="WTS53" s="113"/>
      <c r="WTT53" s="113"/>
      <c r="WTU53" s="113"/>
      <c r="WTV53" s="113"/>
      <c r="WTW53" s="113"/>
      <c r="WTX53" s="113"/>
      <c r="WTY53" s="113"/>
      <c r="WTZ53" s="113"/>
      <c r="WUA53" s="113"/>
      <c r="WUB53" s="113"/>
      <c r="WUC53" s="113"/>
      <c r="WUD53" s="113"/>
      <c r="WUE53" s="113"/>
      <c r="WUF53" s="113"/>
      <c r="WUG53" s="113"/>
      <c r="WUH53" s="113"/>
      <c r="WUI53" s="113"/>
      <c r="WUJ53" s="113"/>
      <c r="WUK53" s="113"/>
      <c r="WUL53" s="113"/>
      <c r="WUM53" s="113"/>
      <c r="WUN53" s="113"/>
      <c r="WUO53" s="113"/>
      <c r="WUP53" s="113"/>
      <c r="WUQ53" s="113"/>
      <c r="WUR53" s="113"/>
      <c r="WUS53" s="113"/>
      <c r="WUT53" s="113"/>
      <c r="WUU53" s="113"/>
      <c r="WUV53" s="113"/>
      <c r="WUW53" s="113"/>
      <c r="WUX53" s="113"/>
      <c r="WUY53" s="113"/>
      <c r="WUZ53" s="113"/>
      <c r="WVA53" s="113"/>
      <c r="WVB53" s="113"/>
      <c r="WVC53" s="113"/>
      <c r="WVD53" s="113"/>
      <c r="WVE53" s="113"/>
      <c r="WVF53" s="113"/>
      <c r="WVG53" s="113"/>
      <c r="WVH53" s="113"/>
      <c r="WVI53" s="113"/>
      <c r="WVJ53" s="113"/>
      <c r="WVK53" s="113"/>
      <c r="WVL53" s="113"/>
      <c r="WVM53" s="113"/>
      <c r="WVN53" s="113"/>
      <c r="WVO53" s="113"/>
      <c r="WVP53" s="113"/>
      <c r="WVQ53" s="113"/>
      <c r="WVR53" s="113"/>
      <c r="WVS53" s="113"/>
      <c r="WVT53" s="113"/>
      <c r="WVU53" s="113"/>
      <c r="WVV53" s="113"/>
      <c r="WVW53" s="113"/>
      <c r="WVX53" s="113"/>
      <c r="WVY53" s="113"/>
      <c r="WVZ53" s="113"/>
      <c r="WWA53" s="113"/>
      <c r="WWB53" s="113"/>
      <c r="WWC53" s="113"/>
      <c r="WWD53" s="113"/>
      <c r="WWE53" s="113"/>
      <c r="WWF53" s="113"/>
      <c r="WWG53" s="113"/>
      <c r="WWH53" s="113"/>
      <c r="WWI53" s="113"/>
      <c r="WWJ53" s="113"/>
      <c r="WWK53" s="113"/>
      <c r="WWL53" s="113"/>
      <c r="WWM53" s="113"/>
      <c r="WWN53" s="113"/>
      <c r="WWO53" s="113"/>
      <c r="WWP53" s="113"/>
      <c r="WWQ53" s="113"/>
      <c r="WWR53" s="113"/>
      <c r="WWS53" s="113"/>
      <c r="WWT53" s="113"/>
      <c r="WWU53" s="113"/>
      <c r="WWV53" s="113"/>
      <c r="WWW53" s="113"/>
      <c r="WWX53" s="113"/>
      <c r="WWY53" s="113"/>
      <c r="WWZ53" s="113"/>
      <c r="WXA53" s="113"/>
      <c r="WXB53" s="113"/>
      <c r="WXC53" s="113"/>
      <c r="WXD53" s="113"/>
      <c r="WXE53" s="113"/>
      <c r="WXF53" s="113"/>
      <c r="WXG53" s="113"/>
      <c r="WXH53" s="113"/>
      <c r="WXI53" s="113"/>
      <c r="WXJ53" s="113"/>
      <c r="WXK53" s="113"/>
      <c r="WXL53" s="113"/>
      <c r="WXM53" s="113"/>
      <c r="WXN53" s="113"/>
      <c r="WXO53" s="113"/>
      <c r="WXP53" s="113"/>
      <c r="WXQ53" s="113"/>
      <c r="WXR53" s="113"/>
      <c r="WXS53" s="113"/>
      <c r="WXT53" s="113"/>
      <c r="WXU53" s="113"/>
      <c r="WXV53" s="113"/>
      <c r="WXW53" s="113"/>
      <c r="WXX53" s="113"/>
      <c r="WXY53" s="113"/>
      <c r="WXZ53" s="113"/>
      <c r="WYA53" s="113"/>
      <c r="WYB53" s="113"/>
      <c r="WYC53" s="113"/>
      <c r="WYD53" s="113"/>
      <c r="WYE53" s="113"/>
      <c r="WYF53" s="113"/>
      <c r="WYG53" s="113"/>
      <c r="WYH53" s="113"/>
      <c r="WYI53" s="113"/>
      <c r="WYJ53" s="113"/>
      <c r="WYK53" s="113"/>
      <c r="WYL53" s="113"/>
      <c r="WYM53" s="113"/>
      <c r="WYN53" s="113"/>
      <c r="WYO53" s="113"/>
      <c r="WYP53" s="113"/>
      <c r="WYQ53" s="113"/>
      <c r="WYR53" s="113"/>
      <c r="WYS53" s="113"/>
      <c r="WYT53" s="113"/>
      <c r="WYU53" s="113"/>
      <c r="WYV53" s="113"/>
      <c r="WYW53" s="113"/>
      <c r="WYX53" s="113"/>
      <c r="WYY53" s="113"/>
      <c r="WYZ53" s="113"/>
      <c r="WZA53" s="113"/>
      <c r="WZB53" s="113"/>
      <c r="WZC53" s="113"/>
      <c r="WZD53" s="113"/>
      <c r="WZE53" s="113"/>
      <c r="WZF53" s="113"/>
      <c r="WZG53" s="113"/>
      <c r="WZH53" s="113"/>
      <c r="WZI53" s="113"/>
      <c r="WZJ53" s="113"/>
      <c r="WZK53" s="113"/>
      <c r="WZL53" s="113"/>
      <c r="WZM53" s="113"/>
      <c r="WZN53" s="113"/>
      <c r="WZO53" s="113"/>
      <c r="WZP53" s="113"/>
      <c r="WZQ53" s="113"/>
      <c r="WZR53" s="113"/>
      <c r="WZS53" s="113"/>
      <c r="WZT53" s="113"/>
      <c r="WZU53" s="113"/>
      <c r="WZV53" s="113"/>
      <c r="WZW53" s="113"/>
      <c r="WZX53" s="113"/>
      <c r="WZY53" s="113"/>
      <c r="WZZ53" s="113"/>
      <c r="XAA53" s="113"/>
      <c r="XAB53" s="113"/>
      <c r="XAC53" s="113"/>
      <c r="XAD53" s="113"/>
      <c r="XAE53" s="113"/>
      <c r="XAF53" s="113"/>
      <c r="XAG53" s="113"/>
      <c r="XAH53" s="113"/>
      <c r="XAI53" s="113"/>
      <c r="XAJ53" s="113"/>
      <c r="XAK53" s="113"/>
      <c r="XAL53" s="113"/>
      <c r="XAM53" s="113"/>
      <c r="XAN53" s="113"/>
      <c r="XAO53" s="113"/>
      <c r="XAP53" s="113"/>
      <c r="XAQ53" s="113"/>
      <c r="XAR53" s="113"/>
      <c r="XAS53" s="113"/>
      <c r="XAT53" s="113"/>
      <c r="XAU53" s="113"/>
      <c r="XAV53" s="113"/>
      <c r="XAW53" s="113"/>
      <c r="XAX53" s="113"/>
      <c r="XAY53" s="113"/>
      <c r="XAZ53" s="113"/>
      <c r="XBA53" s="113"/>
      <c r="XBB53" s="113"/>
      <c r="XBC53" s="113"/>
      <c r="XBD53" s="113"/>
      <c r="XBE53" s="113"/>
      <c r="XBF53" s="113"/>
      <c r="XBG53" s="113"/>
      <c r="XBH53" s="113"/>
      <c r="XBI53" s="113"/>
      <c r="XBJ53" s="113"/>
      <c r="XBK53" s="113"/>
      <c r="XBL53" s="113"/>
      <c r="XBM53" s="113"/>
      <c r="XBN53" s="113"/>
      <c r="XBO53" s="113"/>
      <c r="XBP53" s="113"/>
      <c r="XBQ53" s="113"/>
      <c r="XBR53" s="113"/>
      <c r="XBS53" s="113"/>
      <c r="XBT53" s="113"/>
      <c r="XBU53" s="113"/>
      <c r="XBV53" s="113"/>
      <c r="XBW53" s="113"/>
      <c r="XBX53" s="113"/>
      <c r="XBY53" s="113"/>
      <c r="XBZ53" s="113"/>
      <c r="XCA53" s="113"/>
      <c r="XCB53" s="113"/>
      <c r="XCC53" s="113"/>
      <c r="XCD53" s="113"/>
      <c r="XCE53" s="113"/>
      <c r="XCF53" s="113"/>
      <c r="XCG53" s="113"/>
      <c r="XCH53" s="113"/>
      <c r="XCI53" s="113"/>
      <c r="XCJ53" s="113"/>
      <c r="XCK53" s="113"/>
      <c r="XCL53" s="113"/>
      <c r="XCM53" s="113"/>
      <c r="XCN53" s="113"/>
      <c r="XCO53" s="113"/>
      <c r="XCP53" s="113"/>
      <c r="XCQ53" s="113"/>
      <c r="XCR53" s="113"/>
      <c r="XCS53" s="113"/>
      <c r="XCT53" s="113"/>
      <c r="XCU53" s="113"/>
      <c r="XCV53" s="113"/>
      <c r="XCW53" s="113"/>
      <c r="XCX53" s="113"/>
      <c r="XCY53" s="113"/>
      <c r="XCZ53" s="113"/>
      <c r="XDA53" s="113"/>
      <c r="XDB53" s="113"/>
      <c r="XDC53" s="113"/>
      <c r="XDD53" s="113"/>
      <c r="XDE53" s="113"/>
      <c r="XDF53" s="113"/>
      <c r="XDG53" s="113"/>
      <c r="XDH53" s="113"/>
      <c r="XDI53" s="113"/>
      <c r="XDJ53" s="113"/>
      <c r="XDK53" s="113"/>
      <c r="XDL53" s="113"/>
      <c r="XDM53" s="113"/>
      <c r="XDN53" s="113"/>
      <c r="XDO53" s="113"/>
      <c r="XDP53" s="113"/>
      <c r="XDQ53" s="113"/>
      <c r="XDR53" s="113"/>
      <c r="XDS53" s="113"/>
      <c r="XDT53" s="113"/>
      <c r="XDU53" s="113"/>
      <c r="XDV53" s="113"/>
      <c r="XDW53" s="113"/>
      <c r="XDX53" s="113"/>
      <c r="XDY53" s="113"/>
      <c r="XDZ53" s="113"/>
      <c r="XEA53" s="113"/>
      <c r="XEB53" s="113"/>
      <c r="XEC53" s="113"/>
      <c r="XED53" s="113"/>
      <c r="XEE53" s="113"/>
      <c r="XEF53" s="113"/>
      <c r="XEG53" s="113"/>
      <c r="XEH53" s="113"/>
      <c r="XEI53" s="113"/>
      <c r="XEJ53" s="113"/>
      <c r="XEK53" s="113"/>
      <c r="XEL53" s="113"/>
      <c r="XEM53" s="113"/>
      <c r="XEN53" s="113"/>
      <c r="XEO53" s="113"/>
      <c r="XEP53" s="113"/>
      <c r="XEQ53" s="113"/>
      <c r="XER53" s="113"/>
      <c r="XES53" s="113"/>
      <c r="XET53" s="113"/>
      <c r="XEU53" s="113"/>
      <c r="XEV53" s="113"/>
      <c r="XEW53" s="113"/>
      <c r="XEX53" s="113"/>
      <c r="XEY53" s="113"/>
      <c r="XEZ53" s="113"/>
      <c r="XFA53" s="113"/>
      <c r="XFB53" s="113"/>
      <c r="XFC53" s="113"/>
      <c r="XFD53" s="113"/>
    </row>
    <row r="54" spans="1:16384" customFormat="1" ht="18.25" customHeight="1" x14ac:dyDescent="0.2">
      <c r="A54" s="113" t="s">
        <v>564</v>
      </c>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c r="AO54" s="113"/>
      <c r="AP54" s="113"/>
      <c r="AQ54" s="113"/>
      <c r="AR54" s="113"/>
      <c r="AS54" s="113"/>
      <c r="AT54" s="113"/>
      <c r="AU54" s="113"/>
      <c r="AV54" s="113"/>
      <c r="AW54" s="113"/>
      <c r="AX54" s="113"/>
      <c r="AY54" s="113"/>
      <c r="AZ54" s="113"/>
      <c r="BA54" s="113"/>
      <c r="BB54" s="113"/>
      <c r="BC54" s="113"/>
      <c r="BD54" s="113"/>
      <c r="BE54" s="113"/>
      <c r="BF54" s="113"/>
      <c r="BG54" s="113"/>
      <c r="BH54" s="113"/>
      <c r="BI54" s="113"/>
      <c r="BJ54" s="113"/>
      <c r="BK54" s="113"/>
      <c r="BL54" s="113"/>
      <c r="BM54" s="113"/>
      <c r="BN54" s="113"/>
      <c r="BO54" s="113"/>
      <c r="BP54" s="113"/>
      <c r="BQ54" s="113"/>
      <c r="BR54" s="113"/>
      <c r="BS54" s="113"/>
      <c r="BT54" s="113"/>
      <c r="BU54" s="113"/>
      <c r="BV54" s="113"/>
      <c r="BW54" s="113"/>
      <c r="BX54" s="113"/>
      <c r="BY54" s="113"/>
      <c r="BZ54" s="113"/>
      <c r="CA54" s="113"/>
      <c r="CB54" s="113"/>
      <c r="CC54" s="113"/>
      <c r="CD54" s="113"/>
      <c r="CE54" s="113"/>
      <c r="CF54" s="113"/>
      <c r="CG54" s="113"/>
      <c r="CH54" s="113"/>
      <c r="CI54" s="113"/>
      <c r="CJ54" s="113"/>
      <c r="CK54" s="113"/>
      <c r="CL54" s="113"/>
      <c r="CM54" s="113"/>
      <c r="CN54" s="113"/>
      <c r="CO54" s="113"/>
      <c r="CP54" s="113"/>
      <c r="CQ54" s="113"/>
      <c r="CR54" s="113"/>
      <c r="CS54" s="113"/>
      <c r="CT54" s="113"/>
      <c r="CU54" s="113"/>
      <c r="CV54" s="113"/>
      <c r="CW54" s="113"/>
      <c r="CX54" s="113"/>
      <c r="CY54" s="113"/>
      <c r="CZ54" s="113"/>
      <c r="DA54" s="113"/>
      <c r="DB54" s="113"/>
      <c r="DC54" s="113"/>
      <c r="DD54" s="113"/>
      <c r="DE54" s="113"/>
      <c r="DF54" s="113"/>
      <c r="DG54" s="113"/>
      <c r="DH54" s="113"/>
      <c r="DI54" s="113"/>
      <c r="DJ54" s="113"/>
      <c r="DK54" s="113"/>
      <c r="DL54" s="113"/>
      <c r="DM54" s="113"/>
      <c r="DN54" s="113"/>
      <c r="DO54" s="113"/>
      <c r="DP54" s="113"/>
      <c r="DQ54" s="113"/>
      <c r="DR54" s="113"/>
      <c r="DS54" s="113"/>
      <c r="DT54" s="113"/>
      <c r="DU54" s="113"/>
      <c r="DV54" s="113"/>
      <c r="DW54" s="113"/>
      <c r="DX54" s="113"/>
      <c r="DY54" s="113"/>
      <c r="DZ54" s="113"/>
      <c r="EA54" s="113"/>
      <c r="EB54" s="113"/>
      <c r="EC54" s="113"/>
      <c r="ED54" s="113"/>
      <c r="EE54" s="113"/>
      <c r="EF54" s="113"/>
      <c r="EG54" s="113"/>
      <c r="EH54" s="113"/>
      <c r="EI54" s="113"/>
      <c r="EJ54" s="113"/>
      <c r="EK54" s="113"/>
      <c r="EL54" s="113"/>
      <c r="EM54" s="113"/>
      <c r="EN54" s="113"/>
      <c r="EO54" s="113"/>
      <c r="EP54" s="113"/>
      <c r="EQ54" s="113"/>
      <c r="ER54" s="113"/>
      <c r="ES54" s="113"/>
      <c r="ET54" s="113"/>
      <c r="EU54" s="113"/>
      <c r="EV54" s="113"/>
      <c r="EW54" s="113"/>
      <c r="EX54" s="113"/>
      <c r="EY54" s="113"/>
      <c r="EZ54" s="113"/>
      <c r="FA54" s="113"/>
      <c r="FB54" s="113"/>
      <c r="FC54" s="113"/>
      <c r="FD54" s="113"/>
      <c r="FE54" s="113"/>
      <c r="FF54" s="113"/>
      <c r="FG54" s="113"/>
      <c r="FH54" s="113"/>
      <c r="FI54" s="113"/>
      <c r="FJ54" s="113"/>
      <c r="FK54" s="113"/>
      <c r="FL54" s="113"/>
      <c r="FM54" s="113"/>
      <c r="FN54" s="113"/>
      <c r="FO54" s="113"/>
      <c r="FP54" s="113"/>
      <c r="FQ54" s="113"/>
      <c r="FR54" s="113"/>
      <c r="FS54" s="113"/>
      <c r="FT54" s="113"/>
      <c r="FU54" s="113"/>
      <c r="FV54" s="113"/>
      <c r="FW54" s="113"/>
      <c r="FX54" s="113"/>
      <c r="FY54" s="113"/>
      <c r="FZ54" s="113"/>
      <c r="GA54" s="113"/>
      <c r="GB54" s="113"/>
      <c r="GC54" s="113"/>
      <c r="GD54" s="113"/>
      <c r="GE54" s="113"/>
      <c r="GF54" s="113"/>
      <c r="GG54" s="113"/>
      <c r="GH54" s="113"/>
      <c r="GI54" s="113"/>
      <c r="GJ54" s="113"/>
      <c r="GK54" s="113"/>
      <c r="GL54" s="113"/>
      <c r="GM54" s="113"/>
      <c r="GN54" s="113"/>
      <c r="GO54" s="113"/>
      <c r="GP54" s="113"/>
      <c r="GQ54" s="113"/>
      <c r="GR54" s="113"/>
      <c r="GS54" s="113"/>
      <c r="GT54" s="113"/>
      <c r="GU54" s="113"/>
      <c r="GV54" s="113"/>
      <c r="GW54" s="113"/>
      <c r="GX54" s="113"/>
      <c r="GY54" s="113"/>
      <c r="GZ54" s="113"/>
      <c r="HA54" s="113"/>
      <c r="HB54" s="113"/>
      <c r="HC54" s="113"/>
      <c r="HD54" s="113"/>
      <c r="HE54" s="113"/>
      <c r="HF54" s="113"/>
      <c r="HG54" s="113"/>
      <c r="HH54" s="113"/>
      <c r="HI54" s="113"/>
      <c r="HJ54" s="113"/>
      <c r="HK54" s="113"/>
      <c r="HL54" s="113"/>
      <c r="HM54" s="113"/>
      <c r="HN54" s="113"/>
      <c r="HO54" s="113"/>
      <c r="HP54" s="113"/>
      <c r="HQ54" s="113"/>
      <c r="HR54" s="113"/>
      <c r="HS54" s="113"/>
      <c r="HT54" s="113"/>
      <c r="HU54" s="113"/>
      <c r="HV54" s="113"/>
      <c r="HW54" s="113"/>
      <c r="HX54" s="113"/>
      <c r="HY54" s="113"/>
      <c r="HZ54" s="113"/>
      <c r="IA54" s="113"/>
      <c r="IB54" s="113"/>
      <c r="IC54" s="113"/>
      <c r="ID54" s="113"/>
      <c r="IE54" s="113"/>
      <c r="IF54" s="113"/>
      <c r="IG54" s="113"/>
      <c r="IH54" s="113"/>
      <c r="II54" s="113"/>
      <c r="IJ54" s="113"/>
      <c r="IK54" s="113"/>
      <c r="IL54" s="113"/>
      <c r="IM54" s="113"/>
      <c r="IN54" s="113"/>
      <c r="IO54" s="113"/>
      <c r="IP54" s="113"/>
      <c r="IQ54" s="113"/>
      <c r="IR54" s="113"/>
      <c r="IS54" s="113"/>
      <c r="IT54" s="113"/>
      <c r="IU54" s="113"/>
      <c r="IV54" s="113"/>
      <c r="IW54" s="113"/>
      <c r="IX54" s="113"/>
      <c r="IY54" s="113"/>
      <c r="IZ54" s="113"/>
      <c r="JA54" s="113"/>
      <c r="JB54" s="113"/>
      <c r="JC54" s="113"/>
      <c r="JD54" s="113"/>
      <c r="JE54" s="113"/>
      <c r="JF54" s="113"/>
      <c r="JG54" s="113"/>
      <c r="JH54" s="113"/>
      <c r="JI54" s="113"/>
      <c r="JJ54" s="113"/>
      <c r="JK54" s="113"/>
      <c r="JL54" s="113"/>
      <c r="JM54" s="113"/>
      <c r="JN54" s="113"/>
      <c r="JO54" s="113"/>
      <c r="JP54" s="113"/>
      <c r="JQ54" s="113"/>
      <c r="JR54" s="113"/>
      <c r="JS54" s="113"/>
      <c r="JT54" s="113"/>
      <c r="JU54" s="113"/>
      <c r="JV54" s="113"/>
      <c r="JW54" s="113"/>
      <c r="JX54" s="113"/>
      <c r="JY54" s="113"/>
      <c r="JZ54" s="113"/>
      <c r="KA54" s="113"/>
      <c r="KB54" s="113"/>
      <c r="KC54" s="113"/>
      <c r="KD54" s="113"/>
      <c r="KE54" s="113"/>
      <c r="KF54" s="113"/>
      <c r="KG54" s="113"/>
      <c r="KH54" s="113"/>
      <c r="KI54" s="113"/>
      <c r="KJ54" s="113"/>
      <c r="KK54" s="113"/>
      <c r="KL54" s="113"/>
      <c r="KM54" s="113"/>
      <c r="KN54" s="113"/>
      <c r="KO54" s="113"/>
      <c r="KP54" s="113"/>
      <c r="KQ54" s="113"/>
      <c r="KR54" s="113"/>
      <c r="KS54" s="113"/>
      <c r="KT54" s="113"/>
      <c r="KU54" s="113"/>
      <c r="KV54" s="113"/>
      <c r="KW54" s="113"/>
      <c r="KX54" s="113"/>
      <c r="KY54" s="113"/>
      <c r="KZ54" s="113"/>
      <c r="LA54" s="113"/>
      <c r="LB54" s="113"/>
      <c r="LC54" s="113"/>
      <c r="LD54" s="113"/>
      <c r="LE54" s="113"/>
      <c r="LF54" s="113"/>
      <c r="LG54" s="113"/>
      <c r="LH54" s="113"/>
      <c r="LI54" s="113"/>
      <c r="LJ54" s="113"/>
      <c r="LK54" s="113"/>
      <c r="LL54" s="113"/>
      <c r="LM54" s="113"/>
      <c r="LN54" s="113"/>
      <c r="LO54" s="113"/>
      <c r="LP54" s="113"/>
      <c r="LQ54" s="113"/>
      <c r="LR54" s="113"/>
      <c r="LS54" s="113"/>
      <c r="LT54" s="113"/>
      <c r="LU54" s="113"/>
      <c r="LV54" s="113"/>
      <c r="LW54" s="113"/>
      <c r="LX54" s="113"/>
      <c r="LY54" s="113"/>
      <c r="LZ54" s="113"/>
      <c r="MA54" s="113"/>
      <c r="MB54" s="113"/>
      <c r="MC54" s="113"/>
      <c r="MD54" s="113"/>
      <c r="ME54" s="113"/>
      <c r="MF54" s="113"/>
      <c r="MG54" s="113"/>
      <c r="MH54" s="113"/>
      <c r="MI54" s="113"/>
      <c r="MJ54" s="113"/>
      <c r="MK54" s="113"/>
      <c r="ML54" s="113"/>
      <c r="MM54" s="113"/>
      <c r="MN54" s="113"/>
      <c r="MO54" s="113"/>
      <c r="MP54" s="113"/>
      <c r="MQ54" s="113"/>
      <c r="MR54" s="113"/>
      <c r="MS54" s="113"/>
      <c r="MT54" s="113"/>
      <c r="MU54" s="113"/>
      <c r="MV54" s="113"/>
      <c r="MW54" s="113"/>
      <c r="MX54" s="113"/>
      <c r="MY54" s="113"/>
      <c r="MZ54" s="113"/>
      <c r="NA54" s="113"/>
      <c r="NB54" s="113"/>
      <c r="NC54" s="113"/>
      <c r="ND54" s="113"/>
      <c r="NE54" s="113"/>
      <c r="NF54" s="113"/>
      <c r="NG54" s="113"/>
      <c r="NH54" s="113"/>
      <c r="NI54" s="113"/>
      <c r="NJ54" s="113"/>
      <c r="NK54" s="113"/>
      <c r="NL54" s="113"/>
      <c r="NM54" s="113"/>
      <c r="NN54" s="113"/>
      <c r="NO54" s="113"/>
      <c r="NP54" s="113"/>
      <c r="NQ54" s="113"/>
      <c r="NR54" s="113"/>
      <c r="NS54" s="113"/>
      <c r="NT54" s="113"/>
      <c r="NU54" s="113"/>
      <c r="NV54" s="113"/>
      <c r="NW54" s="113"/>
      <c r="NX54" s="113"/>
      <c r="NY54" s="113"/>
      <c r="NZ54" s="113"/>
      <c r="OA54" s="113"/>
      <c r="OB54" s="113"/>
      <c r="OC54" s="113"/>
      <c r="OD54" s="113"/>
      <c r="OE54" s="113"/>
      <c r="OF54" s="113"/>
      <c r="OG54" s="113"/>
      <c r="OH54" s="113"/>
      <c r="OI54" s="113"/>
      <c r="OJ54" s="113"/>
      <c r="OK54" s="113"/>
      <c r="OL54" s="113"/>
      <c r="OM54" s="113"/>
      <c r="ON54" s="113"/>
      <c r="OO54" s="113"/>
      <c r="OP54" s="113"/>
      <c r="OQ54" s="113"/>
      <c r="OR54" s="113"/>
      <c r="OS54" s="113"/>
      <c r="OT54" s="113"/>
      <c r="OU54" s="113"/>
      <c r="OV54" s="113"/>
      <c r="OW54" s="113"/>
      <c r="OX54" s="113"/>
      <c r="OY54" s="113"/>
      <c r="OZ54" s="113"/>
      <c r="PA54" s="113"/>
      <c r="PB54" s="113"/>
      <c r="PC54" s="113"/>
      <c r="PD54" s="113"/>
      <c r="PE54" s="113"/>
      <c r="PF54" s="113"/>
      <c r="PG54" s="113"/>
      <c r="PH54" s="113"/>
      <c r="PI54" s="113"/>
      <c r="PJ54" s="113"/>
      <c r="PK54" s="113"/>
      <c r="PL54" s="113"/>
      <c r="PM54" s="113"/>
      <c r="PN54" s="113"/>
      <c r="PO54" s="113"/>
      <c r="PP54" s="113"/>
      <c r="PQ54" s="113"/>
      <c r="PR54" s="113"/>
      <c r="PS54" s="113"/>
      <c r="PT54" s="113"/>
      <c r="PU54" s="113"/>
      <c r="PV54" s="113"/>
      <c r="PW54" s="113"/>
      <c r="PX54" s="113"/>
      <c r="PY54" s="113"/>
      <c r="PZ54" s="113"/>
      <c r="QA54" s="113"/>
      <c r="QB54" s="113"/>
      <c r="QC54" s="113"/>
      <c r="QD54" s="113"/>
      <c r="QE54" s="113"/>
      <c r="QF54" s="113"/>
      <c r="QG54" s="113"/>
      <c r="QH54" s="113"/>
      <c r="QI54" s="113"/>
      <c r="QJ54" s="113"/>
      <c r="QK54" s="113"/>
      <c r="QL54" s="113"/>
      <c r="QM54" s="113"/>
      <c r="QN54" s="113"/>
      <c r="QO54" s="113"/>
      <c r="QP54" s="113"/>
      <c r="QQ54" s="113"/>
      <c r="QR54" s="113"/>
      <c r="QS54" s="113"/>
      <c r="QT54" s="113"/>
      <c r="QU54" s="113"/>
      <c r="QV54" s="113"/>
      <c r="QW54" s="113"/>
      <c r="QX54" s="113"/>
      <c r="QY54" s="113"/>
      <c r="QZ54" s="113"/>
      <c r="RA54" s="113"/>
      <c r="RB54" s="113"/>
      <c r="RC54" s="113"/>
      <c r="RD54" s="113"/>
      <c r="RE54" s="113"/>
      <c r="RF54" s="113"/>
      <c r="RG54" s="113"/>
      <c r="RH54" s="113"/>
      <c r="RI54" s="113"/>
      <c r="RJ54" s="113"/>
      <c r="RK54" s="113"/>
      <c r="RL54" s="113"/>
      <c r="RM54" s="113"/>
      <c r="RN54" s="113"/>
      <c r="RO54" s="113"/>
      <c r="RP54" s="113"/>
      <c r="RQ54" s="113"/>
      <c r="RR54" s="113"/>
      <c r="RS54" s="113"/>
      <c r="RT54" s="113"/>
      <c r="RU54" s="113"/>
      <c r="RV54" s="113"/>
      <c r="RW54" s="113"/>
      <c r="RX54" s="113"/>
      <c r="RY54" s="113"/>
      <c r="RZ54" s="113"/>
      <c r="SA54" s="113"/>
      <c r="SB54" s="113"/>
      <c r="SC54" s="113"/>
      <c r="SD54" s="113"/>
      <c r="SE54" s="113"/>
      <c r="SF54" s="113"/>
      <c r="SG54" s="113"/>
      <c r="SH54" s="113"/>
      <c r="SI54" s="113"/>
      <c r="SJ54" s="113"/>
      <c r="SK54" s="113"/>
      <c r="SL54" s="113"/>
      <c r="SM54" s="113"/>
      <c r="SN54" s="113"/>
      <c r="SO54" s="113"/>
      <c r="SP54" s="113"/>
      <c r="SQ54" s="113"/>
      <c r="SR54" s="113"/>
      <c r="SS54" s="113"/>
      <c r="ST54" s="113"/>
      <c r="SU54" s="113"/>
      <c r="SV54" s="113"/>
      <c r="SW54" s="113"/>
      <c r="SX54" s="113"/>
      <c r="SY54" s="113"/>
      <c r="SZ54" s="113"/>
      <c r="TA54" s="113"/>
      <c r="TB54" s="113"/>
      <c r="TC54" s="113"/>
      <c r="TD54" s="113"/>
      <c r="TE54" s="113"/>
      <c r="TF54" s="113"/>
      <c r="TG54" s="113"/>
      <c r="TH54" s="113"/>
      <c r="TI54" s="113"/>
      <c r="TJ54" s="113"/>
      <c r="TK54" s="113"/>
      <c r="TL54" s="113"/>
      <c r="TM54" s="113"/>
      <c r="TN54" s="113"/>
      <c r="TO54" s="113"/>
      <c r="TP54" s="113"/>
      <c r="TQ54" s="113"/>
      <c r="TR54" s="113"/>
      <c r="TS54" s="113"/>
      <c r="TT54" s="113"/>
      <c r="TU54" s="113"/>
      <c r="TV54" s="113"/>
      <c r="TW54" s="113"/>
      <c r="TX54" s="113"/>
      <c r="TY54" s="113"/>
      <c r="TZ54" s="113"/>
      <c r="UA54" s="113"/>
      <c r="UB54" s="113"/>
      <c r="UC54" s="113"/>
      <c r="UD54" s="113"/>
      <c r="UE54" s="113"/>
      <c r="UF54" s="113"/>
      <c r="UG54" s="113"/>
      <c r="UH54" s="113"/>
      <c r="UI54" s="113"/>
      <c r="UJ54" s="113"/>
      <c r="UK54" s="113"/>
      <c r="UL54" s="113"/>
      <c r="UM54" s="113"/>
      <c r="UN54" s="113"/>
      <c r="UO54" s="113"/>
      <c r="UP54" s="113"/>
      <c r="UQ54" s="113"/>
      <c r="UR54" s="113"/>
      <c r="US54" s="113"/>
      <c r="UT54" s="113"/>
      <c r="UU54" s="113"/>
      <c r="UV54" s="113"/>
      <c r="UW54" s="113"/>
      <c r="UX54" s="113"/>
      <c r="UY54" s="113"/>
      <c r="UZ54" s="113"/>
      <c r="VA54" s="113"/>
      <c r="VB54" s="113"/>
      <c r="VC54" s="113"/>
      <c r="VD54" s="113"/>
      <c r="VE54" s="113"/>
      <c r="VF54" s="113"/>
      <c r="VG54" s="113"/>
      <c r="VH54" s="113"/>
      <c r="VI54" s="113"/>
      <c r="VJ54" s="113"/>
      <c r="VK54" s="113"/>
      <c r="VL54" s="113"/>
      <c r="VM54" s="113"/>
      <c r="VN54" s="113"/>
      <c r="VO54" s="113"/>
      <c r="VP54" s="113"/>
      <c r="VQ54" s="113"/>
      <c r="VR54" s="113"/>
      <c r="VS54" s="113"/>
      <c r="VT54" s="113"/>
      <c r="VU54" s="113"/>
      <c r="VV54" s="113"/>
      <c r="VW54" s="113"/>
      <c r="VX54" s="113"/>
      <c r="VY54" s="113"/>
      <c r="VZ54" s="113"/>
      <c r="WA54" s="113"/>
      <c r="WB54" s="113"/>
      <c r="WC54" s="113"/>
      <c r="WD54" s="113"/>
      <c r="WE54" s="113"/>
      <c r="WF54" s="113"/>
      <c r="WG54" s="113"/>
      <c r="WH54" s="113"/>
      <c r="WI54" s="113"/>
      <c r="WJ54" s="113"/>
      <c r="WK54" s="113"/>
      <c r="WL54" s="113"/>
      <c r="WM54" s="113"/>
      <c r="WN54" s="113"/>
      <c r="WO54" s="113"/>
      <c r="WP54" s="113"/>
      <c r="WQ54" s="113"/>
      <c r="WR54" s="113"/>
      <c r="WS54" s="113"/>
      <c r="WT54" s="113"/>
      <c r="WU54" s="113"/>
      <c r="WV54" s="113"/>
      <c r="WW54" s="113"/>
      <c r="WX54" s="113"/>
      <c r="WY54" s="113"/>
      <c r="WZ54" s="113"/>
      <c r="XA54" s="113"/>
      <c r="XB54" s="113"/>
      <c r="XC54" s="113"/>
      <c r="XD54" s="113"/>
      <c r="XE54" s="113"/>
      <c r="XF54" s="113"/>
      <c r="XG54" s="113"/>
      <c r="XH54" s="113"/>
      <c r="XI54" s="113"/>
      <c r="XJ54" s="113"/>
      <c r="XK54" s="113"/>
      <c r="XL54" s="113"/>
      <c r="XM54" s="113"/>
      <c r="XN54" s="113"/>
      <c r="XO54" s="113"/>
      <c r="XP54" s="113"/>
      <c r="XQ54" s="113"/>
      <c r="XR54" s="113"/>
      <c r="XS54" s="113"/>
      <c r="XT54" s="113"/>
      <c r="XU54" s="113"/>
      <c r="XV54" s="113"/>
      <c r="XW54" s="113"/>
      <c r="XX54" s="113"/>
      <c r="XY54" s="113"/>
      <c r="XZ54" s="113"/>
      <c r="YA54" s="113"/>
      <c r="YB54" s="113"/>
      <c r="YC54" s="113"/>
      <c r="YD54" s="113"/>
      <c r="YE54" s="113"/>
      <c r="YF54" s="113"/>
      <c r="YG54" s="113"/>
      <c r="YH54" s="113"/>
      <c r="YI54" s="113"/>
      <c r="YJ54" s="113"/>
      <c r="YK54" s="113"/>
      <c r="YL54" s="113"/>
      <c r="YM54" s="113"/>
      <c r="YN54" s="113"/>
      <c r="YO54" s="113"/>
      <c r="YP54" s="113"/>
      <c r="YQ54" s="113"/>
      <c r="YR54" s="113"/>
      <c r="YS54" s="113"/>
      <c r="YT54" s="113"/>
      <c r="YU54" s="113"/>
      <c r="YV54" s="113"/>
      <c r="YW54" s="113"/>
      <c r="YX54" s="113"/>
      <c r="YY54" s="113"/>
      <c r="YZ54" s="113"/>
      <c r="ZA54" s="113"/>
      <c r="ZB54" s="113"/>
      <c r="ZC54" s="113"/>
      <c r="ZD54" s="113"/>
      <c r="ZE54" s="113"/>
      <c r="ZF54" s="113"/>
      <c r="ZG54" s="113"/>
      <c r="ZH54" s="113"/>
      <c r="ZI54" s="113"/>
      <c r="ZJ54" s="113"/>
      <c r="ZK54" s="113"/>
      <c r="ZL54" s="113"/>
      <c r="ZM54" s="113"/>
      <c r="ZN54" s="113"/>
      <c r="ZO54" s="113"/>
      <c r="ZP54" s="113"/>
      <c r="ZQ54" s="113"/>
      <c r="ZR54" s="113"/>
      <c r="ZS54" s="113"/>
      <c r="ZT54" s="113"/>
      <c r="ZU54" s="113"/>
      <c r="ZV54" s="113"/>
      <c r="ZW54" s="113"/>
      <c r="ZX54" s="113"/>
      <c r="ZY54" s="113"/>
      <c r="ZZ54" s="113"/>
      <c r="AAA54" s="113"/>
      <c r="AAB54" s="113"/>
      <c r="AAC54" s="113"/>
      <c r="AAD54" s="113"/>
      <c r="AAE54" s="113"/>
      <c r="AAF54" s="113"/>
      <c r="AAG54" s="113"/>
      <c r="AAH54" s="113"/>
      <c r="AAI54" s="113"/>
      <c r="AAJ54" s="113"/>
      <c r="AAK54" s="113"/>
      <c r="AAL54" s="113"/>
      <c r="AAM54" s="113"/>
      <c r="AAN54" s="113"/>
      <c r="AAO54" s="113"/>
      <c r="AAP54" s="113"/>
      <c r="AAQ54" s="113"/>
      <c r="AAR54" s="113"/>
      <c r="AAS54" s="113"/>
      <c r="AAT54" s="113"/>
      <c r="AAU54" s="113"/>
      <c r="AAV54" s="113"/>
      <c r="AAW54" s="113"/>
      <c r="AAX54" s="113"/>
      <c r="AAY54" s="113"/>
      <c r="AAZ54" s="113"/>
      <c r="ABA54" s="113"/>
      <c r="ABB54" s="113"/>
      <c r="ABC54" s="113"/>
      <c r="ABD54" s="113"/>
      <c r="ABE54" s="113"/>
      <c r="ABF54" s="113"/>
      <c r="ABG54" s="113"/>
      <c r="ABH54" s="113"/>
      <c r="ABI54" s="113"/>
      <c r="ABJ54" s="113"/>
      <c r="ABK54" s="113"/>
      <c r="ABL54" s="113"/>
      <c r="ABM54" s="113"/>
      <c r="ABN54" s="113"/>
      <c r="ABO54" s="113"/>
      <c r="ABP54" s="113"/>
      <c r="ABQ54" s="113"/>
      <c r="ABR54" s="113"/>
      <c r="ABS54" s="113"/>
      <c r="ABT54" s="113"/>
      <c r="ABU54" s="113"/>
      <c r="ABV54" s="113"/>
      <c r="ABW54" s="113"/>
      <c r="ABX54" s="113"/>
      <c r="ABY54" s="113"/>
      <c r="ABZ54" s="113"/>
      <c r="ACA54" s="113"/>
      <c r="ACB54" s="113"/>
      <c r="ACC54" s="113"/>
      <c r="ACD54" s="113"/>
      <c r="ACE54" s="113"/>
      <c r="ACF54" s="113"/>
      <c r="ACG54" s="113"/>
      <c r="ACH54" s="113"/>
      <c r="ACI54" s="113"/>
      <c r="ACJ54" s="113"/>
      <c r="ACK54" s="113"/>
      <c r="ACL54" s="113"/>
      <c r="ACM54" s="113"/>
      <c r="ACN54" s="113"/>
      <c r="ACO54" s="113"/>
      <c r="ACP54" s="113"/>
      <c r="ACQ54" s="113"/>
      <c r="ACR54" s="113"/>
      <c r="ACS54" s="113"/>
      <c r="ACT54" s="113"/>
      <c r="ACU54" s="113"/>
      <c r="ACV54" s="113"/>
      <c r="ACW54" s="113"/>
      <c r="ACX54" s="113"/>
      <c r="ACY54" s="113"/>
      <c r="ACZ54" s="113"/>
      <c r="ADA54" s="113"/>
      <c r="ADB54" s="113"/>
      <c r="ADC54" s="113"/>
      <c r="ADD54" s="113"/>
      <c r="ADE54" s="113"/>
      <c r="ADF54" s="113"/>
      <c r="ADG54" s="113"/>
      <c r="ADH54" s="113"/>
      <c r="ADI54" s="113"/>
      <c r="ADJ54" s="113"/>
      <c r="ADK54" s="113"/>
      <c r="ADL54" s="113"/>
      <c r="ADM54" s="113"/>
      <c r="ADN54" s="113"/>
      <c r="ADO54" s="113"/>
      <c r="ADP54" s="113"/>
      <c r="ADQ54" s="113"/>
      <c r="ADR54" s="113"/>
      <c r="ADS54" s="113"/>
      <c r="ADT54" s="113"/>
      <c r="ADU54" s="113"/>
      <c r="ADV54" s="113"/>
      <c r="ADW54" s="113"/>
      <c r="ADX54" s="113"/>
      <c r="ADY54" s="113"/>
      <c r="ADZ54" s="113"/>
      <c r="AEA54" s="113"/>
      <c r="AEB54" s="113"/>
      <c r="AEC54" s="113"/>
      <c r="AED54" s="113"/>
      <c r="AEE54" s="113"/>
      <c r="AEF54" s="113"/>
      <c r="AEG54" s="113"/>
      <c r="AEH54" s="113"/>
      <c r="AEI54" s="113"/>
      <c r="AEJ54" s="113"/>
      <c r="AEK54" s="113"/>
      <c r="AEL54" s="113"/>
      <c r="AEM54" s="113"/>
      <c r="AEN54" s="113"/>
      <c r="AEO54" s="113"/>
      <c r="AEP54" s="113"/>
      <c r="AEQ54" s="113"/>
      <c r="AER54" s="113"/>
      <c r="AES54" s="113"/>
      <c r="AET54" s="113"/>
      <c r="AEU54" s="113"/>
      <c r="AEV54" s="113"/>
      <c r="AEW54" s="113"/>
      <c r="AEX54" s="113"/>
      <c r="AEY54" s="113"/>
      <c r="AEZ54" s="113"/>
      <c r="AFA54" s="113"/>
      <c r="AFB54" s="113"/>
      <c r="AFC54" s="113"/>
      <c r="AFD54" s="113"/>
      <c r="AFE54" s="113"/>
      <c r="AFF54" s="113"/>
      <c r="AFG54" s="113"/>
      <c r="AFH54" s="113"/>
      <c r="AFI54" s="113"/>
      <c r="AFJ54" s="113"/>
      <c r="AFK54" s="113"/>
      <c r="AFL54" s="113"/>
      <c r="AFM54" s="113"/>
      <c r="AFN54" s="113"/>
      <c r="AFO54" s="113"/>
      <c r="AFP54" s="113"/>
      <c r="AFQ54" s="113"/>
      <c r="AFR54" s="113"/>
      <c r="AFS54" s="113"/>
      <c r="AFT54" s="113"/>
      <c r="AFU54" s="113"/>
      <c r="AFV54" s="113"/>
      <c r="AFW54" s="113"/>
      <c r="AFX54" s="113"/>
      <c r="AFY54" s="113"/>
      <c r="AFZ54" s="113"/>
      <c r="AGA54" s="113"/>
      <c r="AGB54" s="113"/>
      <c r="AGC54" s="113"/>
      <c r="AGD54" s="113"/>
      <c r="AGE54" s="113"/>
      <c r="AGF54" s="113"/>
      <c r="AGG54" s="113"/>
      <c r="AGH54" s="113"/>
      <c r="AGI54" s="113"/>
      <c r="AGJ54" s="113"/>
      <c r="AGK54" s="113"/>
      <c r="AGL54" s="113"/>
      <c r="AGM54" s="113"/>
      <c r="AGN54" s="113"/>
      <c r="AGO54" s="113"/>
      <c r="AGP54" s="113"/>
      <c r="AGQ54" s="113"/>
      <c r="AGR54" s="113"/>
      <c r="AGS54" s="113"/>
      <c r="AGT54" s="113"/>
      <c r="AGU54" s="113"/>
      <c r="AGV54" s="113"/>
      <c r="AGW54" s="113"/>
      <c r="AGX54" s="113"/>
      <c r="AGY54" s="113"/>
      <c r="AGZ54" s="113"/>
      <c r="AHA54" s="113"/>
      <c r="AHB54" s="113"/>
      <c r="AHC54" s="113"/>
      <c r="AHD54" s="113"/>
      <c r="AHE54" s="113"/>
      <c r="AHF54" s="113"/>
      <c r="AHG54" s="113"/>
      <c r="AHH54" s="113"/>
      <c r="AHI54" s="113"/>
      <c r="AHJ54" s="113"/>
      <c r="AHK54" s="113"/>
      <c r="AHL54" s="113"/>
      <c r="AHM54" s="113"/>
      <c r="AHN54" s="113"/>
      <c r="AHO54" s="113"/>
      <c r="AHP54" s="113"/>
      <c r="AHQ54" s="113"/>
      <c r="AHR54" s="113"/>
      <c r="AHS54" s="113"/>
      <c r="AHT54" s="113"/>
      <c r="AHU54" s="113"/>
      <c r="AHV54" s="113"/>
      <c r="AHW54" s="113"/>
      <c r="AHX54" s="113"/>
      <c r="AHY54" s="113"/>
      <c r="AHZ54" s="113"/>
      <c r="AIA54" s="113"/>
      <c r="AIB54" s="113"/>
      <c r="AIC54" s="113"/>
      <c r="AID54" s="113"/>
      <c r="AIE54" s="113"/>
      <c r="AIF54" s="113"/>
      <c r="AIG54" s="113"/>
      <c r="AIH54" s="113"/>
      <c r="AII54" s="113"/>
      <c r="AIJ54" s="113"/>
      <c r="AIK54" s="113"/>
      <c r="AIL54" s="113"/>
      <c r="AIM54" s="113"/>
      <c r="AIN54" s="113"/>
      <c r="AIO54" s="113"/>
      <c r="AIP54" s="113"/>
      <c r="AIQ54" s="113"/>
      <c r="AIR54" s="113"/>
      <c r="AIS54" s="113"/>
      <c r="AIT54" s="113"/>
      <c r="AIU54" s="113"/>
      <c r="AIV54" s="113"/>
      <c r="AIW54" s="113"/>
      <c r="AIX54" s="113"/>
      <c r="AIY54" s="113"/>
      <c r="AIZ54" s="113"/>
      <c r="AJA54" s="113"/>
      <c r="AJB54" s="113"/>
      <c r="AJC54" s="113"/>
      <c r="AJD54" s="113"/>
      <c r="AJE54" s="113"/>
      <c r="AJF54" s="113"/>
      <c r="AJG54" s="113"/>
      <c r="AJH54" s="113"/>
      <c r="AJI54" s="113"/>
      <c r="AJJ54" s="113"/>
      <c r="AJK54" s="113"/>
      <c r="AJL54" s="113"/>
      <c r="AJM54" s="113"/>
      <c r="AJN54" s="113"/>
      <c r="AJO54" s="113"/>
      <c r="AJP54" s="113"/>
      <c r="AJQ54" s="113"/>
      <c r="AJR54" s="113"/>
      <c r="AJS54" s="113"/>
      <c r="AJT54" s="113"/>
      <c r="AJU54" s="113"/>
      <c r="AJV54" s="113"/>
      <c r="AJW54" s="113"/>
      <c r="AJX54" s="113"/>
      <c r="AJY54" s="113"/>
      <c r="AJZ54" s="113"/>
      <c r="AKA54" s="113"/>
      <c r="AKB54" s="113"/>
      <c r="AKC54" s="113"/>
      <c r="AKD54" s="113"/>
      <c r="AKE54" s="113"/>
      <c r="AKF54" s="113"/>
      <c r="AKG54" s="113"/>
      <c r="AKH54" s="113"/>
      <c r="AKI54" s="113"/>
      <c r="AKJ54" s="113"/>
      <c r="AKK54" s="113"/>
      <c r="AKL54" s="113"/>
      <c r="AKM54" s="113"/>
      <c r="AKN54" s="113"/>
      <c r="AKO54" s="113"/>
      <c r="AKP54" s="113"/>
      <c r="AKQ54" s="113"/>
      <c r="AKR54" s="113"/>
      <c r="AKS54" s="113"/>
      <c r="AKT54" s="113"/>
      <c r="AKU54" s="113"/>
      <c r="AKV54" s="113"/>
      <c r="AKW54" s="113"/>
      <c r="AKX54" s="113"/>
      <c r="AKY54" s="113"/>
      <c r="AKZ54" s="113"/>
      <c r="ALA54" s="113"/>
      <c r="ALB54" s="113"/>
      <c r="ALC54" s="113"/>
      <c r="ALD54" s="113"/>
      <c r="ALE54" s="113"/>
      <c r="ALF54" s="113"/>
      <c r="ALG54" s="113"/>
      <c r="ALH54" s="113"/>
      <c r="ALI54" s="113"/>
      <c r="ALJ54" s="113"/>
      <c r="ALK54" s="113"/>
      <c r="ALL54" s="113"/>
      <c r="ALM54" s="113"/>
      <c r="ALN54" s="113"/>
      <c r="ALO54" s="113"/>
      <c r="ALP54" s="113"/>
      <c r="ALQ54" s="113"/>
      <c r="ALR54" s="113"/>
      <c r="ALS54" s="113"/>
      <c r="ALT54" s="113"/>
      <c r="ALU54" s="113"/>
      <c r="ALV54" s="113"/>
      <c r="ALW54" s="113"/>
      <c r="ALX54" s="113"/>
      <c r="ALY54" s="113"/>
      <c r="ALZ54" s="113"/>
      <c r="AMA54" s="113"/>
      <c r="AMB54" s="113"/>
      <c r="AMC54" s="113"/>
      <c r="AMD54" s="113"/>
      <c r="AME54" s="113"/>
      <c r="AMF54" s="113"/>
      <c r="AMG54" s="113"/>
      <c r="AMH54" s="113"/>
      <c r="AMI54" s="113"/>
      <c r="AMJ54" s="113"/>
      <c r="AMK54" s="113"/>
      <c r="AML54" s="113"/>
      <c r="AMM54" s="113"/>
      <c r="AMN54" s="113"/>
      <c r="AMO54" s="113"/>
      <c r="AMP54" s="113"/>
      <c r="AMQ54" s="113"/>
      <c r="AMR54" s="113"/>
      <c r="AMS54" s="113"/>
      <c r="AMT54" s="113"/>
      <c r="AMU54" s="113"/>
      <c r="AMV54" s="113"/>
      <c r="AMW54" s="113"/>
      <c r="AMX54" s="113"/>
      <c r="AMY54" s="113"/>
      <c r="AMZ54" s="113"/>
      <c r="ANA54" s="113"/>
      <c r="ANB54" s="113"/>
      <c r="ANC54" s="113"/>
      <c r="AND54" s="113"/>
      <c r="ANE54" s="113"/>
      <c r="ANF54" s="113"/>
      <c r="ANG54" s="113"/>
      <c r="ANH54" s="113"/>
      <c r="ANI54" s="113"/>
      <c r="ANJ54" s="113"/>
      <c r="ANK54" s="113"/>
      <c r="ANL54" s="113"/>
      <c r="ANM54" s="113"/>
      <c r="ANN54" s="113"/>
      <c r="ANO54" s="113"/>
      <c r="ANP54" s="113"/>
      <c r="ANQ54" s="113"/>
      <c r="ANR54" s="113"/>
      <c r="ANS54" s="113"/>
      <c r="ANT54" s="113"/>
      <c r="ANU54" s="113"/>
      <c r="ANV54" s="113"/>
      <c r="ANW54" s="113"/>
      <c r="ANX54" s="113"/>
      <c r="ANY54" s="113"/>
      <c r="ANZ54" s="113"/>
      <c r="AOA54" s="113"/>
      <c r="AOB54" s="113"/>
      <c r="AOC54" s="113"/>
      <c r="AOD54" s="113"/>
      <c r="AOE54" s="113"/>
      <c r="AOF54" s="113"/>
      <c r="AOG54" s="113"/>
      <c r="AOH54" s="113"/>
      <c r="AOI54" s="113"/>
      <c r="AOJ54" s="113"/>
      <c r="AOK54" s="113"/>
      <c r="AOL54" s="113"/>
      <c r="AOM54" s="113"/>
      <c r="AON54" s="113"/>
      <c r="AOO54" s="113"/>
      <c r="AOP54" s="113"/>
      <c r="AOQ54" s="113"/>
      <c r="AOR54" s="113"/>
      <c r="AOS54" s="113"/>
      <c r="AOT54" s="113"/>
      <c r="AOU54" s="113"/>
      <c r="AOV54" s="113"/>
      <c r="AOW54" s="113"/>
      <c r="AOX54" s="113"/>
      <c r="AOY54" s="113"/>
      <c r="AOZ54" s="113"/>
      <c r="APA54" s="113"/>
      <c r="APB54" s="113"/>
      <c r="APC54" s="113"/>
      <c r="APD54" s="113"/>
      <c r="APE54" s="113"/>
      <c r="APF54" s="113"/>
      <c r="APG54" s="113"/>
      <c r="APH54" s="113"/>
      <c r="API54" s="113"/>
      <c r="APJ54" s="113"/>
      <c r="APK54" s="113"/>
      <c r="APL54" s="113"/>
      <c r="APM54" s="113"/>
      <c r="APN54" s="113"/>
      <c r="APO54" s="113"/>
      <c r="APP54" s="113"/>
      <c r="APQ54" s="113"/>
      <c r="APR54" s="113"/>
      <c r="APS54" s="113"/>
      <c r="APT54" s="113"/>
      <c r="APU54" s="113"/>
      <c r="APV54" s="113"/>
      <c r="APW54" s="113"/>
      <c r="APX54" s="113"/>
      <c r="APY54" s="113"/>
      <c r="APZ54" s="113"/>
      <c r="AQA54" s="113"/>
      <c r="AQB54" s="113"/>
      <c r="AQC54" s="113"/>
      <c r="AQD54" s="113"/>
      <c r="AQE54" s="113"/>
      <c r="AQF54" s="113"/>
      <c r="AQG54" s="113"/>
      <c r="AQH54" s="113"/>
      <c r="AQI54" s="113"/>
      <c r="AQJ54" s="113"/>
      <c r="AQK54" s="113"/>
      <c r="AQL54" s="113"/>
      <c r="AQM54" s="113"/>
      <c r="AQN54" s="113"/>
      <c r="AQO54" s="113"/>
      <c r="AQP54" s="113"/>
      <c r="AQQ54" s="113"/>
      <c r="AQR54" s="113"/>
      <c r="AQS54" s="113"/>
      <c r="AQT54" s="113"/>
      <c r="AQU54" s="113"/>
      <c r="AQV54" s="113"/>
      <c r="AQW54" s="113"/>
      <c r="AQX54" s="113"/>
      <c r="AQY54" s="113"/>
      <c r="AQZ54" s="113"/>
      <c r="ARA54" s="113"/>
      <c r="ARB54" s="113"/>
      <c r="ARC54" s="113"/>
      <c r="ARD54" s="113"/>
      <c r="ARE54" s="113"/>
      <c r="ARF54" s="113"/>
      <c r="ARG54" s="113"/>
      <c r="ARH54" s="113"/>
      <c r="ARI54" s="113"/>
      <c r="ARJ54" s="113"/>
      <c r="ARK54" s="113"/>
      <c r="ARL54" s="113"/>
      <c r="ARM54" s="113"/>
      <c r="ARN54" s="113"/>
      <c r="ARO54" s="113"/>
      <c r="ARP54" s="113"/>
      <c r="ARQ54" s="113"/>
      <c r="ARR54" s="113"/>
      <c r="ARS54" s="113"/>
      <c r="ART54" s="113"/>
      <c r="ARU54" s="113"/>
      <c r="ARV54" s="113"/>
      <c r="ARW54" s="113"/>
      <c r="ARX54" s="113"/>
      <c r="ARY54" s="113"/>
      <c r="ARZ54" s="113"/>
      <c r="ASA54" s="113"/>
      <c r="ASB54" s="113"/>
      <c r="ASC54" s="113"/>
      <c r="ASD54" s="113"/>
      <c r="ASE54" s="113"/>
      <c r="ASF54" s="113"/>
      <c r="ASG54" s="113"/>
      <c r="ASH54" s="113"/>
      <c r="ASI54" s="113"/>
      <c r="ASJ54" s="113"/>
      <c r="ASK54" s="113"/>
      <c r="ASL54" s="113"/>
      <c r="ASM54" s="113"/>
      <c r="ASN54" s="113"/>
      <c r="ASO54" s="113"/>
      <c r="ASP54" s="113"/>
      <c r="ASQ54" s="113"/>
      <c r="ASR54" s="113"/>
      <c r="ASS54" s="113"/>
      <c r="AST54" s="113"/>
      <c r="ASU54" s="113"/>
      <c r="ASV54" s="113"/>
      <c r="ASW54" s="113"/>
      <c r="ASX54" s="113"/>
      <c r="ASY54" s="113"/>
      <c r="ASZ54" s="113"/>
      <c r="ATA54" s="113"/>
      <c r="ATB54" s="113"/>
      <c r="ATC54" s="113"/>
      <c r="ATD54" s="113"/>
      <c r="ATE54" s="113"/>
      <c r="ATF54" s="113"/>
      <c r="ATG54" s="113"/>
      <c r="ATH54" s="113"/>
      <c r="ATI54" s="113"/>
      <c r="ATJ54" s="113"/>
      <c r="ATK54" s="113"/>
      <c r="ATL54" s="113"/>
      <c r="ATM54" s="113"/>
      <c r="ATN54" s="113"/>
      <c r="ATO54" s="113"/>
      <c r="ATP54" s="113"/>
      <c r="ATQ54" s="113"/>
      <c r="ATR54" s="113"/>
      <c r="ATS54" s="113"/>
      <c r="ATT54" s="113"/>
      <c r="ATU54" s="113"/>
      <c r="ATV54" s="113"/>
      <c r="ATW54" s="113"/>
      <c r="ATX54" s="113"/>
      <c r="ATY54" s="113"/>
      <c r="ATZ54" s="113"/>
      <c r="AUA54" s="113"/>
      <c r="AUB54" s="113"/>
      <c r="AUC54" s="113"/>
      <c r="AUD54" s="113"/>
      <c r="AUE54" s="113"/>
      <c r="AUF54" s="113"/>
      <c r="AUG54" s="113"/>
      <c r="AUH54" s="113"/>
      <c r="AUI54" s="113"/>
      <c r="AUJ54" s="113"/>
      <c r="AUK54" s="113"/>
      <c r="AUL54" s="113"/>
      <c r="AUM54" s="113"/>
      <c r="AUN54" s="113"/>
      <c r="AUO54" s="113"/>
      <c r="AUP54" s="113"/>
      <c r="AUQ54" s="113"/>
      <c r="AUR54" s="113"/>
      <c r="AUS54" s="113"/>
      <c r="AUT54" s="113"/>
      <c r="AUU54" s="113"/>
      <c r="AUV54" s="113"/>
      <c r="AUW54" s="113"/>
      <c r="AUX54" s="113"/>
      <c r="AUY54" s="113"/>
      <c r="AUZ54" s="113"/>
      <c r="AVA54" s="113"/>
      <c r="AVB54" s="113"/>
      <c r="AVC54" s="113"/>
      <c r="AVD54" s="113"/>
      <c r="AVE54" s="113"/>
      <c r="AVF54" s="113"/>
      <c r="AVG54" s="113"/>
      <c r="AVH54" s="113"/>
      <c r="AVI54" s="113"/>
      <c r="AVJ54" s="113"/>
      <c r="AVK54" s="113"/>
      <c r="AVL54" s="113"/>
      <c r="AVM54" s="113"/>
      <c r="AVN54" s="113"/>
      <c r="AVO54" s="113"/>
      <c r="AVP54" s="113"/>
      <c r="AVQ54" s="113"/>
      <c r="AVR54" s="113"/>
      <c r="AVS54" s="113"/>
      <c r="AVT54" s="113"/>
      <c r="AVU54" s="113"/>
      <c r="AVV54" s="113"/>
      <c r="AVW54" s="113"/>
      <c r="AVX54" s="113"/>
      <c r="AVY54" s="113"/>
      <c r="AVZ54" s="113"/>
      <c r="AWA54" s="113"/>
      <c r="AWB54" s="113"/>
      <c r="AWC54" s="113"/>
      <c r="AWD54" s="113"/>
      <c r="AWE54" s="113"/>
      <c r="AWF54" s="113"/>
      <c r="AWG54" s="113"/>
      <c r="AWH54" s="113"/>
      <c r="AWI54" s="113"/>
      <c r="AWJ54" s="113"/>
      <c r="AWK54" s="113"/>
      <c r="AWL54" s="113"/>
      <c r="AWM54" s="113"/>
      <c r="AWN54" s="113"/>
      <c r="AWO54" s="113"/>
      <c r="AWP54" s="113"/>
      <c r="AWQ54" s="113"/>
      <c r="AWR54" s="113"/>
      <c r="AWS54" s="113"/>
      <c r="AWT54" s="113"/>
      <c r="AWU54" s="113"/>
      <c r="AWV54" s="113"/>
      <c r="AWW54" s="113"/>
      <c r="AWX54" s="113"/>
      <c r="AWY54" s="113"/>
      <c r="AWZ54" s="113"/>
      <c r="AXA54" s="113"/>
      <c r="AXB54" s="113"/>
      <c r="AXC54" s="113"/>
      <c r="AXD54" s="113"/>
      <c r="AXE54" s="113"/>
      <c r="AXF54" s="113"/>
      <c r="AXG54" s="113"/>
      <c r="AXH54" s="113"/>
      <c r="AXI54" s="113"/>
      <c r="AXJ54" s="113"/>
      <c r="AXK54" s="113"/>
      <c r="AXL54" s="113"/>
      <c r="AXM54" s="113"/>
      <c r="AXN54" s="113"/>
      <c r="AXO54" s="113"/>
      <c r="AXP54" s="113"/>
      <c r="AXQ54" s="113"/>
      <c r="AXR54" s="113"/>
      <c r="AXS54" s="113"/>
      <c r="AXT54" s="113"/>
      <c r="AXU54" s="113"/>
      <c r="AXV54" s="113"/>
      <c r="AXW54" s="113"/>
      <c r="AXX54" s="113"/>
      <c r="AXY54" s="113"/>
      <c r="AXZ54" s="113"/>
      <c r="AYA54" s="113"/>
      <c r="AYB54" s="113"/>
      <c r="AYC54" s="113"/>
      <c r="AYD54" s="113"/>
      <c r="AYE54" s="113"/>
      <c r="AYF54" s="113"/>
      <c r="AYG54" s="113"/>
      <c r="AYH54" s="113"/>
      <c r="AYI54" s="113"/>
      <c r="AYJ54" s="113"/>
      <c r="AYK54" s="113"/>
      <c r="AYL54" s="113"/>
      <c r="AYM54" s="113"/>
      <c r="AYN54" s="113"/>
      <c r="AYO54" s="113"/>
      <c r="AYP54" s="113"/>
      <c r="AYQ54" s="113"/>
      <c r="AYR54" s="113"/>
      <c r="AYS54" s="113"/>
      <c r="AYT54" s="113"/>
      <c r="AYU54" s="113"/>
      <c r="AYV54" s="113"/>
      <c r="AYW54" s="113"/>
      <c r="AYX54" s="113"/>
      <c r="AYY54" s="113"/>
      <c r="AYZ54" s="113"/>
      <c r="AZA54" s="113"/>
      <c r="AZB54" s="113"/>
      <c r="AZC54" s="113"/>
      <c r="AZD54" s="113"/>
      <c r="AZE54" s="113"/>
      <c r="AZF54" s="113"/>
      <c r="AZG54" s="113"/>
      <c r="AZH54" s="113"/>
      <c r="AZI54" s="113"/>
      <c r="AZJ54" s="113"/>
      <c r="AZK54" s="113"/>
      <c r="AZL54" s="113"/>
      <c r="AZM54" s="113"/>
      <c r="AZN54" s="113"/>
      <c r="AZO54" s="113"/>
      <c r="AZP54" s="113"/>
      <c r="AZQ54" s="113"/>
      <c r="AZR54" s="113"/>
      <c r="AZS54" s="113"/>
      <c r="AZT54" s="113"/>
      <c r="AZU54" s="113"/>
      <c r="AZV54" s="113"/>
      <c r="AZW54" s="113"/>
      <c r="AZX54" s="113"/>
      <c r="AZY54" s="113"/>
      <c r="AZZ54" s="113"/>
      <c r="BAA54" s="113"/>
      <c r="BAB54" s="113"/>
      <c r="BAC54" s="113"/>
      <c r="BAD54" s="113"/>
      <c r="BAE54" s="113"/>
      <c r="BAF54" s="113"/>
      <c r="BAG54" s="113"/>
      <c r="BAH54" s="113"/>
      <c r="BAI54" s="113"/>
      <c r="BAJ54" s="113"/>
      <c r="BAK54" s="113"/>
      <c r="BAL54" s="113"/>
      <c r="BAM54" s="113"/>
      <c r="BAN54" s="113"/>
      <c r="BAO54" s="113"/>
      <c r="BAP54" s="113"/>
      <c r="BAQ54" s="113"/>
      <c r="BAR54" s="113"/>
      <c r="BAS54" s="113"/>
      <c r="BAT54" s="113"/>
      <c r="BAU54" s="113"/>
      <c r="BAV54" s="113"/>
      <c r="BAW54" s="113"/>
      <c r="BAX54" s="113"/>
      <c r="BAY54" s="113"/>
      <c r="BAZ54" s="113"/>
      <c r="BBA54" s="113"/>
      <c r="BBB54" s="113"/>
      <c r="BBC54" s="113"/>
      <c r="BBD54" s="113"/>
      <c r="BBE54" s="113"/>
      <c r="BBF54" s="113"/>
      <c r="BBG54" s="113"/>
      <c r="BBH54" s="113"/>
      <c r="BBI54" s="113"/>
      <c r="BBJ54" s="113"/>
      <c r="BBK54" s="113"/>
      <c r="BBL54" s="113"/>
      <c r="BBM54" s="113"/>
      <c r="BBN54" s="113"/>
      <c r="BBO54" s="113"/>
      <c r="BBP54" s="113"/>
      <c r="BBQ54" s="113"/>
      <c r="BBR54" s="113"/>
      <c r="BBS54" s="113"/>
      <c r="BBT54" s="113"/>
      <c r="BBU54" s="113"/>
      <c r="BBV54" s="113"/>
      <c r="BBW54" s="113"/>
      <c r="BBX54" s="113"/>
      <c r="BBY54" s="113"/>
      <c r="BBZ54" s="113"/>
      <c r="BCA54" s="113"/>
      <c r="BCB54" s="113"/>
      <c r="BCC54" s="113"/>
      <c r="BCD54" s="113"/>
      <c r="BCE54" s="113"/>
      <c r="BCF54" s="113"/>
      <c r="BCG54" s="113"/>
      <c r="BCH54" s="113"/>
      <c r="BCI54" s="113"/>
      <c r="BCJ54" s="113"/>
      <c r="BCK54" s="113"/>
      <c r="BCL54" s="113"/>
      <c r="BCM54" s="113"/>
      <c r="BCN54" s="113"/>
      <c r="BCO54" s="113"/>
      <c r="BCP54" s="113"/>
      <c r="BCQ54" s="113"/>
      <c r="BCR54" s="113"/>
      <c r="BCS54" s="113"/>
      <c r="BCT54" s="113"/>
      <c r="BCU54" s="113"/>
      <c r="BCV54" s="113"/>
      <c r="BCW54" s="113"/>
      <c r="BCX54" s="113"/>
      <c r="BCY54" s="113"/>
      <c r="BCZ54" s="113"/>
      <c r="BDA54" s="113"/>
      <c r="BDB54" s="113"/>
      <c r="BDC54" s="113"/>
      <c r="BDD54" s="113"/>
      <c r="BDE54" s="113"/>
      <c r="BDF54" s="113"/>
      <c r="BDG54" s="113"/>
      <c r="BDH54" s="113"/>
      <c r="BDI54" s="113"/>
      <c r="BDJ54" s="113"/>
      <c r="BDK54" s="113"/>
      <c r="BDL54" s="113"/>
      <c r="BDM54" s="113"/>
      <c r="BDN54" s="113"/>
      <c r="BDO54" s="113"/>
      <c r="BDP54" s="113"/>
      <c r="BDQ54" s="113"/>
      <c r="BDR54" s="113"/>
      <c r="BDS54" s="113"/>
      <c r="BDT54" s="113"/>
      <c r="BDU54" s="113"/>
      <c r="BDV54" s="113"/>
      <c r="BDW54" s="113"/>
      <c r="BDX54" s="113"/>
      <c r="BDY54" s="113"/>
      <c r="BDZ54" s="113"/>
      <c r="BEA54" s="113"/>
      <c r="BEB54" s="113"/>
      <c r="BEC54" s="113"/>
      <c r="BED54" s="113"/>
      <c r="BEE54" s="113"/>
      <c r="BEF54" s="113"/>
      <c r="BEG54" s="113"/>
      <c r="BEH54" s="113"/>
      <c r="BEI54" s="113"/>
      <c r="BEJ54" s="113"/>
      <c r="BEK54" s="113"/>
      <c r="BEL54" s="113"/>
      <c r="BEM54" s="113"/>
      <c r="BEN54" s="113"/>
      <c r="BEO54" s="113"/>
      <c r="BEP54" s="113"/>
      <c r="BEQ54" s="113"/>
      <c r="BER54" s="113"/>
      <c r="BES54" s="113"/>
      <c r="BET54" s="113"/>
      <c r="BEU54" s="113"/>
      <c r="BEV54" s="113"/>
      <c r="BEW54" s="113"/>
      <c r="BEX54" s="113"/>
      <c r="BEY54" s="113"/>
      <c r="BEZ54" s="113"/>
      <c r="BFA54" s="113"/>
      <c r="BFB54" s="113"/>
      <c r="BFC54" s="113"/>
      <c r="BFD54" s="113"/>
      <c r="BFE54" s="113"/>
      <c r="BFF54" s="113"/>
      <c r="BFG54" s="113"/>
      <c r="BFH54" s="113"/>
      <c r="BFI54" s="113"/>
      <c r="BFJ54" s="113"/>
      <c r="BFK54" s="113"/>
      <c r="BFL54" s="113"/>
      <c r="BFM54" s="113"/>
      <c r="BFN54" s="113"/>
      <c r="BFO54" s="113"/>
      <c r="BFP54" s="113"/>
      <c r="BFQ54" s="113"/>
      <c r="BFR54" s="113"/>
      <c r="BFS54" s="113"/>
      <c r="BFT54" s="113"/>
      <c r="BFU54" s="113"/>
      <c r="BFV54" s="113"/>
      <c r="BFW54" s="113"/>
      <c r="BFX54" s="113"/>
      <c r="BFY54" s="113"/>
      <c r="BFZ54" s="113"/>
      <c r="BGA54" s="113"/>
      <c r="BGB54" s="113"/>
      <c r="BGC54" s="113"/>
      <c r="BGD54" s="113"/>
      <c r="BGE54" s="113"/>
      <c r="BGF54" s="113"/>
      <c r="BGG54" s="113"/>
      <c r="BGH54" s="113"/>
      <c r="BGI54" s="113"/>
      <c r="BGJ54" s="113"/>
      <c r="BGK54" s="113"/>
      <c r="BGL54" s="113"/>
      <c r="BGM54" s="113"/>
      <c r="BGN54" s="113"/>
      <c r="BGO54" s="113"/>
      <c r="BGP54" s="113"/>
      <c r="BGQ54" s="113"/>
      <c r="BGR54" s="113"/>
      <c r="BGS54" s="113"/>
      <c r="BGT54" s="113"/>
      <c r="BGU54" s="113"/>
      <c r="BGV54" s="113"/>
      <c r="BGW54" s="113"/>
      <c r="BGX54" s="113"/>
      <c r="BGY54" s="113"/>
      <c r="BGZ54" s="113"/>
      <c r="BHA54" s="113"/>
      <c r="BHB54" s="113"/>
      <c r="BHC54" s="113"/>
      <c r="BHD54" s="113"/>
      <c r="BHE54" s="113"/>
      <c r="BHF54" s="113"/>
      <c r="BHG54" s="113"/>
      <c r="BHH54" s="113"/>
      <c r="BHI54" s="113"/>
      <c r="BHJ54" s="113"/>
      <c r="BHK54" s="113"/>
      <c r="BHL54" s="113"/>
      <c r="BHM54" s="113"/>
      <c r="BHN54" s="113"/>
      <c r="BHO54" s="113"/>
      <c r="BHP54" s="113"/>
      <c r="BHQ54" s="113"/>
      <c r="BHR54" s="113"/>
      <c r="BHS54" s="113"/>
      <c r="BHT54" s="113"/>
      <c r="BHU54" s="113"/>
      <c r="BHV54" s="113"/>
      <c r="BHW54" s="113"/>
      <c r="BHX54" s="113"/>
      <c r="BHY54" s="113"/>
      <c r="BHZ54" s="113"/>
      <c r="BIA54" s="113"/>
      <c r="BIB54" s="113"/>
      <c r="BIC54" s="113"/>
      <c r="BID54" s="113"/>
      <c r="BIE54" s="113"/>
      <c r="BIF54" s="113"/>
      <c r="BIG54" s="113"/>
      <c r="BIH54" s="113"/>
      <c r="BII54" s="113"/>
      <c r="BIJ54" s="113"/>
      <c r="BIK54" s="113"/>
      <c r="BIL54" s="113"/>
      <c r="BIM54" s="113"/>
      <c r="BIN54" s="113"/>
      <c r="BIO54" s="113"/>
      <c r="BIP54" s="113"/>
      <c r="BIQ54" s="113"/>
      <c r="BIR54" s="113"/>
      <c r="BIS54" s="113"/>
      <c r="BIT54" s="113"/>
      <c r="BIU54" s="113"/>
      <c r="BIV54" s="113"/>
      <c r="BIW54" s="113"/>
      <c r="BIX54" s="113"/>
      <c r="BIY54" s="113"/>
      <c r="BIZ54" s="113"/>
      <c r="BJA54" s="113"/>
      <c r="BJB54" s="113"/>
      <c r="BJC54" s="113"/>
      <c r="BJD54" s="113"/>
      <c r="BJE54" s="113"/>
      <c r="BJF54" s="113"/>
      <c r="BJG54" s="113"/>
      <c r="BJH54" s="113"/>
      <c r="BJI54" s="113"/>
      <c r="BJJ54" s="113"/>
      <c r="BJK54" s="113"/>
      <c r="BJL54" s="113"/>
      <c r="BJM54" s="113"/>
      <c r="BJN54" s="113"/>
      <c r="BJO54" s="113"/>
      <c r="BJP54" s="113"/>
      <c r="BJQ54" s="113"/>
      <c r="BJR54" s="113"/>
      <c r="BJS54" s="113"/>
      <c r="BJT54" s="113"/>
      <c r="BJU54" s="113"/>
      <c r="BJV54" s="113"/>
      <c r="BJW54" s="113"/>
      <c r="BJX54" s="113"/>
      <c r="BJY54" s="113"/>
      <c r="BJZ54" s="113"/>
      <c r="BKA54" s="113"/>
      <c r="BKB54" s="113"/>
      <c r="BKC54" s="113"/>
      <c r="BKD54" s="113"/>
      <c r="BKE54" s="113"/>
      <c r="BKF54" s="113"/>
      <c r="BKG54" s="113"/>
      <c r="BKH54" s="113"/>
      <c r="BKI54" s="113"/>
      <c r="BKJ54" s="113"/>
      <c r="BKK54" s="113"/>
      <c r="BKL54" s="113"/>
      <c r="BKM54" s="113"/>
      <c r="BKN54" s="113"/>
      <c r="BKO54" s="113"/>
      <c r="BKP54" s="113"/>
      <c r="BKQ54" s="113"/>
      <c r="BKR54" s="113"/>
      <c r="BKS54" s="113"/>
      <c r="BKT54" s="113"/>
      <c r="BKU54" s="113"/>
      <c r="BKV54" s="113"/>
      <c r="BKW54" s="113"/>
      <c r="BKX54" s="113"/>
      <c r="BKY54" s="113"/>
      <c r="BKZ54" s="113"/>
      <c r="BLA54" s="113"/>
      <c r="BLB54" s="113"/>
      <c r="BLC54" s="113"/>
      <c r="BLD54" s="113"/>
      <c r="BLE54" s="113"/>
      <c r="BLF54" s="113"/>
      <c r="BLG54" s="113"/>
      <c r="BLH54" s="113"/>
      <c r="BLI54" s="113"/>
      <c r="BLJ54" s="113"/>
      <c r="BLK54" s="113"/>
      <c r="BLL54" s="113"/>
      <c r="BLM54" s="113"/>
      <c r="BLN54" s="113"/>
      <c r="BLO54" s="113"/>
      <c r="BLP54" s="113"/>
      <c r="BLQ54" s="113"/>
      <c r="BLR54" s="113"/>
      <c r="BLS54" s="113"/>
      <c r="BLT54" s="113"/>
      <c r="BLU54" s="113"/>
      <c r="BLV54" s="113"/>
      <c r="BLW54" s="113"/>
      <c r="BLX54" s="113"/>
      <c r="BLY54" s="113"/>
      <c r="BLZ54" s="113"/>
      <c r="BMA54" s="113"/>
      <c r="BMB54" s="113"/>
      <c r="BMC54" s="113"/>
      <c r="BMD54" s="113"/>
      <c r="BME54" s="113"/>
      <c r="BMF54" s="113"/>
      <c r="BMG54" s="113"/>
      <c r="BMH54" s="113"/>
      <c r="BMI54" s="113"/>
      <c r="BMJ54" s="113"/>
      <c r="BMK54" s="113"/>
      <c r="BML54" s="113"/>
      <c r="BMM54" s="113"/>
      <c r="BMN54" s="113"/>
      <c r="BMO54" s="113"/>
      <c r="BMP54" s="113"/>
      <c r="BMQ54" s="113"/>
      <c r="BMR54" s="113"/>
      <c r="BMS54" s="113"/>
      <c r="BMT54" s="113"/>
      <c r="BMU54" s="113"/>
      <c r="BMV54" s="113"/>
      <c r="BMW54" s="113"/>
      <c r="BMX54" s="113"/>
      <c r="BMY54" s="113"/>
      <c r="BMZ54" s="113"/>
      <c r="BNA54" s="113"/>
      <c r="BNB54" s="113"/>
      <c r="BNC54" s="113"/>
      <c r="BND54" s="113"/>
      <c r="BNE54" s="113"/>
      <c r="BNF54" s="113"/>
      <c r="BNG54" s="113"/>
      <c r="BNH54" s="113"/>
      <c r="BNI54" s="113"/>
      <c r="BNJ54" s="113"/>
      <c r="BNK54" s="113"/>
      <c r="BNL54" s="113"/>
      <c r="BNM54" s="113"/>
      <c r="BNN54" s="113"/>
      <c r="BNO54" s="113"/>
      <c r="BNP54" s="113"/>
      <c r="BNQ54" s="113"/>
      <c r="BNR54" s="113"/>
      <c r="BNS54" s="113"/>
      <c r="BNT54" s="113"/>
      <c r="BNU54" s="113"/>
      <c r="BNV54" s="113"/>
      <c r="BNW54" s="113"/>
      <c r="BNX54" s="113"/>
      <c r="BNY54" s="113"/>
      <c r="BNZ54" s="113"/>
      <c r="BOA54" s="113"/>
      <c r="BOB54" s="113"/>
      <c r="BOC54" s="113"/>
      <c r="BOD54" s="113"/>
      <c r="BOE54" s="113"/>
      <c r="BOF54" s="113"/>
      <c r="BOG54" s="113"/>
      <c r="BOH54" s="113"/>
      <c r="BOI54" s="113"/>
      <c r="BOJ54" s="113"/>
      <c r="BOK54" s="113"/>
      <c r="BOL54" s="113"/>
      <c r="BOM54" s="113"/>
      <c r="BON54" s="113"/>
      <c r="BOO54" s="113"/>
      <c r="BOP54" s="113"/>
      <c r="BOQ54" s="113"/>
      <c r="BOR54" s="113"/>
      <c r="BOS54" s="113"/>
      <c r="BOT54" s="113"/>
      <c r="BOU54" s="113"/>
      <c r="BOV54" s="113"/>
      <c r="BOW54" s="113"/>
      <c r="BOX54" s="113"/>
      <c r="BOY54" s="113"/>
      <c r="BOZ54" s="113"/>
      <c r="BPA54" s="113"/>
      <c r="BPB54" s="113"/>
      <c r="BPC54" s="113"/>
      <c r="BPD54" s="113"/>
      <c r="BPE54" s="113"/>
      <c r="BPF54" s="113"/>
      <c r="BPG54" s="113"/>
      <c r="BPH54" s="113"/>
      <c r="BPI54" s="113"/>
      <c r="BPJ54" s="113"/>
      <c r="BPK54" s="113"/>
      <c r="BPL54" s="113"/>
      <c r="BPM54" s="113"/>
      <c r="BPN54" s="113"/>
      <c r="BPO54" s="113"/>
      <c r="BPP54" s="113"/>
      <c r="BPQ54" s="113"/>
      <c r="BPR54" s="113"/>
      <c r="BPS54" s="113"/>
      <c r="BPT54" s="113"/>
      <c r="BPU54" s="113"/>
      <c r="BPV54" s="113"/>
      <c r="BPW54" s="113"/>
      <c r="BPX54" s="113"/>
      <c r="BPY54" s="113"/>
      <c r="BPZ54" s="113"/>
      <c r="BQA54" s="113"/>
      <c r="BQB54" s="113"/>
      <c r="BQC54" s="113"/>
      <c r="BQD54" s="113"/>
      <c r="BQE54" s="113"/>
      <c r="BQF54" s="113"/>
      <c r="BQG54" s="113"/>
      <c r="BQH54" s="113"/>
      <c r="BQI54" s="113"/>
      <c r="BQJ54" s="113"/>
      <c r="BQK54" s="113"/>
      <c r="BQL54" s="113"/>
      <c r="BQM54" s="113"/>
      <c r="BQN54" s="113"/>
      <c r="BQO54" s="113"/>
      <c r="BQP54" s="113"/>
      <c r="BQQ54" s="113"/>
      <c r="BQR54" s="113"/>
      <c r="BQS54" s="113"/>
      <c r="BQT54" s="113"/>
      <c r="BQU54" s="113"/>
      <c r="BQV54" s="113"/>
      <c r="BQW54" s="113"/>
      <c r="BQX54" s="113"/>
      <c r="BQY54" s="113"/>
      <c r="BQZ54" s="113"/>
      <c r="BRA54" s="113"/>
      <c r="BRB54" s="113"/>
      <c r="BRC54" s="113"/>
      <c r="BRD54" s="113"/>
      <c r="BRE54" s="113"/>
      <c r="BRF54" s="113"/>
      <c r="BRG54" s="113"/>
      <c r="BRH54" s="113"/>
      <c r="BRI54" s="113"/>
      <c r="BRJ54" s="113"/>
      <c r="BRK54" s="113"/>
      <c r="BRL54" s="113"/>
      <c r="BRM54" s="113"/>
      <c r="BRN54" s="113"/>
      <c r="BRO54" s="113"/>
      <c r="BRP54" s="113"/>
      <c r="BRQ54" s="113"/>
      <c r="BRR54" s="113"/>
      <c r="BRS54" s="113"/>
      <c r="BRT54" s="113"/>
      <c r="BRU54" s="113"/>
      <c r="BRV54" s="113"/>
      <c r="BRW54" s="113"/>
      <c r="BRX54" s="113"/>
      <c r="BRY54" s="113"/>
      <c r="BRZ54" s="113"/>
      <c r="BSA54" s="113"/>
      <c r="BSB54" s="113"/>
      <c r="BSC54" s="113"/>
      <c r="BSD54" s="113"/>
      <c r="BSE54" s="113"/>
      <c r="BSF54" s="113"/>
      <c r="BSG54" s="113"/>
      <c r="BSH54" s="113"/>
      <c r="BSI54" s="113"/>
      <c r="BSJ54" s="113"/>
      <c r="BSK54" s="113"/>
      <c r="BSL54" s="113"/>
      <c r="BSM54" s="113"/>
      <c r="BSN54" s="113"/>
      <c r="BSO54" s="113"/>
      <c r="BSP54" s="113"/>
      <c r="BSQ54" s="113"/>
      <c r="BSR54" s="113"/>
      <c r="BSS54" s="113"/>
      <c r="BST54" s="113"/>
      <c r="BSU54" s="113"/>
      <c r="BSV54" s="113"/>
      <c r="BSW54" s="113"/>
      <c r="BSX54" s="113"/>
      <c r="BSY54" s="113"/>
      <c r="BSZ54" s="113"/>
      <c r="BTA54" s="113"/>
      <c r="BTB54" s="113"/>
      <c r="BTC54" s="113"/>
      <c r="BTD54" s="113"/>
      <c r="BTE54" s="113"/>
      <c r="BTF54" s="113"/>
      <c r="BTG54" s="113"/>
      <c r="BTH54" s="113"/>
      <c r="BTI54" s="113"/>
      <c r="BTJ54" s="113"/>
      <c r="BTK54" s="113"/>
      <c r="BTL54" s="113"/>
      <c r="BTM54" s="113"/>
      <c r="BTN54" s="113"/>
      <c r="BTO54" s="113"/>
      <c r="BTP54" s="113"/>
      <c r="BTQ54" s="113"/>
      <c r="BTR54" s="113"/>
      <c r="BTS54" s="113"/>
      <c r="BTT54" s="113"/>
      <c r="BTU54" s="113"/>
      <c r="BTV54" s="113"/>
      <c r="BTW54" s="113"/>
      <c r="BTX54" s="113"/>
      <c r="BTY54" s="113"/>
      <c r="BTZ54" s="113"/>
      <c r="BUA54" s="113"/>
      <c r="BUB54" s="113"/>
      <c r="BUC54" s="113"/>
      <c r="BUD54" s="113"/>
      <c r="BUE54" s="113"/>
      <c r="BUF54" s="113"/>
      <c r="BUG54" s="113"/>
      <c r="BUH54" s="113"/>
      <c r="BUI54" s="113"/>
      <c r="BUJ54" s="113"/>
      <c r="BUK54" s="113"/>
      <c r="BUL54" s="113"/>
      <c r="BUM54" s="113"/>
      <c r="BUN54" s="113"/>
      <c r="BUO54" s="113"/>
      <c r="BUP54" s="113"/>
      <c r="BUQ54" s="113"/>
      <c r="BUR54" s="113"/>
      <c r="BUS54" s="113"/>
      <c r="BUT54" s="113"/>
      <c r="BUU54" s="113"/>
      <c r="BUV54" s="113"/>
      <c r="BUW54" s="113"/>
      <c r="BUX54" s="113"/>
      <c r="BUY54" s="113"/>
      <c r="BUZ54" s="113"/>
      <c r="BVA54" s="113"/>
      <c r="BVB54" s="113"/>
      <c r="BVC54" s="113"/>
      <c r="BVD54" s="113"/>
      <c r="BVE54" s="113"/>
      <c r="BVF54" s="113"/>
      <c r="BVG54" s="113"/>
      <c r="BVH54" s="113"/>
      <c r="BVI54" s="113"/>
      <c r="BVJ54" s="113"/>
      <c r="BVK54" s="113"/>
      <c r="BVL54" s="113"/>
      <c r="BVM54" s="113"/>
      <c r="BVN54" s="113"/>
      <c r="BVO54" s="113"/>
      <c r="BVP54" s="113"/>
      <c r="BVQ54" s="113"/>
      <c r="BVR54" s="113"/>
      <c r="BVS54" s="113"/>
      <c r="BVT54" s="113"/>
      <c r="BVU54" s="113"/>
      <c r="BVV54" s="113"/>
      <c r="BVW54" s="113"/>
      <c r="BVX54" s="113"/>
      <c r="BVY54" s="113"/>
      <c r="BVZ54" s="113"/>
      <c r="BWA54" s="113"/>
      <c r="BWB54" s="113"/>
      <c r="BWC54" s="113"/>
      <c r="BWD54" s="113"/>
      <c r="BWE54" s="113"/>
      <c r="BWF54" s="113"/>
      <c r="BWG54" s="113"/>
      <c r="BWH54" s="113"/>
      <c r="BWI54" s="113"/>
      <c r="BWJ54" s="113"/>
      <c r="BWK54" s="113"/>
      <c r="BWL54" s="113"/>
      <c r="BWM54" s="113"/>
      <c r="BWN54" s="113"/>
      <c r="BWO54" s="113"/>
      <c r="BWP54" s="113"/>
      <c r="BWQ54" s="113"/>
      <c r="BWR54" s="113"/>
      <c r="BWS54" s="113"/>
      <c r="BWT54" s="113"/>
      <c r="BWU54" s="113"/>
      <c r="BWV54" s="113"/>
      <c r="BWW54" s="113"/>
      <c r="BWX54" s="113"/>
      <c r="BWY54" s="113"/>
      <c r="BWZ54" s="113"/>
      <c r="BXA54" s="113"/>
      <c r="BXB54" s="113"/>
      <c r="BXC54" s="113"/>
      <c r="BXD54" s="113"/>
      <c r="BXE54" s="113"/>
      <c r="BXF54" s="113"/>
      <c r="BXG54" s="113"/>
      <c r="BXH54" s="113"/>
      <c r="BXI54" s="113"/>
      <c r="BXJ54" s="113"/>
      <c r="BXK54" s="113"/>
      <c r="BXL54" s="113"/>
      <c r="BXM54" s="113"/>
      <c r="BXN54" s="113"/>
      <c r="BXO54" s="113"/>
      <c r="BXP54" s="113"/>
      <c r="BXQ54" s="113"/>
      <c r="BXR54" s="113"/>
      <c r="BXS54" s="113"/>
      <c r="BXT54" s="113"/>
      <c r="BXU54" s="113"/>
      <c r="BXV54" s="113"/>
      <c r="BXW54" s="113"/>
      <c r="BXX54" s="113"/>
      <c r="BXY54" s="113"/>
      <c r="BXZ54" s="113"/>
      <c r="BYA54" s="113"/>
      <c r="BYB54" s="113"/>
      <c r="BYC54" s="113"/>
      <c r="BYD54" s="113"/>
      <c r="BYE54" s="113"/>
      <c r="BYF54" s="113"/>
      <c r="BYG54" s="113"/>
      <c r="BYH54" s="113"/>
      <c r="BYI54" s="113"/>
      <c r="BYJ54" s="113"/>
      <c r="BYK54" s="113"/>
      <c r="BYL54" s="113"/>
      <c r="BYM54" s="113"/>
      <c r="BYN54" s="113"/>
      <c r="BYO54" s="113"/>
      <c r="BYP54" s="113"/>
      <c r="BYQ54" s="113"/>
      <c r="BYR54" s="113"/>
      <c r="BYS54" s="113"/>
      <c r="BYT54" s="113"/>
      <c r="BYU54" s="113"/>
      <c r="BYV54" s="113"/>
      <c r="BYW54" s="113"/>
      <c r="BYX54" s="113"/>
      <c r="BYY54" s="113"/>
      <c r="BYZ54" s="113"/>
      <c r="BZA54" s="113"/>
      <c r="BZB54" s="113"/>
      <c r="BZC54" s="113"/>
      <c r="BZD54" s="113"/>
      <c r="BZE54" s="113"/>
      <c r="BZF54" s="113"/>
      <c r="BZG54" s="113"/>
      <c r="BZH54" s="113"/>
      <c r="BZI54" s="113"/>
      <c r="BZJ54" s="113"/>
      <c r="BZK54" s="113"/>
      <c r="BZL54" s="113"/>
      <c r="BZM54" s="113"/>
      <c r="BZN54" s="113"/>
      <c r="BZO54" s="113"/>
      <c r="BZP54" s="113"/>
      <c r="BZQ54" s="113"/>
      <c r="BZR54" s="113"/>
      <c r="BZS54" s="113"/>
      <c r="BZT54" s="113"/>
      <c r="BZU54" s="113"/>
      <c r="BZV54" s="113"/>
      <c r="BZW54" s="113"/>
      <c r="BZX54" s="113"/>
      <c r="BZY54" s="113"/>
      <c r="BZZ54" s="113"/>
      <c r="CAA54" s="113"/>
      <c r="CAB54" s="113"/>
      <c r="CAC54" s="113"/>
      <c r="CAD54" s="113"/>
      <c r="CAE54" s="113"/>
      <c r="CAF54" s="113"/>
      <c r="CAG54" s="113"/>
      <c r="CAH54" s="113"/>
      <c r="CAI54" s="113"/>
      <c r="CAJ54" s="113"/>
      <c r="CAK54" s="113"/>
      <c r="CAL54" s="113"/>
      <c r="CAM54" s="113"/>
      <c r="CAN54" s="113"/>
      <c r="CAO54" s="113"/>
      <c r="CAP54" s="113"/>
      <c r="CAQ54" s="113"/>
      <c r="CAR54" s="113"/>
      <c r="CAS54" s="113"/>
      <c r="CAT54" s="113"/>
      <c r="CAU54" s="113"/>
      <c r="CAV54" s="113"/>
      <c r="CAW54" s="113"/>
      <c r="CAX54" s="113"/>
      <c r="CAY54" s="113"/>
      <c r="CAZ54" s="113"/>
      <c r="CBA54" s="113"/>
      <c r="CBB54" s="113"/>
      <c r="CBC54" s="113"/>
      <c r="CBD54" s="113"/>
      <c r="CBE54" s="113"/>
      <c r="CBF54" s="113"/>
      <c r="CBG54" s="113"/>
      <c r="CBH54" s="113"/>
      <c r="CBI54" s="113"/>
      <c r="CBJ54" s="113"/>
      <c r="CBK54" s="113"/>
      <c r="CBL54" s="113"/>
      <c r="CBM54" s="113"/>
      <c r="CBN54" s="113"/>
      <c r="CBO54" s="113"/>
      <c r="CBP54" s="113"/>
      <c r="CBQ54" s="113"/>
      <c r="CBR54" s="113"/>
      <c r="CBS54" s="113"/>
      <c r="CBT54" s="113"/>
      <c r="CBU54" s="113"/>
      <c r="CBV54" s="113"/>
      <c r="CBW54" s="113"/>
      <c r="CBX54" s="113"/>
      <c r="CBY54" s="113"/>
      <c r="CBZ54" s="113"/>
      <c r="CCA54" s="113"/>
      <c r="CCB54" s="113"/>
      <c r="CCC54" s="113"/>
      <c r="CCD54" s="113"/>
      <c r="CCE54" s="113"/>
      <c r="CCF54" s="113"/>
      <c r="CCG54" s="113"/>
      <c r="CCH54" s="113"/>
      <c r="CCI54" s="113"/>
      <c r="CCJ54" s="113"/>
      <c r="CCK54" s="113"/>
      <c r="CCL54" s="113"/>
      <c r="CCM54" s="113"/>
      <c r="CCN54" s="113"/>
      <c r="CCO54" s="113"/>
      <c r="CCP54" s="113"/>
      <c r="CCQ54" s="113"/>
      <c r="CCR54" s="113"/>
      <c r="CCS54" s="113"/>
      <c r="CCT54" s="113"/>
      <c r="CCU54" s="113"/>
      <c r="CCV54" s="113"/>
      <c r="CCW54" s="113"/>
      <c r="CCX54" s="113"/>
      <c r="CCY54" s="113"/>
      <c r="CCZ54" s="113"/>
      <c r="CDA54" s="113"/>
      <c r="CDB54" s="113"/>
      <c r="CDC54" s="113"/>
      <c r="CDD54" s="113"/>
      <c r="CDE54" s="113"/>
      <c r="CDF54" s="113"/>
      <c r="CDG54" s="113"/>
      <c r="CDH54" s="113"/>
      <c r="CDI54" s="113"/>
      <c r="CDJ54" s="113"/>
      <c r="CDK54" s="113"/>
      <c r="CDL54" s="113"/>
      <c r="CDM54" s="113"/>
      <c r="CDN54" s="113"/>
      <c r="CDO54" s="113"/>
      <c r="CDP54" s="113"/>
      <c r="CDQ54" s="113"/>
      <c r="CDR54" s="113"/>
      <c r="CDS54" s="113"/>
      <c r="CDT54" s="113"/>
      <c r="CDU54" s="113"/>
      <c r="CDV54" s="113"/>
      <c r="CDW54" s="113"/>
      <c r="CDX54" s="113"/>
      <c r="CDY54" s="113"/>
      <c r="CDZ54" s="113"/>
      <c r="CEA54" s="113"/>
      <c r="CEB54" s="113"/>
      <c r="CEC54" s="113"/>
      <c r="CED54" s="113"/>
      <c r="CEE54" s="113"/>
      <c r="CEF54" s="113"/>
      <c r="CEG54" s="113"/>
      <c r="CEH54" s="113"/>
      <c r="CEI54" s="113"/>
      <c r="CEJ54" s="113"/>
      <c r="CEK54" s="113"/>
      <c r="CEL54" s="113"/>
      <c r="CEM54" s="113"/>
      <c r="CEN54" s="113"/>
      <c r="CEO54" s="113"/>
      <c r="CEP54" s="113"/>
      <c r="CEQ54" s="113"/>
      <c r="CER54" s="113"/>
      <c r="CES54" s="113"/>
      <c r="CET54" s="113"/>
      <c r="CEU54" s="113"/>
      <c r="CEV54" s="113"/>
      <c r="CEW54" s="113"/>
      <c r="CEX54" s="113"/>
      <c r="CEY54" s="113"/>
      <c r="CEZ54" s="113"/>
      <c r="CFA54" s="113"/>
      <c r="CFB54" s="113"/>
      <c r="CFC54" s="113"/>
      <c r="CFD54" s="113"/>
      <c r="CFE54" s="113"/>
      <c r="CFF54" s="113"/>
      <c r="CFG54" s="113"/>
      <c r="CFH54" s="113"/>
      <c r="CFI54" s="113"/>
      <c r="CFJ54" s="113"/>
      <c r="CFK54" s="113"/>
      <c r="CFL54" s="113"/>
      <c r="CFM54" s="113"/>
      <c r="CFN54" s="113"/>
      <c r="CFO54" s="113"/>
      <c r="CFP54" s="113"/>
      <c r="CFQ54" s="113"/>
      <c r="CFR54" s="113"/>
      <c r="CFS54" s="113"/>
      <c r="CFT54" s="113"/>
      <c r="CFU54" s="113"/>
      <c r="CFV54" s="113"/>
      <c r="CFW54" s="113"/>
      <c r="CFX54" s="113"/>
      <c r="CFY54" s="113"/>
      <c r="CFZ54" s="113"/>
      <c r="CGA54" s="113"/>
      <c r="CGB54" s="113"/>
      <c r="CGC54" s="113"/>
      <c r="CGD54" s="113"/>
      <c r="CGE54" s="113"/>
      <c r="CGF54" s="113"/>
      <c r="CGG54" s="113"/>
      <c r="CGH54" s="113"/>
      <c r="CGI54" s="113"/>
      <c r="CGJ54" s="113"/>
      <c r="CGK54" s="113"/>
      <c r="CGL54" s="113"/>
      <c r="CGM54" s="113"/>
      <c r="CGN54" s="113"/>
      <c r="CGO54" s="113"/>
      <c r="CGP54" s="113"/>
      <c r="CGQ54" s="113"/>
      <c r="CGR54" s="113"/>
      <c r="CGS54" s="113"/>
      <c r="CGT54" s="113"/>
      <c r="CGU54" s="113"/>
      <c r="CGV54" s="113"/>
      <c r="CGW54" s="113"/>
      <c r="CGX54" s="113"/>
      <c r="CGY54" s="113"/>
      <c r="CGZ54" s="113"/>
      <c r="CHA54" s="113"/>
      <c r="CHB54" s="113"/>
      <c r="CHC54" s="113"/>
      <c r="CHD54" s="113"/>
      <c r="CHE54" s="113"/>
      <c r="CHF54" s="113"/>
      <c r="CHG54" s="113"/>
      <c r="CHH54" s="113"/>
      <c r="CHI54" s="113"/>
      <c r="CHJ54" s="113"/>
      <c r="CHK54" s="113"/>
      <c r="CHL54" s="113"/>
      <c r="CHM54" s="113"/>
      <c r="CHN54" s="113"/>
      <c r="CHO54" s="113"/>
      <c r="CHP54" s="113"/>
      <c r="CHQ54" s="113"/>
      <c r="CHR54" s="113"/>
      <c r="CHS54" s="113"/>
      <c r="CHT54" s="113"/>
      <c r="CHU54" s="113"/>
      <c r="CHV54" s="113"/>
      <c r="CHW54" s="113"/>
      <c r="CHX54" s="113"/>
      <c r="CHY54" s="113"/>
      <c r="CHZ54" s="113"/>
      <c r="CIA54" s="113"/>
      <c r="CIB54" s="113"/>
      <c r="CIC54" s="113"/>
      <c r="CID54" s="113"/>
      <c r="CIE54" s="113"/>
      <c r="CIF54" s="113"/>
      <c r="CIG54" s="113"/>
      <c r="CIH54" s="113"/>
      <c r="CII54" s="113"/>
      <c r="CIJ54" s="113"/>
      <c r="CIK54" s="113"/>
      <c r="CIL54" s="113"/>
      <c r="CIM54" s="113"/>
      <c r="CIN54" s="113"/>
      <c r="CIO54" s="113"/>
      <c r="CIP54" s="113"/>
      <c r="CIQ54" s="113"/>
      <c r="CIR54" s="113"/>
      <c r="CIS54" s="113"/>
      <c r="CIT54" s="113"/>
      <c r="CIU54" s="113"/>
      <c r="CIV54" s="113"/>
      <c r="CIW54" s="113"/>
      <c r="CIX54" s="113"/>
      <c r="CIY54" s="113"/>
      <c r="CIZ54" s="113"/>
      <c r="CJA54" s="113"/>
      <c r="CJB54" s="113"/>
      <c r="CJC54" s="113"/>
      <c r="CJD54" s="113"/>
      <c r="CJE54" s="113"/>
      <c r="CJF54" s="113"/>
      <c r="CJG54" s="113"/>
      <c r="CJH54" s="113"/>
      <c r="CJI54" s="113"/>
      <c r="CJJ54" s="113"/>
      <c r="CJK54" s="113"/>
      <c r="CJL54" s="113"/>
      <c r="CJM54" s="113"/>
      <c r="CJN54" s="113"/>
      <c r="CJO54" s="113"/>
      <c r="CJP54" s="113"/>
      <c r="CJQ54" s="113"/>
      <c r="CJR54" s="113"/>
      <c r="CJS54" s="113"/>
      <c r="CJT54" s="113"/>
      <c r="CJU54" s="113"/>
      <c r="CJV54" s="113"/>
      <c r="CJW54" s="113"/>
      <c r="CJX54" s="113"/>
      <c r="CJY54" s="113"/>
      <c r="CJZ54" s="113"/>
      <c r="CKA54" s="113"/>
      <c r="CKB54" s="113"/>
      <c r="CKC54" s="113"/>
      <c r="CKD54" s="113"/>
      <c r="CKE54" s="113"/>
      <c r="CKF54" s="113"/>
      <c r="CKG54" s="113"/>
      <c r="CKH54" s="113"/>
      <c r="CKI54" s="113"/>
      <c r="CKJ54" s="113"/>
      <c r="CKK54" s="113"/>
      <c r="CKL54" s="113"/>
      <c r="CKM54" s="113"/>
      <c r="CKN54" s="113"/>
      <c r="CKO54" s="113"/>
      <c r="CKP54" s="113"/>
      <c r="CKQ54" s="113"/>
      <c r="CKR54" s="113"/>
      <c r="CKS54" s="113"/>
      <c r="CKT54" s="113"/>
      <c r="CKU54" s="113"/>
      <c r="CKV54" s="113"/>
      <c r="CKW54" s="113"/>
      <c r="CKX54" s="113"/>
      <c r="CKY54" s="113"/>
      <c r="CKZ54" s="113"/>
      <c r="CLA54" s="113"/>
      <c r="CLB54" s="113"/>
      <c r="CLC54" s="113"/>
      <c r="CLD54" s="113"/>
      <c r="CLE54" s="113"/>
      <c r="CLF54" s="113"/>
      <c r="CLG54" s="113"/>
      <c r="CLH54" s="113"/>
      <c r="CLI54" s="113"/>
      <c r="CLJ54" s="113"/>
      <c r="CLK54" s="113"/>
      <c r="CLL54" s="113"/>
      <c r="CLM54" s="113"/>
      <c r="CLN54" s="113"/>
      <c r="CLO54" s="113"/>
      <c r="CLP54" s="113"/>
      <c r="CLQ54" s="113"/>
      <c r="CLR54" s="113"/>
      <c r="CLS54" s="113"/>
      <c r="CLT54" s="113"/>
      <c r="CLU54" s="113"/>
      <c r="CLV54" s="113"/>
      <c r="CLW54" s="113"/>
      <c r="CLX54" s="113"/>
      <c r="CLY54" s="113"/>
      <c r="CLZ54" s="113"/>
      <c r="CMA54" s="113"/>
      <c r="CMB54" s="113"/>
      <c r="CMC54" s="113"/>
      <c r="CMD54" s="113"/>
      <c r="CME54" s="113"/>
      <c r="CMF54" s="113"/>
      <c r="CMG54" s="113"/>
      <c r="CMH54" s="113"/>
      <c r="CMI54" s="113"/>
      <c r="CMJ54" s="113"/>
      <c r="CMK54" s="113"/>
      <c r="CML54" s="113"/>
      <c r="CMM54" s="113"/>
      <c r="CMN54" s="113"/>
      <c r="CMO54" s="113"/>
      <c r="CMP54" s="113"/>
      <c r="CMQ54" s="113"/>
      <c r="CMR54" s="113"/>
      <c r="CMS54" s="113"/>
      <c r="CMT54" s="113"/>
      <c r="CMU54" s="113"/>
      <c r="CMV54" s="113"/>
      <c r="CMW54" s="113"/>
      <c r="CMX54" s="113"/>
      <c r="CMY54" s="113"/>
      <c r="CMZ54" s="113"/>
      <c r="CNA54" s="113"/>
      <c r="CNB54" s="113"/>
      <c r="CNC54" s="113"/>
      <c r="CND54" s="113"/>
      <c r="CNE54" s="113"/>
      <c r="CNF54" s="113"/>
      <c r="CNG54" s="113"/>
      <c r="CNH54" s="113"/>
      <c r="CNI54" s="113"/>
      <c r="CNJ54" s="113"/>
      <c r="CNK54" s="113"/>
      <c r="CNL54" s="113"/>
      <c r="CNM54" s="113"/>
      <c r="CNN54" s="113"/>
      <c r="CNO54" s="113"/>
      <c r="CNP54" s="113"/>
      <c r="CNQ54" s="113"/>
      <c r="CNR54" s="113"/>
      <c r="CNS54" s="113"/>
      <c r="CNT54" s="113"/>
      <c r="CNU54" s="113"/>
      <c r="CNV54" s="113"/>
      <c r="CNW54" s="113"/>
      <c r="CNX54" s="113"/>
      <c r="CNY54" s="113"/>
      <c r="CNZ54" s="113"/>
      <c r="COA54" s="113"/>
      <c r="COB54" s="113"/>
      <c r="COC54" s="113"/>
      <c r="COD54" s="113"/>
      <c r="COE54" s="113"/>
      <c r="COF54" s="113"/>
      <c r="COG54" s="113"/>
      <c r="COH54" s="113"/>
      <c r="COI54" s="113"/>
      <c r="COJ54" s="113"/>
      <c r="COK54" s="113"/>
      <c r="COL54" s="113"/>
      <c r="COM54" s="113"/>
      <c r="CON54" s="113"/>
      <c r="COO54" s="113"/>
      <c r="COP54" s="113"/>
      <c r="COQ54" s="113"/>
      <c r="COR54" s="113"/>
      <c r="COS54" s="113"/>
      <c r="COT54" s="113"/>
      <c r="COU54" s="113"/>
      <c r="COV54" s="113"/>
      <c r="COW54" s="113"/>
      <c r="COX54" s="113"/>
      <c r="COY54" s="113"/>
      <c r="COZ54" s="113"/>
      <c r="CPA54" s="113"/>
      <c r="CPB54" s="113"/>
      <c r="CPC54" s="113"/>
      <c r="CPD54" s="113"/>
      <c r="CPE54" s="113"/>
      <c r="CPF54" s="113"/>
      <c r="CPG54" s="113"/>
      <c r="CPH54" s="113"/>
      <c r="CPI54" s="113"/>
      <c r="CPJ54" s="113"/>
      <c r="CPK54" s="113"/>
      <c r="CPL54" s="113"/>
      <c r="CPM54" s="113"/>
      <c r="CPN54" s="113"/>
      <c r="CPO54" s="113"/>
      <c r="CPP54" s="113"/>
      <c r="CPQ54" s="113"/>
      <c r="CPR54" s="113"/>
      <c r="CPS54" s="113"/>
      <c r="CPT54" s="113"/>
      <c r="CPU54" s="113"/>
      <c r="CPV54" s="113"/>
      <c r="CPW54" s="113"/>
      <c r="CPX54" s="113"/>
      <c r="CPY54" s="113"/>
      <c r="CPZ54" s="113"/>
      <c r="CQA54" s="113"/>
      <c r="CQB54" s="113"/>
      <c r="CQC54" s="113"/>
      <c r="CQD54" s="113"/>
      <c r="CQE54" s="113"/>
      <c r="CQF54" s="113"/>
      <c r="CQG54" s="113"/>
      <c r="CQH54" s="113"/>
      <c r="CQI54" s="113"/>
      <c r="CQJ54" s="113"/>
      <c r="CQK54" s="113"/>
      <c r="CQL54" s="113"/>
      <c r="CQM54" s="113"/>
      <c r="CQN54" s="113"/>
      <c r="CQO54" s="113"/>
      <c r="CQP54" s="113"/>
      <c r="CQQ54" s="113"/>
      <c r="CQR54" s="113"/>
      <c r="CQS54" s="113"/>
      <c r="CQT54" s="113"/>
      <c r="CQU54" s="113"/>
      <c r="CQV54" s="113"/>
      <c r="CQW54" s="113"/>
      <c r="CQX54" s="113"/>
      <c r="CQY54" s="113"/>
      <c r="CQZ54" s="113"/>
      <c r="CRA54" s="113"/>
      <c r="CRB54" s="113"/>
      <c r="CRC54" s="113"/>
      <c r="CRD54" s="113"/>
      <c r="CRE54" s="113"/>
      <c r="CRF54" s="113"/>
      <c r="CRG54" s="113"/>
      <c r="CRH54" s="113"/>
      <c r="CRI54" s="113"/>
      <c r="CRJ54" s="113"/>
      <c r="CRK54" s="113"/>
      <c r="CRL54" s="113"/>
      <c r="CRM54" s="113"/>
      <c r="CRN54" s="113"/>
      <c r="CRO54" s="113"/>
      <c r="CRP54" s="113"/>
      <c r="CRQ54" s="113"/>
      <c r="CRR54" s="113"/>
      <c r="CRS54" s="113"/>
      <c r="CRT54" s="113"/>
      <c r="CRU54" s="113"/>
      <c r="CRV54" s="113"/>
      <c r="CRW54" s="113"/>
      <c r="CRX54" s="113"/>
      <c r="CRY54" s="113"/>
      <c r="CRZ54" s="113"/>
      <c r="CSA54" s="113"/>
      <c r="CSB54" s="113"/>
      <c r="CSC54" s="113"/>
      <c r="CSD54" s="113"/>
      <c r="CSE54" s="113"/>
      <c r="CSF54" s="113"/>
      <c r="CSG54" s="113"/>
      <c r="CSH54" s="113"/>
      <c r="CSI54" s="113"/>
      <c r="CSJ54" s="113"/>
      <c r="CSK54" s="113"/>
      <c r="CSL54" s="113"/>
      <c r="CSM54" s="113"/>
      <c r="CSN54" s="113"/>
      <c r="CSO54" s="113"/>
      <c r="CSP54" s="113"/>
      <c r="CSQ54" s="113"/>
      <c r="CSR54" s="113"/>
      <c r="CSS54" s="113"/>
      <c r="CST54" s="113"/>
      <c r="CSU54" s="113"/>
      <c r="CSV54" s="113"/>
      <c r="CSW54" s="113"/>
      <c r="CSX54" s="113"/>
      <c r="CSY54" s="113"/>
      <c r="CSZ54" s="113"/>
      <c r="CTA54" s="113"/>
      <c r="CTB54" s="113"/>
      <c r="CTC54" s="113"/>
      <c r="CTD54" s="113"/>
      <c r="CTE54" s="113"/>
      <c r="CTF54" s="113"/>
      <c r="CTG54" s="113"/>
      <c r="CTH54" s="113"/>
      <c r="CTI54" s="113"/>
      <c r="CTJ54" s="113"/>
      <c r="CTK54" s="113"/>
      <c r="CTL54" s="113"/>
      <c r="CTM54" s="113"/>
      <c r="CTN54" s="113"/>
      <c r="CTO54" s="113"/>
      <c r="CTP54" s="113"/>
      <c r="CTQ54" s="113"/>
      <c r="CTR54" s="113"/>
      <c r="CTS54" s="113"/>
      <c r="CTT54" s="113"/>
      <c r="CTU54" s="113"/>
      <c r="CTV54" s="113"/>
      <c r="CTW54" s="113"/>
      <c r="CTX54" s="113"/>
      <c r="CTY54" s="113"/>
      <c r="CTZ54" s="113"/>
      <c r="CUA54" s="113"/>
      <c r="CUB54" s="113"/>
      <c r="CUC54" s="113"/>
      <c r="CUD54" s="113"/>
      <c r="CUE54" s="113"/>
      <c r="CUF54" s="113"/>
      <c r="CUG54" s="113"/>
      <c r="CUH54" s="113"/>
      <c r="CUI54" s="113"/>
      <c r="CUJ54" s="113"/>
      <c r="CUK54" s="113"/>
      <c r="CUL54" s="113"/>
      <c r="CUM54" s="113"/>
      <c r="CUN54" s="113"/>
      <c r="CUO54" s="113"/>
      <c r="CUP54" s="113"/>
      <c r="CUQ54" s="113"/>
      <c r="CUR54" s="113"/>
      <c r="CUS54" s="113"/>
      <c r="CUT54" s="113"/>
      <c r="CUU54" s="113"/>
      <c r="CUV54" s="113"/>
      <c r="CUW54" s="113"/>
      <c r="CUX54" s="113"/>
      <c r="CUY54" s="113"/>
      <c r="CUZ54" s="113"/>
      <c r="CVA54" s="113"/>
      <c r="CVB54" s="113"/>
      <c r="CVC54" s="113"/>
      <c r="CVD54" s="113"/>
      <c r="CVE54" s="113"/>
      <c r="CVF54" s="113"/>
      <c r="CVG54" s="113"/>
      <c r="CVH54" s="113"/>
      <c r="CVI54" s="113"/>
      <c r="CVJ54" s="113"/>
      <c r="CVK54" s="113"/>
      <c r="CVL54" s="113"/>
      <c r="CVM54" s="113"/>
      <c r="CVN54" s="113"/>
      <c r="CVO54" s="113"/>
      <c r="CVP54" s="113"/>
      <c r="CVQ54" s="113"/>
      <c r="CVR54" s="113"/>
      <c r="CVS54" s="113"/>
      <c r="CVT54" s="113"/>
      <c r="CVU54" s="113"/>
      <c r="CVV54" s="113"/>
      <c r="CVW54" s="113"/>
      <c r="CVX54" s="113"/>
      <c r="CVY54" s="113"/>
      <c r="CVZ54" s="113"/>
      <c r="CWA54" s="113"/>
      <c r="CWB54" s="113"/>
      <c r="CWC54" s="113"/>
      <c r="CWD54" s="113"/>
      <c r="CWE54" s="113"/>
      <c r="CWF54" s="113"/>
      <c r="CWG54" s="113"/>
      <c r="CWH54" s="113"/>
      <c r="CWI54" s="113"/>
      <c r="CWJ54" s="113"/>
      <c r="CWK54" s="113"/>
      <c r="CWL54" s="113"/>
      <c r="CWM54" s="113"/>
      <c r="CWN54" s="113"/>
      <c r="CWO54" s="113"/>
      <c r="CWP54" s="113"/>
      <c r="CWQ54" s="113"/>
      <c r="CWR54" s="113"/>
      <c r="CWS54" s="113"/>
      <c r="CWT54" s="113"/>
      <c r="CWU54" s="113"/>
      <c r="CWV54" s="113"/>
      <c r="CWW54" s="113"/>
      <c r="CWX54" s="113"/>
      <c r="CWY54" s="113"/>
      <c r="CWZ54" s="113"/>
      <c r="CXA54" s="113"/>
      <c r="CXB54" s="113"/>
      <c r="CXC54" s="113"/>
      <c r="CXD54" s="113"/>
      <c r="CXE54" s="113"/>
      <c r="CXF54" s="113"/>
      <c r="CXG54" s="113"/>
      <c r="CXH54" s="113"/>
      <c r="CXI54" s="113"/>
      <c r="CXJ54" s="113"/>
      <c r="CXK54" s="113"/>
      <c r="CXL54" s="113"/>
      <c r="CXM54" s="113"/>
      <c r="CXN54" s="113"/>
      <c r="CXO54" s="113"/>
      <c r="CXP54" s="113"/>
      <c r="CXQ54" s="113"/>
      <c r="CXR54" s="113"/>
      <c r="CXS54" s="113"/>
      <c r="CXT54" s="113"/>
      <c r="CXU54" s="113"/>
      <c r="CXV54" s="113"/>
      <c r="CXW54" s="113"/>
      <c r="CXX54" s="113"/>
      <c r="CXY54" s="113"/>
      <c r="CXZ54" s="113"/>
      <c r="CYA54" s="113"/>
      <c r="CYB54" s="113"/>
      <c r="CYC54" s="113"/>
      <c r="CYD54" s="113"/>
      <c r="CYE54" s="113"/>
      <c r="CYF54" s="113"/>
      <c r="CYG54" s="113"/>
      <c r="CYH54" s="113"/>
      <c r="CYI54" s="113"/>
      <c r="CYJ54" s="113"/>
      <c r="CYK54" s="113"/>
      <c r="CYL54" s="113"/>
      <c r="CYM54" s="113"/>
      <c r="CYN54" s="113"/>
      <c r="CYO54" s="113"/>
      <c r="CYP54" s="113"/>
      <c r="CYQ54" s="113"/>
      <c r="CYR54" s="113"/>
      <c r="CYS54" s="113"/>
      <c r="CYT54" s="113"/>
      <c r="CYU54" s="113"/>
      <c r="CYV54" s="113"/>
      <c r="CYW54" s="113"/>
      <c r="CYX54" s="113"/>
      <c r="CYY54" s="113"/>
      <c r="CYZ54" s="113"/>
      <c r="CZA54" s="113"/>
      <c r="CZB54" s="113"/>
      <c r="CZC54" s="113"/>
      <c r="CZD54" s="113"/>
      <c r="CZE54" s="113"/>
      <c r="CZF54" s="113"/>
      <c r="CZG54" s="113"/>
      <c r="CZH54" s="113"/>
      <c r="CZI54" s="113"/>
      <c r="CZJ54" s="113"/>
      <c r="CZK54" s="113"/>
      <c r="CZL54" s="113"/>
      <c r="CZM54" s="113"/>
      <c r="CZN54" s="113"/>
      <c r="CZO54" s="113"/>
      <c r="CZP54" s="113"/>
      <c r="CZQ54" s="113"/>
      <c r="CZR54" s="113"/>
      <c r="CZS54" s="113"/>
      <c r="CZT54" s="113"/>
      <c r="CZU54" s="113"/>
      <c r="CZV54" s="113"/>
      <c r="CZW54" s="113"/>
      <c r="CZX54" s="113"/>
      <c r="CZY54" s="113"/>
      <c r="CZZ54" s="113"/>
      <c r="DAA54" s="113"/>
      <c r="DAB54" s="113"/>
      <c r="DAC54" s="113"/>
      <c r="DAD54" s="113"/>
      <c r="DAE54" s="113"/>
      <c r="DAF54" s="113"/>
      <c r="DAG54" s="113"/>
      <c r="DAH54" s="113"/>
      <c r="DAI54" s="113"/>
      <c r="DAJ54" s="113"/>
      <c r="DAK54" s="113"/>
      <c r="DAL54" s="113"/>
      <c r="DAM54" s="113"/>
      <c r="DAN54" s="113"/>
      <c r="DAO54" s="113"/>
      <c r="DAP54" s="113"/>
      <c r="DAQ54" s="113"/>
      <c r="DAR54" s="113"/>
      <c r="DAS54" s="113"/>
      <c r="DAT54" s="113"/>
      <c r="DAU54" s="113"/>
      <c r="DAV54" s="113"/>
      <c r="DAW54" s="113"/>
      <c r="DAX54" s="113"/>
      <c r="DAY54" s="113"/>
      <c r="DAZ54" s="113"/>
      <c r="DBA54" s="113"/>
      <c r="DBB54" s="113"/>
      <c r="DBC54" s="113"/>
      <c r="DBD54" s="113"/>
      <c r="DBE54" s="113"/>
      <c r="DBF54" s="113"/>
      <c r="DBG54" s="113"/>
      <c r="DBH54" s="113"/>
      <c r="DBI54" s="113"/>
      <c r="DBJ54" s="113"/>
      <c r="DBK54" s="113"/>
      <c r="DBL54" s="113"/>
      <c r="DBM54" s="113"/>
      <c r="DBN54" s="113"/>
      <c r="DBO54" s="113"/>
      <c r="DBP54" s="113"/>
      <c r="DBQ54" s="113"/>
      <c r="DBR54" s="113"/>
      <c r="DBS54" s="113"/>
      <c r="DBT54" s="113"/>
      <c r="DBU54" s="113"/>
      <c r="DBV54" s="113"/>
      <c r="DBW54" s="113"/>
      <c r="DBX54" s="113"/>
      <c r="DBY54" s="113"/>
      <c r="DBZ54" s="113"/>
      <c r="DCA54" s="113"/>
      <c r="DCB54" s="113"/>
      <c r="DCC54" s="113"/>
      <c r="DCD54" s="113"/>
      <c r="DCE54" s="113"/>
      <c r="DCF54" s="113"/>
      <c r="DCG54" s="113"/>
      <c r="DCH54" s="113"/>
      <c r="DCI54" s="113"/>
      <c r="DCJ54" s="113"/>
      <c r="DCK54" s="113"/>
      <c r="DCL54" s="113"/>
      <c r="DCM54" s="113"/>
      <c r="DCN54" s="113"/>
      <c r="DCO54" s="113"/>
      <c r="DCP54" s="113"/>
      <c r="DCQ54" s="113"/>
      <c r="DCR54" s="113"/>
      <c r="DCS54" s="113"/>
      <c r="DCT54" s="113"/>
      <c r="DCU54" s="113"/>
      <c r="DCV54" s="113"/>
      <c r="DCW54" s="113"/>
      <c r="DCX54" s="113"/>
      <c r="DCY54" s="113"/>
      <c r="DCZ54" s="113"/>
      <c r="DDA54" s="113"/>
      <c r="DDB54" s="113"/>
      <c r="DDC54" s="113"/>
      <c r="DDD54" s="113"/>
      <c r="DDE54" s="113"/>
      <c r="DDF54" s="113"/>
      <c r="DDG54" s="113"/>
      <c r="DDH54" s="113"/>
      <c r="DDI54" s="113"/>
      <c r="DDJ54" s="113"/>
      <c r="DDK54" s="113"/>
      <c r="DDL54" s="113"/>
      <c r="DDM54" s="113"/>
      <c r="DDN54" s="113"/>
      <c r="DDO54" s="113"/>
      <c r="DDP54" s="113"/>
      <c r="DDQ54" s="113"/>
      <c r="DDR54" s="113"/>
      <c r="DDS54" s="113"/>
      <c r="DDT54" s="113"/>
      <c r="DDU54" s="113"/>
      <c r="DDV54" s="113"/>
      <c r="DDW54" s="113"/>
      <c r="DDX54" s="113"/>
      <c r="DDY54" s="113"/>
      <c r="DDZ54" s="113"/>
      <c r="DEA54" s="113"/>
      <c r="DEB54" s="113"/>
      <c r="DEC54" s="113"/>
      <c r="DED54" s="113"/>
      <c r="DEE54" s="113"/>
      <c r="DEF54" s="113"/>
      <c r="DEG54" s="113"/>
      <c r="DEH54" s="113"/>
      <c r="DEI54" s="113"/>
      <c r="DEJ54" s="113"/>
      <c r="DEK54" s="113"/>
      <c r="DEL54" s="113"/>
      <c r="DEM54" s="113"/>
      <c r="DEN54" s="113"/>
      <c r="DEO54" s="113"/>
      <c r="DEP54" s="113"/>
      <c r="DEQ54" s="113"/>
      <c r="DER54" s="113"/>
      <c r="DES54" s="113"/>
      <c r="DET54" s="113"/>
      <c r="DEU54" s="113"/>
      <c r="DEV54" s="113"/>
      <c r="DEW54" s="113"/>
      <c r="DEX54" s="113"/>
      <c r="DEY54" s="113"/>
      <c r="DEZ54" s="113"/>
      <c r="DFA54" s="113"/>
      <c r="DFB54" s="113"/>
      <c r="DFC54" s="113"/>
      <c r="DFD54" s="113"/>
      <c r="DFE54" s="113"/>
      <c r="DFF54" s="113"/>
      <c r="DFG54" s="113"/>
      <c r="DFH54" s="113"/>
      <c r="DFI54" s="113"/>
      <c r="DFJ54" s="113"/>
      <c r="DFK54" s="113"/>
      <c r="DFL54" s="113"/>
      <c r="DFM54" s="113"/>
      <c r="DFN54" s="113"/>
      <c r="DFO54" s="113"/>
      <c r="DFP54" s="113"/>
      <c r="DFQ54" s="113"/>
      <c r="DFR54" s="113"/>
      <c r="DFS54" s="113"/>
      <c r="DFT54" s="113"/>
      <c r="DFU54" s="113"/>
      <c r="DFV54" s="113"/>
      <c r="DFW54" s="113"/>
      <c r="DFX54" s="113"/>
      <c r="DFY54" s="113"/>
      <c r="DFZ54" s="113"/>
      <c r="DGA54" s="113"/>
      <c r="DGB54" s="113"/>
      <c r="DGC54" s="113"/>
      <c r="DGD54" s="113"/>
      <c r="DGE54" s="113"/>
      <c r="DGF54" s="113"/>
      <c r="DGG54" s="113"/>
      <c r="DGH54" s="113"/>
      <c r="DGI54" s="113"/>
      <c r="DGJ54" s="113"/>
      <c r="DGK54" s="113"/>
      <c r="DGL54" s="113"/>
      <c r="DGM54" s="113"/>
      <c r="DGN54" s="113"/>
      <c r="DGO54" s="113"/>
      <c r="DGP54" s="113"/>
      <c r="DGQ54" s="113"/>
      <c r="DGR54" s="113"/>
      <c r="DGS54" s="113"/>
      <c r="DGT54" s="113"/>
      <c r="DGU54" s="113"/>
      <c r="DGV54" s="113"/>
      <c r="DGW54" s="113"/>
      <c r="DGX54" s="113"/>
      <c r="DGY54" s="113"/>
      <c r="DGZ54" s="113"/>
      <c r="DHA54" s="113"/>
      <c r="DHB54" s="113"/>
      <c r="DHC54" s="113"/>
      <c r="DHD54" s="113"/>
      <c r="DHE54" s="113"/>
      <c r="DHF54" s="113"/>
      <c r="DHG54" s="113"/>
      <c r="DHH54" s="113"/>
      <c r="DHI54" s="113"/>
      <c r="DHJ54" s="113"/>
      <c r="DHK54" s="113"/>
      <c r="DHL54" s="113"/>
      <c r="DHM54" s="113"/>
      <c r="DHN54" s="113"/>
      <c r="DHO54" s="113"/>
      <c r="DHP54" s="113"/>
      <c r="DHQ54" s="113"/>
      <c r="DHR54" s="113"/>
      <c r="DHS54" s="113"/>
      <c r="DHT54" s="113"/>
      <c r="DHU54" s="113"/>
      <c r="DHV54" s="113"/>
      <c r="DHW54" s="113"/>
      <c r="DHX54" s="113"/>
      <c r="DHY54" s="113"/>
      <c r="DHZ54" s="113"/>
      <c r="DIA54" s="113"/>
      <c r="DIB54" s="113"/>
      <c r="DIC54" s="113"/>
      <c r="DID54" s="113"/>
      <c r="DIE54" s="113"/>
      <c r="DIF54" s="113"/>
      <c r="DIG54" s="113"/>
      <c r="DIH54" s="113"/>
      <c r="DII54" s="113"/>
      <c r="DIJ54" s="113"/>
      <c r="DIK54" s="113"/>
      <c r="DIL54" s="113"/>
      <c r="DIM54" s="113"/>
      <c r="DIN54" s="113"/>
      <c r="DIO54" s="113"/>
      <c r="DIP54" s="113"/>
      <c r="DIQ54" s="113"/>
      <c r="DIR54" s="113"/>
      <c r="DIS54" s="113"/>
      <c r="DIT54" s="113"/>
      <c r="DIU54" s="113"/>
      <c r="DIV54" s="113"/>
      <c r="DIW54" s="113"/>
      <c r="DIX54" s="113"/>
      <c r="DIY54" s="113"/>
      <c r="DIZ54" s="113"/>
      <c r="DJA54" s="113"/>
      <c r="DJB54" s="113"/>
      <c r="DJC54" s="113"/>
      <c r="DJD54" s="113"/>
      <c r="DJE54" s="113"/>
      <c r="DJF54" s="113"/>
      <c r="DJG54" s="113"/>
      <c r="DJH54" s="113"/>
      <c r="DJI54" s="113"/>
      <c r="DJJ54" s="113"/>
      <c r="DJK54" s="113"/>
      <c r="DJL54" s="113"/>
      <c r="DJM54" s="113"/>
      <c r="DJN54" s="113"/>
      <c r="DJO54" s="113"/>
      <c r="DJP54" s="113"/>
      <c r="DJQ54" s="113"/>
      <c r="DJR54" s="113"/>
      <c r="DJS54" s="113"/>
      <c r="DJT54" s="113"/>
      <c r="DJU54" s="113"/>
      <c r="DJV54" s="113"/>
      <c r="DJW54" s="113"/>
      <c r="DJX54" s="113"/>
      <c r="DJY54" s="113"/>
      <c r="DJZ54" s="113"/>
      <c r="DKA54" s="113"/>
      <c r="DKB54" s="113"/>
      <c r="DKC54" s="113"/>
      <c r="DKD54" s="113"/>
      <c r="DKE54" s="113"/>
      <c r="DKF54" s="113"/>
      <c r="DKG54" s="113"/>
      <c r="DKH54" s="113"/>
      <c r="DKI54" s="113"/>
      <c r="DKJ54" s="113"/>
      <c r="DKK54" s="113"/>
      <c r="DKL54" s="113"/>
      <c r="DKM54" s="113"/>
      <c r="DKN54" s="113"/>
      <c r="DKO54" s="113"/>
      <c r="DKP54" s="113"/>
      <c r="DKQ54" s="113"/>
      <c r="DKR54" s="113"/>
      <c r="DKS54" s="113"/>
      <c r="DKT54" s="113"/>
      <c r="DKU54" s="113"/>
      <c r="DKV54" s="113"/>
      <c r="DKW54" s="113"/>
      <c r="DKX54" s="113"/>
      <c r="DKY54" s="113"/>
      <c r="DKZ54" s="113"/>
      <c r="DLA54" s="113"/>
      <c r="DLB54" s="113"/>
      <c r="DLC54" s="113"/>
      <c r="DLD54" s="113"/>
      <c r="DLE54" s="113"/>
      <c r="DLF54" s="113"/>
      <c r="DLG54" s="113"/>
      <c r="DLH54" s="113"/>
      <c r="DLI54" s="113"/>
      <c r="DLJ54" s="113"/>
      <c r="DLK54" s="113"/>
      <c r="DLL54" s="113"/>
      <c r="DLM54" s="113"/>
      <c r="DLN54" s="113"/>
      <c r="DLO54" s="113"/>
      <c r="DLP54" s="113"/>
      <c r="DLQ54" s="113"/>
      <c r="DLR54" s="113"/>
      <c r="DLS54" s="113"/>
      <c r="DLT54" s="113"/>
      <c r="DLU54" s="113"/>
      <c r="DLV54" s="113"/>
      <c r="DLW54" s="113"/>
      <c r="DLX54" s="113"/>
      <c r="DLY54" s="113"/>
      <c r="DLZ54" s="113"/>
      <c r="DMA54" s="113"/>
      <c r="DMB54" s="113"/>
      <c r="DMC54" s="113"/>
      <c r="DMD54" s="113"/>
      <c r="DME54" s="113"/>
      <c r="DMF54" s="113"/>
      <c r="DMG54" s="113"/>
      <c r="DMH54" s="113"/>
      <c r="DMI54" s="113"/>
      <c r="DMJ54" s="113"/>
      <c r="DMK54" s="113"/>
      <c r="DML54" s="113"/>
      <c r="DMM54" s="113"/>
      <c r="DMN54" s="113"/>
      <c r="DMO54" s="113"/>
      <c r="DMP54" s="113"/>
      <c r="DMQ54" s="113"/>
      <c r="DMR54" s="113"/>
      <c r="DMS54" s="113"/>
      <c r="DMT54" s="113"/>
      <c r="DMU54" s="113"/>
      <c r="DMV54" s="113"/>
      <c r="DMW54" s="113"/>
      <c r="DMX54" s="113"/>
      <c r="DMY54" s="113"/>
      <c r="DMZ54" s="113"/>
      <c r="DNA54" s="113"/>
      <c r="DNB54" s="113"/>
      <c r="DNC54" s="113"/>
      <c r="DND54" s="113"/>
      <c r="DNE54" s="113"/>
      <c r="DNF54" s="113"/>
      <c r="DNG54" s="113"/>
      <c r="DNH54" s="113"/>
      <c r="DNI54" s="113"/>
      <c r="DNJ54" s="113"/>
      <c r="DNK54" s="113"/>
      <c r="DNL54" s="113"/>
      <c r="DNM54" s="113"/>
      <c r="DNN54" s="113"/>
      <c r="DNO54" s="113"/>
      <c r="DNP54" s="113"/>
      <c r="DNQ54" s="113"/>
      <c r="DNR54" s="113"/>
      <c r="DNS54" s="113"/>
      <c r="DNT54" s="113"/>
      <c r="DNU54" s="113"/>
      <c r="DNV54" s="113"/>
      <c r="DNW54" s="113"/>
      <c r="DNX54" s="113"/>
      <c r="DNY54" s="113"/>
      <c r="DNZ54" s="113"/>
      <c r="DOA54" s="113"/>
      <c r="DOB54" s="113"/>
      <c r="DOC54" s="113"/>
      <c r="DOD54" s="113"/>
      <c r="DOE54" s="113"/>
      <c r="DOF54" s="113"/>
      <c r="DOG54" s="113"/>
      <c r="DOH54" s="113"/>
      <c r="DOI54" s="113"/>
      <c r="DOJ54" s="113"/>
      <c r="DOK54" s="113"/>
      <c r="DOL54" s="113"/>
      <c r="DOM54" s="113"/>
      <c r="DON54" s="113"/>
      <c r="DOO54" s="113"/>
      <c r="DOP54" s="113"/>
      <c r="DOQ54" s="113"/>
      <c r="DOR54" s="113"/>
      <c r="DOS54" s="113"/>
      <c r="DOT54" s="113"/>
      <c r="DOU54" s="113"/>
      <c r="DOV54" s="113"/>
      <c r="DOW54" s="113"/>
      <c r="DOX54" s="113"/>
      <c r="DOY54" s="113"/>
      <c r="DOZ54" s="113"/>
      <c r="DPA54" s="113"/>
      <c r="DPB54" s="113"/>
      <c r="DPC54" s="113"/>
      <c r="DPD54" s="113"/>
      <c r="DPE54" s="113"/>
      <c r="DPF54" s="113"/>
      <c r="DPG54" s="113"/>
      <c r="DPH54" s="113"/>
      <c r="DPI54" s="113"/>
      <c r="DPJ54" s="113"/>
      <c r="DPK54" s="113"/>
      <c r="DPL54" s="113"/>
      <c r="DPM54" s="113"/>
      <c r="DPN54" s="113"/>
      <c r="DPO54" s="113"/>
      <c r="DPP54" s="113"/>
      <c r="DPQ54" s="113"/>
      <c r="DPR54" s="113"/>
      <c r="DPS54" s="113"/>
      <c r="DPT54" s="113"/>
      <c r="DPU54" s="113"/>
      <c r="DPV54" s="113"/>
      <c r="DPW54" s="113"/>
      <c r="DPX54" s="113"/>
      <c r="DPY54" s="113"/>
      <c r="DPZ54" s="113"/>
      <c r="DQA54" s="113"/>
      <c r="DQB54" s="113"/>
      <c r="DQC54" s="113"/>
      <c r="DQD54" s="113"/>
      <c r="DQE54" s="113"/>
      <c r="DQF54" s="113"/>
      <c r="DQG54" s="113"/>
      <c r="DQH54" s="113"/>
      <c r="DQI54" s="113"/>
      <c r="DQJ54" s="113"/>
      <c r="DQK54" s="113"/>
      <c r="DQL54" s="113"/>
      <c r="DQM54" s="113"/>
      <c r="DQN54" s="113"/>
      <c r="DQO54" s="113"/>
      <c r="DQP54" s="113"/>
      <c r="DQQ54" s="113"/>
      <c r="DQR54" s="113"/>
      <c r="DQS54" s="113"/>
      <c r="DQT54" s="113"/>
      <c r="DQU54" s="113"/>
      <c r="DQV54" s="113"/>
      <c r="DQW54" s="113"/>
      <c r="DQX54" s="113"/>
      <c r="DQY54" s="113"/>
      <c r="DQZ54" s="113"/>
      <c r="DRA54" s="113"/>
      <c r="DRB54" s="113"/>
      <c r="DRC54" s="113"/>
      <c r="DRD54" s="113"/>
      <c r="DRE54" s="113"/>
      <c r="DRF54" s="113"/>
      <c r="DRG54" s="113"/>
      <c r="DRH54" s="113"/>
      <c r="DRI54" s="113"/>
      <c r="DRJ54" s="113"/>
      <c r="DRK54" s="113"/>
      <c r="DRL54" s="113"/>
      <c r="DRM54" s="113"/>
      <c r="DRN54" s="113"/>
      <c r="DRO54" s="113"/>
      <c r="DRP54" s="113"/>
      <c r="DRQ54" s="113"/>
      <c r="DRR54" s="113"/>
      <c r="DRS54" s="113"/>
      <c r="DRT54" s="113"/>
      <c r="DRU54" s="113"/>
      <c r="DRV54" s="113"/>
      <c r="DRW54" s="113"/>
      <c r="DRX54" s="113"/>
      <c r="DRY54" s="113"/>
      <c r="DRZ54" s="113"/>
      <c r="DSA54" s="113"/>
      <c r="DSB54" s="113"/>
      <c r="DSC54" s="113"/>
      <c r="DSD54" s="113"/>
      <c r="DSE54" s="113"/>
      <c r="DSF54" s="113"/>
      <c r="DSG54" s="113"/>
      <c r="DSH54" s="113"/>
      <c r="DSI54" s="113"/>
      <c r="DSJ54" s="113"/>
      <c r="DSK54" s="113"/>
      <c r="DSL54" s="113"/>
      <c r="DSM54" s="113"/>
      <c r="DSN54" s="113"/>
      <c r="DSO54" s="113"/>
      <c r="DSP54" s="113"/>
      <c r="DSQ54" s="113"/>
      <c r="DSR54" s="113"/>
      <c r="DSS54" s="113"/>
      <c r="DST54" s="113"/>
      <c r="DSU54" s="113"/>
      <c r="DSV54" s="113"/>
      <c r="DSW54" s="113"/>
      <c r="DSX54" s="113"/>
      <c r="DSY54" s="113"/>
      <c r="DSZ54" s="113"/>
      <c r="DTA54" s="113"/>
      <c r="DTB54" s="113"/>
      <c r="DTC54" s="113"/>
      <c r="DTD54" s="113"/>
      <c r="DTE54" s="113"/>
      <c r="DTF54" s="113"/>
      <c r="DTG54" s="113"/>
      <c r="DTH54" s="113"/>
      <c r="DTI54" s="113"/>
      <c r="DTJ54" s="113"/>
      <c r="DTK54" s="113"/>
      <c r="DTL54" s="113"/>
      <c r="DTM54" s="113"/>
      <c r="DTN54" s="113"/>
      <c r="DTO54" s="113"/>
      <c r="DTP54" s="113"/>
      <c r="DTQ54" s="113"/>
      <c r="DTR54" s="113"/>
      <c r="DTS54" s="113"/>
      <c r="DTT54" s="113"/>
      <c r="DTU54" s="113"/>
      <c r="DTV54" s="113"/>
      <c r="DTW54" s="113"/>
      <c r="DTX54" s="113"/>
      <c r="DTY54" s="113"/>
      <c r="DTZ54" s="113"/>
      <c r="DUA54" s="113"/>
      <c r="DUB54" s="113"/>
      <c r="DUC54" s="113"/>
      <c r="DUD54" s="113"/>
      <c r="DUE54" s="113"/>
      <c r="DUF54" s="113"/>
      <c r="DUG54" s="113"/>
      <c r="DUH54" s="113"/>
      <c r="DUI54" s="113"/>
      <c r="DUJ54" s="113"/>
      <c r="DUK54" s="113"/>
      <c r="DUL54" s="113"/>
      <c r="DUM54" s="113"/>
      <c r="DUN54" s="113"/>
      <c r="DUO54" s="113"/>
      <c r="DUP54" s="113"/>
      <c r="DUQ54" s="113"/>
      <c r="DUR54" s="113"/>
      <c r="DUS54" s="113"/>
      <c r="DUT54" s="113"/>
      <c r="DUU54" s="113"/>
      <c r="DUV54" s="113"/>
      <c r="DUW54" s="113"/>
      <c r="DUX54" s="113"/>
      <c r="DUY54" s="113"/>
      <c r="DUZ54" s="113"/>
      <c r="DVA54" s="113"/>
      <c r="DVB54" s="113"/>
      <c r="DVC54" s="113"/>
      <c r="DVD54" s="113"/>
      <c r="DVE54" s="113"/>
      <c r="DVF54" s="113"/>
      <c r="DVG54" s="113"/>
      <c r="DVH54" s="113"/>
      <c r="DVI54" s="113"/>
      <c r="DVJ54" s="113"/>
      <c r="DVK54" s="113"/>
      <c r="DVL54" s="113"/>
      <c r="DVM54" s="113"/>
      <c r="DVN54" s="113"/>
      <c r="DVO54" s="113"/>
      <c r="DVP54" s="113"/>
      <c r="DVQ54" s="113"/>
      <c r="DVR54" s="113"/>
      <c r="DVS54" s="113"/>
      <c r="DVT54" s="113"/>
      <c r="DVU54" s="113"/>
      <c r="DVV54" s="113"/>
      <c r="DVW54" s="113"/>
      <c r="DVX54" s="113"/>
      <c r="DVY54" s="113"/>
      <c r="DVZ54" s="113"/>
      <c r="DWA54" s="113"/>
      <c r="DWB54" s="113"/>
      <c r="DWC54" s="113"/>
      <c r="DWD54" s="113"/>
      <c r="DWE54" s="113"/>
      <c r="DWF54" s="113"/>
      <c r="DWG54" s="113"/>
      <c r="DWH54" s="113"/>
      <c r="DWI54" s="113"/>
      <c r="DWJ54" s="113"/>
      <c r="DWK54" s="113"/>
      <c r="DWL54" s="113"/>
      <c r="DWM54" s="113"/>
      <c r="DWN54" s="113"/>
      <c r="DWO54" s="113"/>
      <c r="DWP54" s="113"/>
      <c r="DWQ54" s="113"/>
      <c r="DWR54" s="113"/>
      <c r="DWS54" s="113"/>
      <c r="DWT54" s="113"/>
      <c r="DWU54" s="113"/>
      <c r="DWV54" s="113"/>
      <c r="DWW54" s="113"/>
      <c r="DWX54" s="113"/>
      <c r="DWY54" s="113"/>
      <c r="DWZ54" s="113"/>
      <c r="DXA54" s="113"/>
      <c r="DXB54" s="113"/>
      <c r="DXC54" s="113"/>
      <c r="DXD54" s="113"/>
      <c r="DXE54" s="113"/>
      <c r="DXF54" s="113"/>
      <c r="DXG54" s="113"/>
      <c r="DXH54" s="113"/>
      <c r="DXI54" s="113"/>
      <c r="DXJ54" s="113"/>
      <c r="DXK54" s="113"/>
      <c r="DXL54" s="113"/>
      <c r="DXM54" s="113"/>
      <c r="DXN54" s="113"/>
      <c r="DXO54" s="113"/>
      <c r="DXP54" s="113"/>
      <c r="DXQ54" s="113"/>
      <c r="DXR54" s="113"/>
      <c r="DXS54" s="113"/>
      <c r="DXT54" s="113"/>
      <c r="DXU54" s="113"/>
      <c r="DXV54" s="113"/>
      <c r="DXW54" s="113"/>
      <c r="DXX54" s="113"/>
      <c r="DXY54" s="113"/>
      <c r="DXZ54" s="113"/>
      <c r="DYA54" s="113"/>
      <c r="DYB54" s="113"/>
      <c r="DYC54" s="113"/>
      <c r="DYD54" s="113"/>
      <c r="DYE54" s="113"/>
      <c r="DYF54" s="113"/>
      <c r="DYG54" s="113"/>
      <c r="DYH54" s="113"/>
      <c r="DYI54" s="113"/>
      <c r="DYJ54" s="113"/>
      <c r="DYK54" s="113"/>
      <c r="DYL54" s="113"/>
      <c r="DYM54" s="113"/>
      <c r="DYN54" s="113"/>
      <c r="DYO54" s="113"/>
      <c r="DYP54" s="113"/>
      <c r="DYQ54" s="113"/>
      <c r="DYR54" s="113"/>
      <c r="DYS54" s="113"/>
      <c r="DYT54" s="113"/>
      <c r="DYU54" s="113"/>
      <c r="DYV54" s="113"/>
      <c r="DYW54" s="113"/>
      <c r="DYX54" s="113"/>
      <c r="DYY54" s="113"/>
      <c r="DYZ54" s="113"/>
      <c r="DZA54" s="113"/>
      <c r="DZB54" s="113"/>
      <c r="DZC54" s="113"/>
      <c r="DZD54" s="113"/>
      <c r="DZE54" s="113"/>
      <c r="DZF54" s="113"/>
      <c r="DZG54" s="113"/>
      <c r="DZH54" s="113"/>
      <c r="DZI54" s="113"/>
      <c r="DZJ54" s="113"/>
      <c r="DZK54" s="113"/>
      <c r="DZL54" s="113"/>
      <c r="DZM54" s="113"/>
      <c r="DZN54" s="113"/>
      <c r="DZO54" s="113"/>
      <c r="DZP54" s="113"/>
      <c r="DZQ54" s="113"/>
      <c r="DZR54" s="113"/>
      <c r="DZS54" s="113"/>
      <c r="DZT54" s="113"/>
      <c r="DZU54" s="113"/>
      <c r="DZV54" s="113"/>
      <c r="DZW54" s="113"/>
      <c r="DZX54" s="113"/>
      <c r="DZY54" s="113"/>
      <c r="DZZ54" s="113"/>
      <c r="EAA54" s="113"/>
      <c r="EAB54" s="113"/>
      <c r="EAC54" s="113"/>
      <c r="EAD54" s="113"/>
      <c r="EAE54" s="113"/>
      <c r="EAF54" s="113"/>
      <c r="EAG54" s="113"/>
      <c r="EAH54" s="113"/>
      <c r="EAI54" s="113"/>
      <c r="EAJ54" s="113"/>
      <c r="EAK54" s="113"/>
      <c r="EAL54" s="113"/>
      <c r="EAM54" s="113"/>
      <c r="EAN54" s="113"/>
      <c r="EAO54" s="113"/>
      <c r="EAP54" s="113"/>
      <c r="EAQ54" s="113"/>
      <c r="EAR54" s="113"/>
      <c r="EAS54" s="113"/>
      <c r="EAT54" s="113"/>
      <c r="EAU54" s="113"/>
      <c r="EAV54" s="113"/>
      <c r="EAW54" s="113"/>
      <c r="EAX54" s="113"/>
      <c r="EAY54" s="113"/>
      <c r="EAZ54" s="113"/>
      <c r="EBA54" s="113"/>
      <c r="EBB54" s="113"/>
      <c r="EBC54" s="113"/>
      <c r="EBD54" s="113"/>
      <c r="EBE54" s="113"/>
      <c r="EBF54" s="113"/>
      <c r="EBG54" s="113"/>
      <c r="EBH54" s="113"/>
      <c r="EBI54" s="113"/>
      <c r="EBJ54" s="113"/>
      <c r="EBK54" s="113"/>
      <c r="EBL54" s="113"/>
      <c r="EBM54" s="113"/>
      <c r="EBN54" s="113"/>
      <c r="EBO54" s="113"/>
      <c r="EBP54" s="113"/>
      <c r="EBQ54" s="113"/>
      <c r="EBR54" s="113"/>
      <c r="EBS54" s="113"/>
      <c r="EBT54" s="113"/>
      <c r="EBU54" s="113"/>
      <c r="EBV54" s="113"/>
      <c r="EBW54" s="113"/>
      <c r="EBX54" s="113"/>
      <c r="EBY54" s="113"/>
      <c r="EBZ54" s="113"/>
      <c r="ECA54" s="113"/>
      <c r="ECB54" s="113"/>
      <c r="ECC54" s="113"/>
      <c r="ECD54" s="113"/>
      <c r="ECE54" s="113"/>
      <c r="ECF54" s="113"/>
      <c r="ECG54" s="113"/>
      <c r="ECH54" s="113"/>
      <c r="ECI54" s="113"/>
      <c r="ECJ54" s="113"/>
      <c r="ECK54" s="113"/>
      <c r="ECL54" s="113"/>
      <c r="ECM54" s="113"/>
      <c r="ECN54" s="113"/>
      <c r="ECO54" s="113"/>
      <c r="ECP54" s="113"/>
      <c r="ECQ54" s="113"/>
      <c r="ECR54" s="113"/>
      <c r="ECS54" s="113"/>
      <c r="ECT54" s="113"/>
      <c r="ECU54" s="113"/>
      <c r="ECV54" s="113"/>
      <c r="ECW54" s="113"/>
      <c r="ECX54" s="113"/>
      <c r="ECY54" s="113"/>
      <c r="ECZ54" s="113"/>
      <c r="EDA54" s="113"/>
      <c r="EDB54" s="113"/>
      <c r="EDC54" s="113"/>
      <c r="EDD54" s="113"/>
      <c r="EDE54" s="113"/>
      <c r="EDF54" s="113"/>
      <c r="EDG54" s="113"/>
      <c r="EDH54" s="113"/>
      <c r="EDI54" s="113"/>
      <c r="EDJ54" s="113"/>
      <c r="EDK54" s="113"/>
      <c r="EDL54" s="113"/>
      <c r="EDM54" s="113"/>
      <c r="EDN54" s="113"/>
      <c r="EDO54" s="113"/>
      <c r="EDP54" s="113"/>
      <c r="EDQ54" s="113"/>
      <c r="EDR54" s="113"/>
      <c r="EDS54" s="113"/>
      <c r="EDT54" s="113"/>
      <c r="EDU54" s="113"/>
      <c r="EDV54" s="113"/>
      <c r="EDW54" s="113"/>
      <c r="EDX54" s="113"/>
      <c r="EDY54" s="113"/>
      <c r="EDZ54" s="113"/>
      <c r="EEA54" s="113"/>
      <c r="EEB54" s="113"/>
      <c r="EEC54" s="113"/>
      <c r="EED54" s="113"/>
      <c r="EEE54" s="113"/>
      <c r="EEF54" s="113"/>
      <c r="EEG54" s="113"/>
      <c r="EEH54" s="113"/>
      <c r="EEI54" s="113"/>
      <c r="EEJ54" s="113"/>
      <c r="EEK54" s="113"/>
      <c r="EEL54" s="113"/>
      <c r="EEM54" s="113"/>
      <c r="EEN54" s="113"/>
      <c r="EEO54" s="113"/>
      <c r="EEP54" s="113"/>
      <c r="EEQ54" s="113"/>
      <c r="EER54" s="113"/>
      <c r="EES54" s="113"/>
      <c r="EET54" s="113"/>
      <c r="EEU54" s="113"/>
      <c r="EEV54" s="113"/>
      <c r="EEW54" s="113"/>
      <c r="EEX54" s="113"/>
      <c r="EEY54" s="113"/>
      <c r="EEZ54" s="113"/>
      <c r="EFA54" s="113"/>
      <c r="EFB54" s="113"/>
      <c r="EFC54" s="113"/>
      <c r="EFD54" s="113"/>
      <c r="EFE54" s="113"/>
      <c r="EFF54" s="113"/>
      <c r="EFG54" s="113"/>
      <c r="EFH54" s="113"/>
      <c r="EFI54" s="113"/>
      <c r="EFJ54" s="113"/>
      <c r="EFK54" s="113"/>
      <c r="EFL54" s="113"/>
      <c r="EFM54" s="113"/>
      <c r="EFN54" s="113"/>
      <c r="EFO54" s="113"/>
      <c r="EFP54" s="113"/>
      <c r="EFQ54" s="113"/>
      <c r="EFR54" s="113"/>
      <c r="EFS54" s="113"/>
      <c r="EFT54" s="113"/>
      <c r="EFU54" s="113"/>
      <c r="EFV54" s="113"/>
      <c r="EFW54" s="113"/>
      <c r="EFX54" s="113"/>
      <c r="EFY54" s="113"/>
      <c r="EFZ54" s="113"/>
      <c r="EGA54" s="113"/>
      <c r="EGB54" s="113"/>
      <c r="EGC54" s="113"/>
      <c r="EGD54" s="113"/>
      <c r="EGE54" s="113"/>
      <c r="EGF54" s="113"/>
      <c r="EGG54" s="113"/>
      <c r="EGH54" s="113"/>
      <c r="EGI54" s="113"/>
      <c r="EGJ54" s="113"/>
      <c r="EGK54" s="113"/>
      <c r="EGL54" s="113"/>
      <c r="EGM54" s="113"/>
      <c r="EGN54" s="113"/>
      <c r="EGO54" s="113"/>
      <c r="EGP54" s="113"/>
      <c r="EGQ54" s="113"/>
      <c r="EGR54" s="113"/>
      <c r="EGS54" s="113"/>
      <c r="EGT54" s="113"/>
      <c r="EGU54" s="113"/>
      <c r="EGV54" s="113"/>
      <c r="EGW54" s="113"/>
      <c r="EGX54" s="113"/>
      <c r="EGY54" s="113"/>
      <c r="EGZ54" s="113"/>
      <c r="EHA54" s="113"/>
      <c r="EHB54" s="113"/>
      <c r="EHC54" s="113"/>
      <c r="EHD54" s="113"/>
      <c r="EHE54" s="113"/>
      <c r="EHF54" s="113"/>
      <c r="EHG54" s="113"/>
      <c r="EHH54" s="113"/>
      <c r="EHI54" s="113"/>
      <c r="EHJ54" s="113"/>
      <c r="EHK54" s="113"/>
      <c r="EHL54" s="113"/>
      <c r="EHM54" s="113"/>
      <c r="EHN54" s="113"/>
      <c r="EHO54" s="113"/>
      <c r="EHP54" s="113"/>
      <c r="EHQ54" s="113"/>
      <c r="EHR54" s="113"/>
      <c r="EHS54" s="113"/>
      <c r="EHT54" s="113"/>
      <c r="EHU54" s="113"/>
      <c r="EHV54" s="113"/>
      <c r="EHW54" s="113"/>
      <c r="EHX54" s="113"/>
      <c r="EHY54" s="113"/>
      <c r="EHZ54" s="113"/>
      <c r="EIA54" s="113"/>
      <c r="EIB54" s="113"/>
      <c r="EIC54" s="113"/>
      <c r="EID54" s="113"/>
      <c r="EIE54" s="113"/>
      <c r="EIF54" s="113"/>
      <c r="EIG54" s="113"/>
      <c r="EIH54" s="113"/>
      <c r="EII54" s="113"/>
      <c r="EIJ54" s="113"/>
      <c r="EIK54" s="113"/>
      <c r="EIL54" s="113"/>
      <c r="EIM54" s="113"/>
      <c r="EIN54" s="113"/>
      <c r="EIO54" s="113"/>
      <c r="EIP54" s="113"/>
      <c r="EIQ54" s="113"/>
      <c r="EIR54" s="113"/>
      <c r="EIS54" s="113"/>
      <c r="EIT54" s="113"/>
      <c r="EIU54" s="113"/>
      <c r="EIV54" s="113"/>
      <c r="EIW54" s="113"/>
      <c r="EIX54" s="113"/>
      <c r="EIY54" s="113"/>
      <c r="EIZ54" s="113"/>
      <c r="EJA54" s="113"/>
      <c r="EJB54" s="113"/>
      <c r="EJC54" s="113"/>
      <c r="EJD54" s="113"/>
      <c r="EJE54" s="113"/>
      <c r="EJF54" s="113"/>
      <c r="EJG54" s="113"/>
      <c r="EJH54" s="113"/>
      <c r="EJI54" s="113"/>
      <c r="EJJ54" s="113"/>
      <c r="EJK54" s="113"/>
      <c r="EJL54" s="113"/>
      <c r="EJM54" s="113"/>
      <c r="EJN54" s="113"/>
      <c r="EJO54" s="113"/>
      <c r="EJP54" s="113"/>
      <c r="EJQ54" s="113"/>
      <c r="EJR54" s="113"/>
      <c r="EJS54" s="113"/>
      <c r="EJT54" s="113"/>
      <c r="EJU54" s="113"/>
      <c r="EJV54" s="113"/>
      <c r="EJW54" s="113"/>
      <c r="EJX54" s="113"/>
      <c r="EJY54" s="113"/>
      <c r="EJZ54" s="113"/>
      <c r="EKA54" s="113"/>
      <c r="EKB54" s="113"/>
      <c r="EKC54" s="113"/>
      <c r="EKD54" s="113"/>
      <c r="EKE54" s="113"/>
      <c r="EKF54" s="113"/>
      <c r="EKG54" s="113"/>
      <c r="EKH54" s="113"/>
      <c r="EKI54" s="113"/>
      <c r="EKJ54" s="113"/>
      <c r="EKK54" s="113"/>
      <c r="EKL54" s="113"/>
      <c r="EKM54" s="113"/>
      <c r="EKN54" s="113"/>
      <c r="EKO54" s="113"/>
      <c r="EKP54" s="113"/>
      <c r="EKQ54" s="113"/>
      <c r="EKR54" s="113"/>
      <c r="EKS54" s="113"/>
      <c r="EKT54" s="113"/>
      <c r="EKU54" s="113"/>
      <c r="EKV54" s="113"/>
      <c r="EKW54" s="113"/>
      <c r="EKX54" s="113"/>
      <c r="EKY54" s="113"/>
      <c r="EKZ54" s="113"/>
      <c r="ELA54" s="113"/>
      <c r="ELB54" s="113"/>
      <c r="ELC54" s="113"/>
      <c r="ELD54" s="113"/>
      <c r="ELE54" s="113"/>
      <c r="ELF54" s="113"/>
      <c r="ELG54" s="113"/>
      <c r="ELH54" s="113"/>
      <c r="ELI54" s="113"/>
      <c r="ELJ54" s="113"/>
      <c r="ELK54" s="113"/>
      <c r="ELL54" s="113"/>
      <c r="ELM54" s="113"/>
      <c r="ELN54" s="113"/>
      <c r="ELO54" s="113"/>
      <c r="ELP54" s="113"/>
      <c r="ELQ54" s="113"/>
      <c r="ELR54" s="113"/>
      <c r="ELS54" s="113"/>
      <c r="ELT54" s="113"/>
      <c r="ELU54" s="113"/>
      <c r="ELV54" s="113"/>
      <c r="ELW54" s="113"/>
      <c r="ELX54" s="113"/>
      <c r="ELY54" s="113"/>
      <c r="ELZ54" s="113"/>
      <c r="EMA54" s="113"/>
      <c r="EMB54" s="113"/>
      <c r="EMC54" s="113"/>
      <c r="EMD54" s="113"/>
      <c r="EME54" s="113"/>
      <c r="EMF54" s="113"/>
      <c r="EMG54" s="113"/>
      <c r="EMH54" s="113"/>
      <c r="EMI54" s="113"/>
      <c r="EMJ54" s="113"/>
      <c r="EMK54" s="113"/>
      <c r="EML54" s="113"/>
      <c r="EMM54" s="113"/>
      <c r="EMN54" s="113"/>
      <c r="EMO54" s="113"/>
      <c r="EMP54" s="113"/>
      <c r="EMQ54" s="113"/>
      <c r="EMR54" s="113"/>
      <c r="EMS54" s="113"/>
      <c r="EMT54" s="113"/>
      <c r="EMU54" s="113"/>
      <c r="EMV54" s="113"/>
      <c r="EMW54" s="113"/>
      <c r="EMX54" s="113"/>
      <c r="EMY54" s="113"/>
      <c r="EMZ54" s="113"/>
      <c r="ENA54" s="113"/>
      <c r="ENB54" s="113"/>
      <c r="ENC54" s="113"/>
      <c r="END54" s="113"/>
      <c r="ENE54" s="113"/>
      <c r="ENF54" s="113"/>
      <c r="ENG54" s="113"/>
      <c r="ENH54" s="113"/>
      <c r="ENI54" s="113"/>
      <c r="ENJ54" s="113"/>
      <c r="ENK54" s="113"/>
      <c r="ENL54" s="113"/>
      <c r="ENM54" s="113"/>
      <c r="ENN54" s="113"/>
      <c r="ENO54" s="113"/>
      <c r="ENP54" s="113"/>
      <c r="ENQ54" s="113"/>
      <c r="ENR54" s="113"/>
      <c r="ENS54" s="113"/>
      <c r="ENT54" s="113"/>
      <c r="ENU54" s="113"/>
      <c r="ENV54" s="113"/>
      <c r="ENW54" s="113"/>
      <c r="ENX54" s="113"/>
      <c r="ENY54" s="113"/>
      <c r="ENZ54" s="113"/>
      <c r="EOA54" s="113"/>
      <c r="EOB54" s="113"/>
      <c r="EOC54" s="113"/>
      <c r="EOD54" s="113"/>
      <c r="EOE54" s="113"/>
      <c r="EOF54" s="113"/>
      <c r="EOG54" s="113"/>
      <c r="EOH54" s="113"/>
      <c r="EOI54" s="113"/>
      <c r="EOJ54" s="113"/>
      <c r="EOK54" s="113"/>
      <c r="EOL54" s="113"/>
      <c r="EOM54" s="113"/>
      <c r="EON54" s="113"/>
      <c r="EOO54" s="113"/>
      <c r="EOP54" s="113"/>
      <c r="EOQ54" s="113"/>
      <c r="EOR54" s="113"/>
      <c r="EOS54" s="113"/>
      <c r="EOT54" s="113"/>
      <c r="EOU54" s="113"/>
      <c r="EOV54" s="113"/>
      <c r="EOW54" s="113"/>
      <c r="EOX54" s="113"/>
      <c r="EOY54" s="113"/>
      <c r="EOZ54" s="113"/>
      <c r="EPA54" s="113"/>
      <c r="EPB54" s="113"/>
      <c r="EPC54" s="113"/>
      <c r="EPD54" s="113"/>
      <c r="EPE54" s="113"/>
      <c r="EPF54" s="113"/>
      <c r="EPG54" s="113"/>
      <c r="EPH54" s="113"/>
      <c r="EPI54" s="113"/>
      <c r="EPJ54" s="113"/>
      <c r="EPK54" s="113"/>
      <c r="EPL54" s="113"/>
      <c r="EPM54" s="113"/>
      <c r="EPN54" s="113"/>
      <c r="EPO54" s="113"/>
      <c r="EPP54" s="113"/>
      <c r="EPQ54" s="113"/>
      <c r="EPR54" s="113"/>
      <c r="EPS54" s="113"/>
      <c r="EPT54" s="113"/>
      <c r="EPU54" s="113"/>
      <c r="EPV54" s="113"/>
      <c r="EPW54" s="113"/>
      <c r="EPX54" s="113"/>
      <c r="EPY54" s="113"/>
      <c r="EPZ54" s="113"/>
      <c r="EQA54" s="113"/>
      <c r="EQB54" s="113"/>
      <c r="EQC54" s="113"/>
      <c r="EQD54" s="113"/>
      <c r="EQE54" s="113"/>
      <c r="EQF54" s="113"/>
      <c r="EQG54" s="113"/>
      <c r="EQH54" s="113"/>
      <c r="EQI54" s="113"/>
      <c r="EQJ54" s="113"/>
      <c r="EQK54" s="113"/>
      <c r="EQL54" s="113"/>
      <c r="EQM54" s="113"/>
      <c r="EQN54" s="113"/>
      <c r="EQO54" s="113"/>
      <c r="EQP54" s="113"/>
      <c r="EQQ54" s="113"/>
      <c r="EQR54" s="113"/>
      <c r="EQS54" s="113"/>
      <c r="EQT54" s="113"/>
      <c r="EQU54" s="113"/>
      <c r="EQV54" s="113"/>
      <c r="EQW54" s="113"/>
      <c r="EQX54" s="113"/>
      <c r="EQY54" s="113"/>
      <c r="EQZ54" s="113"/>
      <c r="ERA54" s="113"/>
      <c r="ERB54" s="113"/>
      <c r="ERC54" s="113"/>
      <c r="ERD54" s="113"/>
      <c r="ERE54" s="113"/>
      <c r="ERF54" s="113"/>
      <c r="ERG54" s="113"/>
      <c r="ERH54" s="113"/>
      <c r="ERI54" s="113"/>
      <c r="ERJ54" s="113"/>
      <c r="ERK54" s="113"/>
      <c r="ERL54" s="113"/>
      <c r="ERM54" s="113"/>
      <c r="ERN54" s="113"/>
      <c r="ERO54" s="113"/>
      <c r="ERP54" s="113"/>
      <c r="ERQ54" s="113"/>
      <c r="ERR54" s="113"/>
      <c r="ERS54" s="113"/>
      <c r="ERT54" s="113"/>
      <c r="ERU54" s="113"/>
      <c r="ERV54" s="113"/>
      <c r="ERW54" s="113"/>
      <c r="ERX54" s="113"/>
      <c r="ERY54" s="113"/>
      <c r="ERZ54" s="113"/>
      <c r="ESA54" s="113"/>
      <c r="ESB54" s="113"/>
      <c r="ESC54" s="113"/>
      <c r="ESD54" s="113"/>
      <c r="ESE54" s="113"/>
      <c r="ESF54" s="113"/>
      <c r="ESG54" s="113"/>
      <c r="ESH54" s="113"/>
      <c r="ESI54" s="113"/>
      <c r="ESJ54" s="113"/>
      <c r="ESK54" s="113"/>
      <c r="ESL54" s="113"/>
      <c r="ESM54" s="113"/>
      <c r="ESN54" s="113"/>
      <c r="ESO54" s="113"/>
      <c r="ESP54" s="113"/>
      <c r="ESQ54" s="113"/>
      <c r="ESR54" s="113"/>
      <c r="ESS54" s="113"/>
      <c r="EST54" s="113"/>
      <c r="ESU54" s="113"/>
      <c r="ESV54" s="113"/>
      <c r="ESW54" s="113"/>
      <c r="ESX54" s="113"/>
      <c r="ESY54" s="113"/>
      <c r="ESZ54" s="113"/>
      <c r="ETA54" s="113"/>
      <c r="ETB54" s="113"/>
      <c r="ETC54" s="113"/>
      <c r="ETD54" s="113"/>
      <c r="ETE54" s="113"/>
      <c r="ETF54" s="113"/>
      <c r="ETG54" s="113"/>
      <c r="ETH54" s="113"/>
      <c r="ETI54" s="113"/>
      <c r="ETJ54" s="113"/>
      <c r="ETK54" s="113"/>
      <c r="ETL54" s="113"/>
      <c r="ETM54" s="113"/>
      <c r="ETN54" s="113"/>
      <c r="ETO54" s="113"/>
      <c r="ETP54" s="113"/>
      <c r="ETQ54" s="113"/>
      <c r="ETR54" s="113"/>
      <c r="ETS54" s="113"/>
      <c r="ETT54" s="113"/>
      <c r="ETU54" s="113"/>
      <c r="ETV54" s="113"/>
      <c r="ETW54" s="113"/>
      <c r="ETX54" s="113"/>
      <c r="ETY54" s="113"/>
      <c r="ETZ54" s="113"/>
      <c r="EUA54" s="113"/>
      <c r="EUB54" s="113"/>
      <c r="EUC54" s="113"/>
      <c r="EUD54" s="113"/>
      <c r="EUE54" s="113"/>
      <c r="EUF54" s="113"/>
      <c r="EUG54" s="113"/>
      <c r="EUH54" s="113"/>
      <c r="EUI54" s="113"/>
      <c r="EUJ54" s="113"/>
      <c r="EUK54" s="113"/>
      <c r="EUL54" s="113"/>
      <c r="EUM54" s="113"/>
      <c r="EUN54" s="113"/>
      <c r="EUO54" s="113"/>
      <c r="EUP54" s="113"/>
      <c r="EUQ54" s="113"/>
      <c r="EUR54" s="113"/>
      <c r="EUS54" s="113"/>
      <c r="EUT54" s="113"/>
      <c r="EUU54" s="113"/>
      <c r="EUV54" s="113"/>
      <c r="EUW54" s="113"/>
      <c r="EUX54" s="113"/>
      <c r="EUY54" s="113"/>
      <c r="EUZ54" s="113"/>
      <c r="EVA54" s="113"/>
      <c r="EVB54" s="113"/>
      <c r="EVC54" s="113"/>
      <c r="EVD54" s="113"/>
      <c r="EVE54" s="113"/>
      <c r="EVF54" s="113"/>
      <c r="EVG54" s="113"/>
      <c r="EVH54" s="113"/>
      <c r="EVI54" s="113"/>
      <c r="EVJ54" s="113"/>
      <c r="EVK54" s="113"/>
      <c r="EVL54" s="113"/>
      <c r="EVM54" s="113"/>
      <c r="EVN54" s="113"/>
      <c r="EVO54" s="113"/>
      <c r="EVP54" s="113"/>
      <c r="EVQ54" s="113"/>
      <c r="EVR54" s="113"/>
      <c r="EVS54" s="113"/>
      <c r="EVT54" s="113"/>
      <c r="EVU54" s="113"/>
      <c r="EVV54" s="113"/>
      <c r="EVW54" s="113"/>
      <c r="EVX54" s="113"/>
      <c r="EVY54" s="113"/>
      <c r="EVZ54" s="113"/>
      <c r="EWA54" s="113"/>
      <c r="EWB54" s="113"/>
      <c r="EWC54" s="113"/>
      <c r="EWD54" s="113"/>
      <c r="EWE54" s="113"/>
      <c r="EWF54" s="113"/>
      <c r="EWG54" s="113"/>
      <c r="EWH54" s="113"/>
      <c r="EWI54" s="113"/>
      <c r="EWJ54" s="113"/>
      <c r="EWK54" s="113"/>
      <c r="EWL54" s="113"/>
      <c r="EWM54" s="113"/>
      <c r="EWN54" s="113"/>
      <c r="EWO54" s="113"/>
      <c r="EWP54" s="113"/>
      <c r="EWQ54" s="113"/>
      <c r="EWR54" s="113"/>
      <c r="EWS54" s="113"/>
      <c r="EWT54" s="113"/>
      <c r="EWU54" s="113"/>
      <c r="EWV54" s="113"/>
      <c r="EWW54" s="113"/>
      <c r="EWX54" s="113"/>
      <c r="EWY54" s="113"/>
      <c r="EWZ54" s="113"/>
      <c r="EXA54" s="113"/>
      <c r="EXB54" s="113"/>
      <c r="EXC54" s="113"/>
      <c r="EXD54" s="113"/>
      <c r="EXE54" s="113"/>
      <c r="EXF54" s="113"/>
      <c r="EXG54" s="113"/>
      <c r="EXH54" s="113"/>
      <c r="EXI54" s="113"/>
      <c r="EXJ54" s="113"/>
      <c r="EXK54" s="113"/>
      <c r="EXL54" s="113"/>
      <c r="EXM54" s="113"/>
      <c r="EXN54" s="113"/>
      <c r="EXO54" s="113"/>
      <c r="EXP54" s="113"/>
      <c r="EXQ54" s="113"/>
      <c r="EXR54" s="113"/>
      <c r="EXS54" s="113"/>
      <c r="EXT54" s="113"/>
      <c r="EXU54" s="113"/>
      <c r="EXV54" s="113"/>
      <c r="EXW54" s="113"/>
      <c r="EXX54" s="113"/>
      <c r="EXY54" s="113"/>
      <c r="EXZ54" s="113"/>
      <c r="EYA54" s="113"/>
      <c r="EYB54" s="113"/>
      <c r="EYC54" s="113"/>
      <c r="EYD54" s="113"/>
      <c r="EYE54" s="113"/>
      <c r="EYF54" s="113"/>
      <c r="EYG54" s="113"/>
      <c r="EYH54" s="113"/>
      <c r="EYI54" s="113"/>
      <c r="EYJ54" s="113"/>
      <c r="EYK54" s="113"/>
      <c r="EYL54" s="113"/>
      <c r="EYM54" s="113"/>
      <c r="EYN54" s="113"/>
      <c r="EYO54" s="113"/>
      <c r="EYP54" s="113"/>
      <c r="EYQ54" s="113"/>
      <c r="EYR54" s="113"/>
      <c r="EYS54" s="113"/>
      <c r="EYT54" s="113"/>
      <c r="EYU54" s="113"/>
      <c r="EYV54" s="113"/>
      <c r="EYW54" s="113"/>
      <c r="EYX54" s="113"/>
      <c r="EYY54" s="113"/>
      <c r="EYZ54" s="113"/>
      <c r="EZA54" s="113"/>
      <c r="EZB54" s="113"/>
      <c r="EZC54" s="113"/>
      <c r="EZD54" s="113"/>
      <c r="EZE54" s="113"/>
      <c r="EZF54" s="113"/>
      <c r="EZG54" s="113"/>
      <c r="EZH54" s="113"/>
      <c r="EZI54" s="113"/>
      <c r="EZJ54" s="113"/>
      <c r="EZK54" s="113"/>
      <c r="EZL54" s="113"/>
      <c r="EZM54" s="113"/>
      <c r="EZN54" s="113"/>
      <c r="EZO54" s="113"/>
      <c r="EZP54" s="113"/>
      <c r="EZQ54" s="113"/>
      <c r="EZR54" s="113"/>
      <c r="EZS54" s="113"/>
      <c r="EZT54" s="113"/>
      <c r="EZU54" s="113"/>
      <c r="EZV54" s="113"/>
      <c r="EZW54" s="113"/>
      <c r="EZX54" s="113"/>
      <c r="EZY54" s="113"/>
      <c r="EZZ54" s="113"/>
      <c r="FAA54" s="113"/>
      <c r="FAB54" s="113"/>
      <c r="FAC54" s="113"/>
      <c r="FAD54" s="113"/>
      <c r="FAE54" s="113"/>
      <c r="FAF54" s="113"/>
      <c r="FAG54" s="113"/>
      <c r="FAH54" s="113"/>
      <c r="FAI54" s="113"/>
      <c r="FAJ54" s="113"/>
      <c r="FAK54" s="113"/>
      <c r="FAL54" s="113"/>
      <c r="FAM54" s="113"/>
      <c r="FAN54" s="113"/>
      <c r="FAO54" s="113"/>
      <c r="FAP54" s="113"/>
      <c r="FAQ54" s="113"/>
      <c r="FAR54" s="113"/>
      <c r="FAS54" s="113"/>
      <c r="FAT54" s="113"/>
      <c r="FAU54" s="113"/>
      <c r="FAV54" s="113"/>
      <c r="FAW54" s="113"/>
      <c r="FAX54" s="113"/>
      <c r="FAY54" s="113"/>
      <c r="FAZ54" s="113"/>
      <c r="FBA54" s="113"/>
      <c r="FBB54" s="113"/>
      <c r="FBC54" s="113"/>
      <c r="FBD54" s="113"/>
      <c r="FBE54" s="113"/>
      <c r="FBF54" s="113"/>
      <c r="FBG54" s="113"/>
      <c r="FBH54" s="113"/>
      <c r="FBI54" s="113"/>
      <c r="FBJ54" s="113"/>
      <c r="FBK54" s="113"/>
      <c r="FBL54" s="113"/>
      <c r="FBM54" s="113"/>
      <c r="FBN54" s="113"/>
      <c r="FBO54" s="113"/>
      <c r="FBP54" s="113"/>
      <c r="FBQ54" s="113"/>
      <c r="FBR54" s="113"/>
      <c r="FBS54" s="113"/>
      <c r="FBT54" s="113"/>
      <c r="FBU54" s="113"/>
      <c r="FBV54" s="113"/>
      <c r="FBW54" s="113"/>
      <c r="FBX54" s="113"/>
      <c r="FBY54" s="113"/>
      <c r="FBZ54" s="113"/>
      <c r="FCA54" s="113"/>
      <c r="FCB54" s="113"/>
      <c r="FCC54" s="113"/>
      <c r="FCD54" s="113"/>
      <c r="FCE54" s="113"/>
      <c r="FCF54" s="113"/>
      <c r="FCG54" s="113"/>
      <c r="FCH54" s="113"/>
      <c r="FCI54" s="113"/>
      <c r="FCJ54" s="113"/>
      <c r="FCK54" s="113"/>
      <c r="FCL54" s="113"/>
      <c r="FCM54" s="113"/>
      <c r="FCN54" s="113"/>
      <c r="FCO54" s="113"/>
      <c r="FCP54" s="113"/>
      <c r="FCQ54" s="113"/>
      <c r="FCR54" s="113"/>
      <c r="FCS54" s="113"/>
      <c r="FCT54" s="113"/>
      <c r="FCU54" s="113"/>
      <c r="FCV54" s="113"/>
      <c r="FCW54" s="113"/>
      <c r="FCX54" s="113"/>
      <c r="FCY54" s="113"/>
      <c r="FCZ54" s="113"/>
      <c r="FDA54" s="113"/>
      <c r="FDB54" s="113"/>
      <c r="FDC54" s="113"/>
      <c r="FDD54" s="113"/>
      <c r="FDE54" s="113"/>
      <c r="FDF54" s="113"/>
      <c r="FDG54" s="113"/>
      <c r="FDH54" s="113"/>
      <c r="FDI54" s="113"/>
      <c r="FDJ54" s="113"/>
      <c r="FDK54" s="113"/>
      <c r="FDL54" s="113"/>
      <c r="FDM54" s="113"/>
      <c r="FDN54" s="113"/>
      <c r="FDO54" s="113"/>
      <c r="FDP54" s="113"/>
      <c r="FDQ54" s="113"/>
      <c r="FDR54" s="113"/>
      <c r="FDS54" s="113"/>
      <c r="FDT54" s="113"/>
      <c r="FDU54" s="113"/>
      <c r="FDV54" s="113"/>
      <c r="FDW54" s="113"/>
      <c r="FDX54" s="113"/>
      <c r="FDY54" s="113"/>
      <c r="FDZ54" s="113"/>
      <c r="FEA54" s="113"/>
      <c r="FEB54" s="113"/>
      <c r="FEC54" s="113"/>
      <c r="FED54" s="113"/>
      <c r="FEE54" s="113"/>
      <c r="FEF54" s="113"/>
      <c r="FEG54" s="113"/>
      <c r="FEH54" s="113"/>
      <c r="FEI54" s="113"/>
      <c r="FEJ54" s="113"/>
      <c r="FEK54" s="113"/>
      <c r="FEL54" s="113"/>
      <c r="FEM54" s="113"/>
      <c r="FEN54" s="113"/>
      <c r="FEO54" s="113"/>
      <c r="FEP54" s="113"/>
      <c r="FEQ54" s="113"/>
      <c r="FER54" s="113"/>
      <c r="FES54" s="113"/>
      <c r="FET54" s="113"/>
      <c r="FEU54" s="113"/>
      <c r="FEV54" s="113"/>
      <c r="FEW54" s="113"/>
      <c r="FEX54" s="113"/>
      <c r="FEY54" s="113"/>
      <c r="FEZ54" s="113"/>
      <c r="FFA54" s="113"/>
      <c r="FFB54" s="113"/>
      <c r="FFC54" s="113"/>
      <c r="FFD54" s="113"/>
      <c r="FFE54" s="113"/>
      <c r="FFF54" s="113"/>
      <c r="FFG54" s="113"/>
      <c r="FFH54" s="113"/>
      <c r="FFI54" s="113"/>
      <c r="FFJ54" s="113"/>
      <c r="FFK54" s="113"/>
      <c r="FFL54" s="113"/>
      <c r="FFM54" s="113"/>
      <c r="FFN54" s="113"/>
      <c r="FFO54" s="113"/>
      <c r="FFP54" s="113"/>
      <c r="FFQ54" s="113"/>
      <c r="FFR54" s="113"/>
      <c r="FFS54" s="113"/>
      <c r="FFT54" s="113"/>
      <c r="FFU54" s="113"/>
      <c r="FFV54" s="113"/>
      <c r="FFW54" s="113"/>
      <c r="FFX54" s="113"/>
      <c r="FFY54" s="113"/>
      <c r="FFZ54" s="113"/>
      <c r="FGA54" s="113"/>
      <c r="FGB54" s="113"/>
      <c r="FGC54" s="113"/>
      <c r="FGD54" s="113"/>
      <c r="FGE54" s="113"/>
      <c r="FGF54" s="113"/>
      <c r="FGG54" s="113"/>
      <c r="FGH54" s="113"/>
      <c r="FGI54" s="113"/>
      <c r="FGJ54" s="113"/>
      <c r="FGK54" s="113"/>
      <c r="FGL54" s="113"/>
      <c r="FGM54" s="113"/>
      <c r="FGN54" s="113"/>
      <c r="FGO54" s="113"/>
      <c r="FGP54" s="113"/>
      <c r="FGQ54" s="113"/>
      <c r="FGR54" s="113"/>
      <c r="FGS54" s="113"/>
      <c r="FGT54" s="113"/>
      <c r="FGU54" s="113"/>
      <c r="FGV54" s="113"/>
      <c r="FGW54" s="113"/>
      <c r="FGX54" s="113"/>
      <c r="FGY54" s="113"/>
      <c r="FGZ54" s="113"/>
      <c r="FHA54" s="113"/>
      <c r="FHB54" s="113"/>
      <c r="FHC54" s="113"/>
      <c r="FHD54" s="113"/>
      <c r="FHE54" s="113"/>
      <c r="FHF54" s="113"/>
      <c r="FHG54" s="113"/>
      <c r="FHH54" s="113"/>
      <c r="FHI54" s="113"/>
      <c r="FHJ54" s="113"/>
      <c r="FHK54" s="113"/>
      <c r="FHL54" s="113"/>
      <c r="FHM54" s="113"/>
      <c r="FHN54" s="113"/>
      <c r="FHO54" s="113"/>
      <c r="FHP54" s="113"/>
      <c r="FHQ54" s="113"/>
      <c r="FHR54" s="113"/>
      <c r="FHS54" s="113"/>
      <c r="FHT54" s="113"/>
      <c r="FHU54" s="113"/>
      <c r="FHV54" s="113"/>
      <c r="FHW54" s="113"/>
      <c r="FHX54" s="113"/>
      <c r="FHY54" s="113"/>
      <c r="FHZ54" s="113"/>
      <c r="FIA54" s="113"/>
      <c r="FIB54" s="113"/>
      <c r="FIC54" s="113"/>
      <c r="FID54" s="113"/>
      <c r="FIE54" s="113"/>
      <c r="FIF54" s="113"/>
      <c r="FIG54" s="113"/>
      <c r="FIH54" s="113"/>
      <c r="FII54" s="113"/>
      <c r="FIJ54" s="113"/>
      <c r="FIK54" s="113"/>
      <c r="FIL54" s="113"/>
      <c r="FIM54" s="113"/>
      <c r="FIN54" s="113"/>
      <c r="FIO54" s="113"/>
      <c r="FIP54" s="113"/>
      <c r="FIQ54" s="113"/>
      <c r="FIR54" s="113"/>
      <c r="FIS54" s="113"/>
      <c r="FIT54" s="113"/>
      <c r="FIU54" s="113"/>
      <c r="FIV54" s="113"/>
      <c r="FIW54" s="113"/>
      <c r="FIX54" s="113"/>
      <c r="FIY54" s="113"/>
      <c r="FIZ54" s="113"/>
      <c r="FJA54" s="113"/>
      <c r="FJB54" s="113"/>
      <c r="FJC54" s="113"/>
      <c r="FJD54" s="113"/>
      <c r="FJE54" s="113"/>
      <c r="FJF54" s="113"/>
      <c r="FJG54" s="113"/>
      <c r="FJH54" s="113"/>
      <c r="FJI54" s="113"/>
      <c r="FJJ54" s="113"/>
      <c r="FJK54" s="113"/>
      <c r="FJL54" s="113"/>
      <c r="FJM54" s="113"/>
      <c r="FJN54" s="113"/>
      <c r="FJO54" s="113"/>
      <c r="FJP54" s="113"/>
      <c r="FJQ54" s="113"/>
      <c r="FJR54" s="113"/>
      <c r="FJS54" s="113"/>
      <c r="FJT54" s="113"/>
      <c r="FJU54" s="113"/>
      <c r="FJV54" s="113"/>
      <c r="FJW54" s="113"/>
      <c r="FJX54" s="113"/>
      <c r="FJY54" s="113"/>
      <c r="FJZ54" s="113"/>
      <c r="FKA54" s="113"/>
      <c r="FKB54" s="113"/>
      <c r="FKC54" s="113"/>
      <c r="FKD54" s="113"/>
      <c r="FKE54" s="113"/>
      <c r="FKF54" s="113"/>
      <c r="FKG54" s="113"/>
      <c r="FKH54" s="113"/>
      <c r="FKI54" s="113"/>
      <c r="FKJ54" s="113"/>
      <c r="FKK54" s="113"/>
      <c r="FKL54" s="113"/>
      <c r="FKM54" s="113"/>
      <c r="FKN54" s="113"/>
      <c r="FKO54" s="113"/>
      <c r="FKP54" s="113"/>
      <c r="FKQ54" s="113"/>
      <c r="FKR54" s="113"/>
      <c r="FKS54" s="113"/>
      <c r="FKT54" s="113"/>
      <c r="FKU54" s="113"/>
      <c r="FKV54" s="113"/>
      <c r="FKW54" s="113"/>
      <c r="FKX54" s="113"/>
      <c r="FKY54" s="113"/>
      <c r="FKZ54" s="113"/>
      <c r="FLA54" s="113"/>
      <c r="FLB54" s="113"/>
      <c r="FLC54" s="113"/>
      <c r="FLD54" s="113"/>
      <c r="FLE54" s="113"/>
      <c r="FLF54" s="113"/>
      <c r="FLG54" s="113"/>
      <c r="FLH54" s="113"/>
      <c r="FLI54" s="113"/>
      <c r="FLJ54" s="113"/>
      <c r="FLK54" s="113"/>
      <c r="FLL54" s="113"/>
      <c r="FLM54" s="113"/>
      <c r="FLN54" s="113"/>
      <c r="FLO54" s="113"/>
      <c r="FLP54" s="113"/>
      <c r="FLQ54" s="113"/>
      <c r="FLR54" s="113"/>
      <c r="FLS54" s="113"/>
      <c r="FLT54" s="113"/>
      <c r="FLU54" s="113"/>
      <c r="FLV54" s="113"/>
      <c r="FLW54" s="113"/>
      <c r="FLX54" s="113"/>
      <c r="FLY54" s="113"/>
      <c r="FLZ54" s="113"/>
      <c r="FMA54" s="113"/>
      <c r="FMB54" s="113"/>
      <c r="FMC54" s="113"/>
      <c r="FMD54" s="113"/>
      <c r="FME54" s="113"/>
      <c r="FMF54" s="113"/>
      <c r="FMG54" s="113"/>
      <c r="FMH54" s="113"/>
      <c r="FMI54" s="113"/>
      <c r="FMJ54" s="113"/>
      <c r="FMK54" s="113"/>
      <c r="FML54" s="113"/>
      <c r="FMM54" s="113"/>
      <c r="FMN54" s="113"/>
      <c r="FMO54" s="113"/>
      <c r="FMP54" s="113"/>
      <c r="FMQ54" s="113"/>
      <c r="FMR54" s="113"/>
      <c r="FMS54" s="113"/>
      <c r="FMT54" s="113"/>
      <c r="FMU54" s="113"/>
      <c r="FMV54" s="113"/>
      <c r="FMW54" s="113"/>
      <c r="FMX54" s="113"/>
      <c r="FMY54" s="113"/>
      <c r="FMZ54" s="113"/>
      <c r="FNA54" s="113"/>
      <c r="FNB54" s="113"/>
      <c r="FNC54" s="113"/>
      <c r="FND54" s="113"/>
      <c r="FNE54" s="113"/>
      <c r="FNF54" s="113"/>
      <c r="FNG54" s="113"/>
      <c r="FNH54" s="113"/>
      <c r="FNI54" s="113"/>
      <c r="FNJ54" s="113"/>
      <c r="FNK54" s="113"/>
      <c r="FNL54" s="113"/>
      <c r="FNM54" s="113"/>
      <c r="FNN54" s="113"/>
      <c r="FNO54" s="113"/>
      <c r="FNP54" s="113"/>
      <c r="FNQ54" s="113"/>
      <c r="FNR54" s="113"/>
      <c r="FNS54" s="113"/>
      <c r="FNT54" s="113"/>
      <c r="FNU54" s="113"/>
      <c r="FNV54" s="113"/>
      <c r="FNW54" s="113"/>
      <c r="FNX54" s="113"/>
      <c r="FNY54" s="113"/>
      <c r="FNZ54" s="113"/>
      <c r="FOA54" s="113"/>
      <c r="FOB54" s="113"/>
      <c r="FOC54" s="113"/>
      <c r="FOD54" s="113"/>
      <c r="FOE54" s="113"/>
      <c r="FOF54" s="113"/>
      <c r="FOG54" s="113"/>
      <c r="FOH54" s="113"/>
      <c r="FOI54" s="113"/>
      <c r="FOJ54" s="113"/>
      <c r="FOK54" s="113"/>
      <c r="FOL54" s="113"/>
      <c r="FOM54" s="113"/>
      <c r="FON54" s="113"/>
      <c r="FOO54" s="113"/>
      <c r="FOP54" s="113"/>
      <c r="FOQ54" s="113"/>
      <c r="FOR54" s="113"/>
      <c r="FOS54" s="113"/>
      <c r="FOT54" s="113"/>
      <c r="FOU54" s="113"/>
      <c r="FOV54" s="113"/>
      <c r="FOW54" s="113"/>
      <c r="FOX54" s="113"/>
      <c r="FOY54" s="113"/>
      <c r="FOZ54" s="113"/>
      <c r="FPA54" s="113"/>
      <c r="FPB54" s="113"/>
      <c r="FPC54" s="113"/>
      <c r="FPD54" s="113"/>
      <c r="FPE54" s="113"/>
      <c r="FPF54" s="113"/>
      <c r="FPG54" s="113"/>
      <c r="FPH54" s="113"/>
      <c r="FPI54" s="113"/>
      <c r="FPJ54" s="113"/>
      <c r="FPK54" s="113"/>
      <c r="FPL54" s="113"/>
      <c r="FPM54" s="113"/>
      <c r="FPN54" s="113"/>
      <c r="FPO54" s="113"/>
      <c r="FPP54" s="113"/>
      <c r="FPQ54" s="113"/>
      <c r="FPR54" s="113"/>
      <c r="FPS54" s="113"/>
      <c r="FPT54" s="113"/>
      <c r="FPU54" s="113"/>
      <c r="FPV54" s="113"/>
      <c r="FPW54" s="113"/>
      <c r="FPX54" s="113"/>
      <c r="FPY54" s="113"/>
      <c r="FPZ54" s="113"/>
      <c r="FQA54" s="113"/>
      <c r="FQB54" s="113"/>
      <c r="FQC54" s="113"/>
      <c r="FQD54" s="113"/>
      <c r="FQE54" s="113"/>
      <c r="FQF54" s="113"/>
      <c r="FQG54" s="113"/>
      <c r="FQH54" s="113"/>
      <c r="FQI54" s="113"/>
      <c r="FQJ54" s="113"/>
      <c r="FQK54" s="113"/>
      <c r="FQL54" s="113"/>
      <c r="FQM54" s="113"/>
      <c r="FQN54" s="113"/>
      <c r="FQO54" s="113"/>
      <c r="FQP54" s="113"/>
      <c r="FQQ54" s="113"/>
      <c r="FQR54" s="113"/>
      <c r="FQS54" s="113"/>
      <c r="FQT54" s="113"/>
      <c r="FQU54" s="113"/>
      <c r="FQV54" s="113"/>
      <c r="FQW54" s="113"/>
      <c r="FQX54" s="113"/>
      <c r="FQY54" s="113"/>
      <c r="FQZ54" s="113"/>
      <c r="FRA54" s="113"/>
      <c r="FRB54" s="113"/>
      <c r="FRC54" s="113"/>
      <c r="FRD54" s="113"/>
      <c r="FRE54" s="113"/>
      <c r="FRF54" s="113"/>
      <c r="FRG54" s="113"/>
      <c r="FRH54" s="113"/>
      <c r="FRI54" s="113"/>
      <c r="FRJ54" s="113"/>
      <c r="FRK54" s="113"/>
      <c r="FRL54" s="113"/>
      <c r="FRM54" s="113"/>
      <c r="FRN54" s="113"/>
      <c r="FRO54" s="113"/>
      <c r="FRP54" s="113"/>
      <c r="FRQ54" s="113"/>
      <c r="FRR54" s="113"/>
      <c r="FRS54" s="113"/>
      <c r="FRT54" s="113"/>
      <c r="FRU54" s="113"/>
      <c r="FRV54" s="113"/>
      <c r="FRW54" s="113"/>
      <c r="FRX54" s="113"/>
      <c r="FRY54" s="113"/>
      <c r="FRZ54" s="113"/>
      <c r="FSA54" s="113"/>
      <c r="FSB54" s="113"/>
      <c r="FSC54" s="113"/>
      <c r="FSD54" s="113"/>
      <c r="FSE54" s="113"/>
      <c r="FSF54" s="113"/>
      <c r="FSG54" s="113"/>
      <c r="FSH54" s="113"/>
      <c r="FSI54" s="113"/>
      <c r="FSJ54" s="113"/>
      <c r="FSK54" s="113"/>
      <c r="FSL54" s="113"/>
      <c r="FSM54" s="113"/>
      <c r="FSN54" s="113"/>
      <c r="FSO54" s="113"/>
      <c r="FSP54" s="113"/>
      <c r="FSQ54" s="113"/>
      <c r="FSR54" s="113"/>
      <c r="FSS54" s="113"/>
      <c r="FST54" s="113"/>
      <c r="FSU54" s="113"/>
      <c r="FSV54" s="113"/>
      <c r="FSW54" s="113"/>
      <c r="FSX54" s="113"/>
      <c r="FSY54" s="113"/>
      <c r="FSZ54" s="113"/>
      <c r="FTA54" s="113"/>
      <c r="FTB54" s="113"/>
      <c r="FTC54" s="113"/>
      <c r="FTD54" s="113"/>
      <c r="FTE54" s="113"/>
      <c r="FTF54" s="113"/>
      <c r="FTG54" s="113"/>
      <c r="FTH54" s="113"/>
      <c r="FTI54" s="113"/>
      <c r="FTJ54" s="113"/>
      <c r="FTK54" s="113"/>
      <c r="FTL54" s="113"/>
      <c r="FTM54" s="113"/>
      <c r="FTN54" s="113"/>
      <c r="FTO54" s="113"/>
      <c r="FTP54" s="113"/>
      <c r="FTQ54" s="113"/>
      <c r="FTR54" s="113"/>
      <c r="FTS54" s="113"/>
      <c r="FTT54" s="113"/>
      <c r="FTU54" s="113"/>
      <c r="FTV54" s="113"/>
      <c r="FTW54" s="113"/>
      <c r="FTX54" s="113"/>
      <c r="FTY54" s="113"/>
      <c r="FTZ54" s="113"/>
      <c r="FUA54" s="113"/>
      <c r="FUB54" s="113"/>
      <c r="FUC54" s="113"/>
      <c r="FUD54" s="113"/>
      <c r="FUE54" s="113"/>
      <c r="FUF54" s="113"/>
      <c r="FUG54" s="113"/>
      <c r="FUH54" s="113"/>
      <c r="FUI54" s="113"/>
      <c r="FUJ54" s="113"/>
      <c r="FUK54" s="113"/>
      <c r="FUL54" s="113"/>
      <c r="FUM54" s="113"/>
      <c r="FUN54" s="113"/>
      <c r="FUO54" s="113"/>
      <c r="FUP54" s="113"/>
      <c r="FUQ54" s="113"/>
      <c r="FUR54" s="113"/>
      <c r="FUS54" s="113"/>
      <c r="FUT54" s="113"/>
      <c r="FUU54" s="113"/>
      <c r="FUV54" s="113"/>
      <c r="FUW54" s="113"/>
      <c r="FUX54" s="113"/>
      <c r="FUY54" s="113"/>
      <c r="FUZ54" s="113"/>
      <c r="FVA54" s="113"/>
      <c r="FVB54" s="113"/>
      <c r="FVC54" s="113"/>
      <c r="FVD54" s="113"/>
      <c r="FVE54" s="113"/>
      <c r="FVF54" s="113"/>
      <c r="FVG54" s="113"/>
      <c r="FVH54" s="113"/>
      <c r="FVI54" s="113"/>
      <c r="FVJ54" s="113"/>
      <c r="FVK54" s="113"/>
      <c r="FVL54" s="113"/>
      <c r="FVM54" s="113"/>
      <c r="FVN54" s="113"/>
      <c r="FVO54" s="113"/>
      <c r="FVP54" s="113"/>
      <c r="FVQ54" s="113"/>
      <c r="FVR54" s="113"/>
      <c r="FVS54" s="113"/>
      <c r="FVT54" s="113"/>
      <c r="FVU54" s="113"/>
      <c r="FVV54" s="113"/>
      <c r="FVW54" s="113"/>
      <c r="FVX54" s="113"/>
      <c r="FVY54" s="113"/>
      <c r="FVZ54" s="113"/>
      <c r="FWA54" s="113"/>
      <c r="FWB54" s="113"/>
      <c r="FWC54" s="113"/>
      <c r="FWD54" s="113"/>
      <c r="FWE54" s="113"/>
      <c r="FWF54" s="113"/>
      <c r="FWG54" s="113"/>
      <c r="FWH54" s="113"/>
      <c r="FWI54" s="113"/>
      <c r="FWJ54" s="113"/>
      <c r="FWK54" s="113"/>
      <c r="FWL54" s="113"/>
      <c r="FWM54" s="113"/>
      <c r="FWN54" s="113"/>
      <c r="FWO54" s="113"/>
      <c r="FWP54" s="113"/>
      <c r="FWQ54" s="113"/>
      <c r="FWR54" s="113"/>
      <c r="FWS54" s="113"/>
      <c r="FWT54" s="113"/>
      <c r="FWU54" s="113"/>
      <c r="FWV54" s="113"/>
      <c r="FWW54" s="113"/>
      <c r="FWX54" s="113"/>
      <c r="FWY54" s="113"/>
      <c r="FWZ54" s="113"/>
      <c r="FXA54" s="113"/>
      <c r="FXB54" s="113"/>
      <c r="FXC54" s="113"/>
      <c r="FXD54" s="113"/>
      <c r="FXE54" s="113"/>
      <c r="FXF54" s="113"/>
      <c r="FXG54" s="113"/>
      <c r="FXH54" s="113"/>
      <c r="FXI54" s="113"/>
      <c r="FXJ54" s="113"/>
      <c r="FXK54" s="113"/>
      <c r="FXL54" s="113"/>
      <c r="FXM54" s="113"/>
      <c r="FXN54" s="113"/>
      <c r="FXO54" s="113"/>
      <c r="FXP54" s="113"/>
      <c r="FXQ54" s="113"/>
      <c r="FXR54" s="113"/>
      <c r="FXS54" s="113"/>
      <c r="FXT54" s="113"/>
      <c r="FXU54" s="113"/>
      <c r="FXV54" s="113"/>
      <c r="FXW54" s="113"/>
      <c r="FXX54" s="113"/>
      <c r="FXY54" s="113"/>
      <c r="FXZ54" s="113"/>
      <c r="FYA54" s="113"/>
      <c r="FYB54" s="113"/>
      <c r="FYC54" s="113"/>
      <c r="FYD54" s="113"/>
      <c r="FYE54" s="113"/>
      <c r="FYF54" s="113"/>
      <c r="FYG54" s="113"/>
      <c r="FYH54" s="113"/>
      <c r="FYI54" s="113"/>
      <c r="FYJ54" s="113"/>
      <c r="FYK54" s="113"/>
      <c r="FYL54" s="113"/>
      <c r="FYM54" s="113"/>
      <c r="FYN54" s="113"/>
      <c r="FYO54" s="113"/>
      <c r="FYP54" s="113"/>
      <c r="FYQ54" s="113"/>
      <c r="FYR54" s="113"/>
      <c r="FYS54" s="113"/>
      <c r="FYT54" s="113"/>
      <c r="FYU54" s="113"/>
      <c r="FYV54" s="113"/>
      <c r="FYW54" s="113"/>
      <c r="FYX54" s="113"/>
      <c r="FYY54" s="113"/>
      <c r="FYZ54" s="113"/>
      <c r="FZA54" s="113"/>
      <c r="FZB54" s="113"/>
      <c r="FZC54" s="113"/>
      <c r="FZD54" s="113"/>
      <c r="FZE54" s="113"/>
      <c r="FZF54" s="113"/>
      <c r="FZG54" s="113"/>
      <c r="FZH54" s="113"/>
      <c r="FZI54" s="113"/>
      <c r="FZJ54" s="113"/>
      <c r="FZK54" s="113"/>
      <c r="FZL54" s="113"/>
      <c r="FZM54" s="113"/>
      <c r="FZN54" s="113"/>
      <c r="FZO54" s="113"/>
      <c r="FZP54" s="113"/>
      <c r="FZQ54" s="113"/>
      <c r="FZR54" s="113"/>
      <c r="FZS54" s="113"/>
      <c r="FZT54" s="113"/>
      <c r="FZU54" s="113"/>
      <c r="FZV54" s="113"/>
      <c r="FZW54" s="113"/>
      <c r="FZX54" s="113"/>
      <c r="FZY54" s="113"/>
      <c r="FZZ54" s="113"/>
      <c r="GAA54" s="113"/>
      <c r="GAB54" s="113"/>
      <c r="GAC54" s="113"/>
      <c r="GAD54" s="113"/>
      <c r="GAE54" s="113"/>
      <c r="GAF54" s="113"/>
      <c r="GAG54" s="113"/>
      <c r="GAH54" s="113"/>
      <c r="GAI54" s="113"/>
      <c r="GAJ54" s="113"/>
      <c r="GAK54" s="113"/>
      <c r="GAL54" s="113"/>
      <c r="GAM54" s="113"/>
      <c r="GAN54" s="113"/>
      <c r="GAO54" s="113"/>
      <c r="GAP54" s="113"/>
      <c r="GAQ54" s="113"/>
      <c r="GAR54" s="113"/>
      <c r="GAS54" s="113"/>
      <c r="GAT54" s="113"/>
      <c r="GAU54" s="113"/>
      <c r="GAV54" s="113"/>
      <c r="GAW54" s="113"/>
      <c r="GAX54" s="113"/>
      <c r="GAY54" s="113"/>
      <c r="GAZ54" s="113"/>
      <c r="GBA54" s="113"/>
      <c r="GBB54" s="113"/>
      <c r="GBC54" s="113"/>
      <c r="GBD54" s="113"/>
      <c r="GBE54" s="113"/>
      <c r="GBF54" s="113"/>
      <c r="GBG54" s="113"/>
      <c r="GBH54" s="113"/>
      <c r="GBI54" s="113"/>
      <c r="GBJ54" s="113"/>
      <c r="GBK54" s="113"/>
      <c r="GBL54" s="113"/>
      <c r="GBM54" s="113"/>
      <c r="GBN54" s="113"/>
      <c r="GBO54" s="113"/>
      <c r="GBP54" s="113"/>
      <c r="GBQ54" s="113"/>
      <c r="GBR54" s="113"/>
      <c r="GBS54" s="113"/>
      <c r="GBT54" s="113"/>
      <c r="GBU54" s="113"/>
      <c r="GBV54" s="113"/>
      <c r="GBW54" s="113"/>
      <c r="GBX54" s="113"/>
      <c r="GBY54" s="113"/>
      <c r="GBZ54" s="113"/>
      <c r="GCA54" s="113"/>
      <c r="GCB54" s="113"/>
      <c r="GCC54" s="113"/>
      <c r="GCD54" s="113"/>
      <c r="GCE54" s="113"/>
      <c r="GCF54" s="113"/>
      <c r="GCG54" s="113"/>
      <c r="GCH54" s="113"/>
      <c r="GCI54" s="113"/>
      <c r="GCJ54" s="113"/>
      <c r="GCK54" s="113"/>
      <c r="GCL54" s="113"/>
      <c r="GCM54" s="113"/>
      <c r="GCN54" s="113"/>
      <c r="GCO54" s="113"/>
      <c r="GCP54" s="113"/>
      <c r="GCQ54" s="113"/>
      <c r="GCR54" s="113"/>
      <c r="GCS54" s="113"/>
      <c r="GCT54" s="113"/>
      <c r="GCU54" s="113"/>
      <c r="GCV54" s="113"/>
      <c r="GCW54" s="113"/>
      <c r="GCX54" s="113"/>
      <c r="GCY54" s="113"/>
      <c r="GCZ54" s="113"/>
      <c r="GDA54" s="113"/>
      <c r="GDB54" s="113"/>
      <c r="GDC54" s="113"/>
      <c r="GDD54" s="113"/>
      <c r="GDE54" s="113"/>
      <c r="GDF54" s="113"/>
      <c r="GDG54" s="113"/>
      <c r="GDH54" s="113"/>
      <c r="GDI54" s="113"/>
      <c r="GDJ54" s="113"/>
      <c r="GDK54" s="113"/>
      <c r="GDL54" s="113"/>
      <c r="GDM54" s="113"/>
      <c r="GDN54" s="113"/>
      <c r="GDO54" s="113"/>
      <c r="GDP54" s="113"/>
      <c r="GDQ54" s="113"/>
      <c r="GDR54" s="113"/>
      <c r="GDS54" s="113"/>
      <c r="GDT54" s="113"/>
      <c r="GDU54" s="113"/>
      <c r="GDV54" s="113"/>
      <c r="GDW54" s="113"/>
      <c r="GDX54" s="113"/>
      <c r="GDY54" s="113"/>
      <c r="GDZ54" s="113"/>
      <c r="GEA54" s="113"/>
      <c r="GEB54" s="113"/>
      <c r="GEC54" s="113"/>
      <c r="GED54" s="113"/>
      <c r="GEE54" s="113"/>
      <c r="GEF54" s="113"/>
      <c r="GEG54" s="113"/>
      <c r="GEH54" s="113"/>
      <c r="GEI54" s="113"/>
      <c r="GEJ54" s="113"/>
      <c r="GEK54" s="113"/>
      <c r="GEL54" s="113"/>
      <c r="GEM54" s="113"/>
      <c r="GEN54" s="113"/>
      <c r="GEO54" s="113"/>
      <c r="GEP54" s="113"/>
      <c r="GEQ54" s="113"/>
      <c r="GER54" s="113"/>
      <c r="GES54" s="113"/>
      <c r="GET54" s="113"/>
      <c r="GEU54" s="113"/>
      <c r="GEV54" s="113"/>
      <c r="GEW54" s="113"/>
      <c r="GEX54" s="113"/>
      <c r="GEY54" s="113"/>
      <c r="GEZ54" s="113"/>
      <c r="GFA54" s="113"/>
      <c r="GFB54" s="113"/>
      <c r="GFC54" s="113"/>
      <c r="GFD54" s="113"/>
      <c r="GFE54" s="113"/>
      <c r="GFF54" s="113"/>
      <c r="GFG54" s="113"/>
      <c r="GFH54" s="113"/>
      <c r="GFI54" s="113"/>
      <c r="GFJ54" s="113"/>
      <c r="GFK54" s="113"/>
      <c r="GFL54" s="113"/>
      <c r="GFM54" s="113"/>
      <c r="GFN54" s="113"/>
      <c r="GFO54" s="113"/>
      <c r="GFP54" s="113"/>
      <c r="GFQ54" s="113"/>
      <c r="GFR54" s="113"/>
      <c r="GFS54" s="113"/>
      <c r="GFT54" s="113"/>
      <c r="GFU54" s="113"/>
      <c r="GFV54" s="113"/>
      <c r="GFW54" s="113"/>
      <c r="GFX54" s="113"/>
      <c r="GFY54" s="113"/>
      <c r="GFZ54" s="113"/>
      <c r="GGA54" s="113"/>
      <c r="GGB54" s="113"/>
      <c r="GGC54" s="113"/>
      <c r="GGD54" s="113"/>
      <c r="GGE54" s="113"/>
      <c r="GGF54" s="113"/>
      <c r="GGG54" s="113"/>
      <c r="GGH54" s="113"/>
      <c r="GGI54" s="113"/>
      <c r="GGJ54" s="113"/>
      <c r="GGK54" s="113"/>
      <c r="GGL54" s="113"/>
      <c r="GGM54" s="113"/>
      <c r="GGN54" s="113"/>
      <c r="GGO54" s="113"/>
      <c r="GGP54" s="113"/>
      <c r="GGQ54" s="113"/>
      <c r="GGR54" s="113"/>
      <c r="GGS54" s="113"/>
      <c r="GGT54" s="113"/>
      <c r="GGU54" s="113"/>
      <c r="GGV54" s="113"/>
      <c r="GGW54" s="113"/>
      <c r="GGX54" s="113"/>
      <c r="GGY54" s="113"/>
      <c r="GGZ54" s="113"/>
      <c r="GHA54" s="113"/>
      <c r="GHB54" s="113"/>
      <c r="GHC54" s="113"/>
      <c r="GHD54" s="113"/>
      <c r="GHE54" s="113"/>
      <c r="GHF54" s="113"/>
      <c r="GHG54" s="113"/>
      <c r="GHH54" s="113"/>
      <c r="GHI54" s="113"/>
      <c r="GHJ54" s="113"/>
      <c r="GHK54" s="113"/>
      <c r="GHL54" s="113"/>
      <c r="GHM54" s="113"/>
      <c r="GHN54" s="113"/>
      <c r="GHO54" s="113"/>
      <c r="GHP54" s="113"/>
      <c r="GHQ54" s="113"/>
      <c r="GHR54" s="113"/>
      <c r="GHS54" s="113"/>
      <c r="GHT54" s="113"/>
      <c r="GHU54" s="113"/>
      <c r="GHV54" s="113"/>
      <c r="GHW54" s="113"/>
      <c r="GHX54" s="113"/>
      <c r="GHY54" s="113"/>
      <c r="GHZ54" s="113"/>
      <c r="GIA54" s="113"/>
      <c r="GIB54" s="113"/>
      <c r="GIC54" s="113"/>
      <c r="GID54" s="113"/>
      <c r="GIE54" s="113"/>
      <c r="GIF54" s="113"/>
      <c r="GIG54" s="113"/>
      <c r="GIH54" s="113"/>
      <c r="GII54" s="113"/>
      <c r="GIJ54" s="113"/>
      <c r="GIK54" s="113"/>
      <c r="GIL54" s="113"/>
      <c r="GIM54" s="113"/>
      <c r="GIN54" s="113"/>
      <c r="GIO54" s="113"/>
      <c r="GIP54" s="113"/>
      <c r="GIQ54" s="113"/>
      <c r="GIR54" s="113"/>
      <c r="GIS54" s="113"/>
      <c r="GIT54" s="113"/>
      <c r="GIU54" s="113"/>
      <c r="GIV54" s="113"/>
      <c r="GIW54" s="113"/>
      <c r="GIX54" s="113"/>
      <c r="GIY54" s="113"/>
      <c r="GIZ54" s="113"/>
      <c r="GJA54" s="113"/>
      <c r="GJB54" s="113"/>
      <c r="GJC54" s="113"/>
      <c r="GJD54" s="113"/>
      <c r="GJE54" s="113"/>
      <c r="GJF54" s="113"/>
      <c r="GJG54" s="113"/>
      <c r="GJH54" s="113"/>
      <c r="GJI54" s="113"/>
      <c r="GJJ54" s="113"/>
      <c r="GJK54" s="113"/>
      <c r="GJL54" s="113"/>
      <c r="GJM54" s="113"/>
      <c r="GJN54" s="113"/>
      <c r="GJO54" s="113"/>
      <c r="GJP54" s="113"/>
      <c r="GJQ54" s="113"/>
      <c r="GJR54" s="113"/>
      <c r="GJS54" s="113"/>
      <c r="GJT54" s="113"/>
      <c r="GJU54" s="113"/>
      <c r="GJV54" s="113"/>
      <c r="GJW54" s="113"/>
      <c r="GJX54" s="113"/>
      <c r="GJY54" s="113"/>
      <c r="GJZ54" s="113"/>
      <c r="GKA54" s="113"/>
      <c r="GKB54" s="113"/>
      <c r="GKC54" s="113"/>
      <c r="GKD54" s="113"/>
      <c r="GKE54" s="113"/>
      <c r="GKF54" s="113"/>
      <c r="GKG54" s="113"/>
      <c r="GKH54" s="113"/>
      <c r="GKI54" s="113"/>
      <c r="GKJ54" s="113"/>
      <c r="GKK54" s="113"/>
      <c r="GKL54" s="113"/>
      <c r="GKM54" s="113"/>
      <c r="GKN54" s="113"/>
      <c r="GKO54" s="113"/>
      <c r="GKP54" s="113"/>
      <c r="GKQ54" s="113"/>
      <c r="GKR54" s="113"/>
      <c r="GKS54" s="113"/>
      <c r="GKT54" s="113"/>
      <c r="GKU54" s="113"/>
      <c r="GKV54" s="113"/>
      <c r="GKW54" s="113"/>
      <c r="GKX54" s="113"/>
      <c r="GKY54" s="113"/>
      <c r="GKZ54" s="113"/>
      <c r="GLA54" s="113"/>
      <c r="GLB54" s="113"/>
      <c r="GLC54" s="113"/>
      <c r="GLD54" s="113"/>
      <c r="GLE54" s="113"/>
      <c r="GLF54" s="113"/>
      <c r="GLG54" s="113"/>
      <c r="GLH54" s="113"/>
      <c r="GLI54" s="113"/>
      <c r="GLJ54" s="113"/>
      <c r="GLK54" s="113"/>
      <c r="GLL54" s="113"/>
      <c r="GLM54" s="113"/>
      <c r="GLN54" s="113"/>
      <c r="GLO54" s="113"/>
      <c r="GLP54" s="113"/>
      <c r="GLQ54" s="113"/>
      <c r="GLR54" s="113"/>
      <c r="GLS54" s="113"/>
      <c r="GLT54" s="113"/>
      <c r="GLU54" s="113"/>
      <c r="GLV54" s="113"/>
      <c r="GLW54" s="113"/>
      <c r="GLX54" s="113"/>
      <c r="GLY54" s="113"/>
      <c r="GLZ54" s="113"/>
      <c r="GMA54" s="113"/>
      <c r="GMB54" s="113"/>
      <c r="GMC54" s="113"/>
      <c r="GMD54" s="113"/>
      <c r="GME54" s="113"/>
      <c r="GMF54" s="113"/>
      <c r="GMG54" s="113"/>
      <c r="GMH54" s="113"/>
      <c r="GMI54" s="113"/>
      <c r="GMJ54" s="113"/>
      <c r="GMK54" s="113"/>
      <c r="GML54" s="113"/>
      <c r="GMM54" s="113"/>
      <c r="GMN54" s="113"/>
      <c r="GMO54" s="113"/>
      <c r="GMP54" s="113"/>
      <c r="GMQ54" s="113"/>
      <c r="GMR54" s="113"/>
      <c r="GMS54" s="113"/>
      <c r="GMT54" s="113"/>
      <c r="GMU54" s="113"/>
      <c r="GMV54" s="113"/>
      <c r="GMW54" s="113"/>
      <c r="GMX54" s="113"/>
      <c r="GMY54" s="113"/>
      <c r="GMZ54" s="113"/>
      <c r="GNA54" s="113"/>
      <c r="GNB54" s="113"/>
      <c r="GNC54" s="113"/>
      <c r="GND54" s="113"/>
      <c r="GNE54" s="113"/>
      <c r="GNF54" s="113"/>
      <c r="GNG54" s="113"/>
      <c r="GNH54" s="113"/>
      <c r="GNI54" s="113"/>
      <c r="GNJ54" s="113"/>
      <c r="GNK54" s="113"/>
      <c r="GNL54" s="113"/>
      <c r="GNM54" s="113"/>
      <c r="GNN54" s="113"/>
      <c r="GNO54" s="113"/>
      <c r="GNP54" s="113"/>
      <c r="GNQ54" s="113"/>
      <c r="GNR54" s="113"/>
      <c r="GNS54" s="113"/>
      <c r="GNT54" s="113"/>
      <c r="GNU54" s="113"/>
      <c r="GNV54" s="113"/>
      <c r="GNW54" s="113"/>
      <c r="GNX54" s="113"/>
      <c r="GNY54" s="113"/>
      <c r="GNZ54" s="113"/>
      <c r="GOA54" s="113"/>
      <c r="GOB54" s="113"/>
      <c r="GOC54" s="113"/>
      <c r="GOD54" s="113"/>
      <c r="GOE54" s="113"/>
      <c r="GOF54" s="113"/>
      <c r="GOG54" s="113"/>
      <c r="GOH54" s="113"/>
      <c r="GOI54" s="113"/>
      <c r="GOJ54" s="113"/>
      <c r="GOK54" s="113"/>
      <c r="GOL54" s="113"/>
      <c r="GOM54" s="113"/>
      <c r="GON54" s="113"/>
      <c r="GOO54" s="113"/>
      <c r="GOP54" s="113"/>
      <c r="GOQ54" s="113"/>
      <c r="GOR54" s="113"/>
      <c r="GOS54" s="113"/>
      <c r="GOT54" s="113"/>
      <c r="GOU54" s="113"/>
      <c r="GOV54" s="113"/>
      <c r="GOW54" s="113"/>
      <c r="GOX54" s="113"/>
      <c r="GOY54" s="113"/>
      <c r="GOZ54" s="113"/>
      <c r="GPA54" s="113"/>
      <c r="GPB54" s="113"/>
      <c r="GPC54" s="113"/>
      <c r="GPD54" s="113"/>
      <c r="GPE54" s="113"/>
      <c r="GPF54" s="113"/>
      <c r="GPG54" s="113"/>
      <c r="GPH54" s="113"/>
      <c r="GPI54" s="113"/>
      <c r="GPJ54" s="113"/>
      <c r="GPK54" s="113"/>
      <c r="GPL54" s="113"/>
      <c r="GPM54" s="113"/>
      <c r="GPN54" s="113"/>
      <c r="GPO54" s="113"/>
      <c r="GPP54" s="113"/>
      <c r="GPQ54" s="113"/>
      <c r="GPR54" s="113"/>
      <c r="GPS54" s="113"/>
      <c r="GPT54" s="113"/>
      <c r="GPU54" s="113"/>
      <c r="GPV54" s="113"/>
      <c r="GPW54" s="113"/>
      <c r="GPX54" s="113"/>
      <c r="GPY54" s="113"/>
      <c r="GPZ54" s="113"/>
      <c r="GQA54" s="113"/>
      <c r="GQB54" s="113"/>
      <c r="GQC54" s="113"/>
      <c r="GQD54" s="113"/>
      <c r="GQE54" s="113"/>
      <c r="GQF54" s="113"/>
      <c r="GQG54" s="113"/>
      <c r="GQH54" s="113"/>
      <c r="GQI54" s="113"/>
      <c r="GQJ54" s="113"/>
      <c r="GQK54" s="113"/>
      <c r="GQL54" s="113"/>
      <c r="GQM54" s="113"/>
      <c r="GQN54" s="113"/>
      <c r="GQO54" s="113"/>
      <c r="GQP54" s="113"/>
      <c r="GQQ54" s="113"/>
      <c r="GQR54" s="113"/>
      <c r="GQS54" s="113"/>
      <c r="GQT54" s="113"/>
      <c r="GQU54" s="113"/>
      <c r="GQV54" s="113"/>
      <c r="GQW54" s="113"/>
      <c r="GQX54" s="113"/>
      <c r="GQY54" s="113"/>
      <c r="GQZ54" s="113"/>
      <c r="GRA54" s="113"/>
      <c r="GRB54" s="113"/>
      <c r="GRC54" s="113"/>
      <c r="GRD54" s="113"/>
      <c r="GRE54" s="113"/>
      <c r="GRF54" s="113"/>
      <c r="GRG54" s="113"/>
      <c r="GRH54" s="113"/>
      <c r="GRI54" s="113"/>
      <c r="GRJ54" s="113"/>
      <c r="GRK54" s="113"/>
      <c r="GRL54" s="113"/>
      <c r="GRM54" s="113"/>
      <c r="GRN54" s="113"/>
      <c r="GRO54" s="113"/>
      <c r="GRP54" s="113"/>
      <c r="GRQ54" s="113"/>
      <c r="GRR54" s="113"/>
      <c r="GRS54" s="113"/>
      <c r="GRT54" s="113"/>
      <c r="GRU54" s="113"/>
      <c r="GRV54" s="113"/>
      <c r="GRW54" s="113"/>
      <c r="GRX54" s="113"/>
      <c r="GRY54" s="113"/>
      <c r="GRZ54" s="113"/>
      <c r="GSA54" s="113"/>
      <c r="GSB54" s="113"/>
      <c r="GSC54" s="113"/>
      <c r="GSD54" s="113"/>
      <c r="GSE54" s="113"/>
      <c r="GSF54" s="113"/>
      <c r="GSG54" s="113"/>
      <c r="GSH54" s="113"/>
      <c r="GSI54" s="113"/>
      <c r="GSJ54" s="113"/>
      <c r="GSK54" s="113"/>
      <c r="GSL54" s="113"/>
      <c r="GSM54" s="113"/>
      <c r="GSN54" s="113"/>
      <c r="GSO54" s="113"/>
      <c r="GSP54" s="113"/>
      <c r="GSQ54" s="113"/>
      <c r="GSR54" s="113"/>
      <c r="GSS54" s="113"/>
      <c r="GST54" s="113"/>
      <c r="GSU54" s="113"/>
      <c r="GSV54" s="113"/>
      <c r="GSW54" s="113"/>
      <c r="GSX54" s="113"/>
      <c r="GSY54" s="113"/>
      <c r="GSZ54" s="113"/>
      <c r="GTA54" s="113"/>
      <c r="GTB54" s="113"/>
      <c r="GTC54" s="113"/>
      <c r="GTD54" s="113"/>
      <c r="GTE54" s="113"/>
      <c r="GTF54" s="113"/>
      <c r="GTG54" s="113"/>
      <c r="GTH54" s="113"/>
      <c r="GTI54" s="113"/>
      <c r="GTJ54" s="113"/>
      <c r="GTK54" s="113"/>
      <c r="GTL54" s="113"/>
      <c r="GTM54" s="113"/>
      <c r="GTN54" s="113"/>
      <c r="GTO54" s="113"/>
      <c r="GTP54" s="113"/>
      <c r="GTQ54" s="113"/>
      <c r="GTR54" s="113"/>
      <c r="GTS54" s="113"/>
      <c r="GTT54" s="113"/>
      <c r="GTU54" s="113"/>
      <c r="GTV54" s="113"/>
      <c r="GTW54" s="113"/>
      <c r="GTX54" s="113"/>
      <c r="GTY54" s="113"/>
      <c r="GTZ54" s="113"/>
      <c r="GUA54" s="113"/>
      <c r="GUB54" s="113"/>
      <c r="GUC54" s="113"/>
      <c r="GUD54" s="113"/>
      <c r="GUE54" s="113"/>
      <c r="GUF54" s="113"/>
      <c r="GUG54" s="113"/>
      <c r="GUH54" s="113"/>
      <c r="GUI54" s="113"/>
      <c r="GUJ54" s="113"/>
      <c r="GUK54" s="113"/>
      <c r="GUL54" s="113"/>
      <c r="GUM54" s="113"/>
      <c r="GUN54" s="113"/>
      <c r="GUO54" s="113"/>
      <c r="GUP54" s="113"/>
      <c r="GUQ54" s="113"/>
      <c r="GUR54" s="113"/>
      <c r="GUS54" s="113"/>
      <c r="GUT54" s="113"/>
      <c r="GUU54" s="113"/>
      <c r="GUV54" s="113"/>
      <c r="GUW54" s="113"/>
      <c r="GUX54" s="113"/>
      <c r="GUY54" s="113"/>
      <c r="GUZ54" s="113"/>
      <c r="GVA54" s="113"/>
      <c r="GVB54" s="113"/>
      <c r="GVC54" s="113"/>
      <c r="GVD54" s="113"/>
      <c r="GVE54" s="113"/>
      <c r="GVF54" s="113"/>
      <c r="GVG54" s="113"/>
      <c r="GVH54" s="113"/>
      <c r="GVI54" s="113"/>
      <c r="GVJ54" s="113"/>
      <c r="GVK54" s="113"/>
      <c r="GVL54" s="113"/>
      <c r="GVM54" s="113"/>
      <c r="GVN54" s="113"/>
      <c r="GVO54" s="113"/>
      <c r="GVP54" s="113"/>
      <c r="GVQ54" s="113"/>
      <c r="GVR54" s="113"/>
      <c r="GVS54" s="113"/>
      <c r="GVT54" s="113"/>
      <c r="GVU54" s="113"/>
      <c r="GVV54" s="113"/>
      <c r="GVW54" s="113"/>
      <c r="GVX54" s="113"/>
      <c r="GVY54" s="113"/>
      <c r="GVZ54" s="113"/>
      <c r="GWA54" s="113"/>
      <c r="GWB54" s="113"/>
      <c r="GWC54" s="113"/>
      <c r="GWD54" s="113"/>
      <c r="GWE54" s="113"/>
      <c r="GWF54" s="113"/>
      <c r="GWG54" s="113"/>
      <c r="GWH54" s="113"/>
      <c r="GWI54" s="113"/>
      <c r="GWJ54" s="113"/>
      <c r="GWK54" s="113"/>
      <c r="GWL54" s="113"/>
      <c r="GWM54" s="113"/>
      <c r="GWN54" s="113"/>
      <c r="GWO54" s="113"/>
      <c r="GWP54" s="113"/>
      <c r="GWQ54" s="113"/>
      <c r="GWR54" s="113"/>
      <c r="GWS54" s="113"/>
      <c r="GWT54" s="113"/>
      <c r="GWU54" s="113"/>
      <c r="GWV54" s="113"/>
      <c r="GWW54" s="113"/>
      <c r="GWX54" s="113"/>
      <c r="GWY54" s="113"/>
      <c r="GWZ54" s="113"/>
      <c r="GXA54" s="113"/>
      <c r="GXB54" s="113"/>
      <c r="GXC54" s="113"/>
      <c r="GXD54" s="113"/>
      <c r="GXE54" s="113"/>
      <c r="GXF54" s="113"/>
      <c r="GXG54" s="113"/>
      <c r="GXH54" s="113"/>
      <c r="GXI54" s="113"/>
      <c r="GXJ54" s="113"/>
      <c r="GXK54" s="113"/>
      <c r="GXL54" s="113"/>
      <c r="GXM54" s="113"/>
      <c r="GXN54" s="113"/>
      <c r="GXO54" s="113"/>
      <c r="GXP54" s="113"/>
      <c r="GXQ54" s="113"/>
      <c r="GXR54" s="113"/>
      <c r="GXS54" s="113"/>
      <c r="GXT54" s="113"/>
      <c r="GXU54" s="113"/>
      <c r="GXV54" s="113"/>
      <c r="GXW54" s="113"/>
      <c r="GXX54" s="113"/>
      <c r="GXY54" s="113"/>
      <c r="GXZ54" s="113"/>
      <c r="GYA54" s="113"/>
      <c r="GYB54" s="113"/>
      <c r="GYC54" s="113"/>
      <c r="GYD54" s="113"/>
      <c r="GYE54" s="113"/>
      <c r="GYF54" s="113"/>
      <c r="GYG54" s="113"/>
      <c r="GYH54" s="113"/>
      <c r="GYI54" s="113"/>
      <c r="GYJ54" s="113"/>
      <c r="GYK54" s="113"/>
      <c r="GYL54" s="113"/>
      <c r="GYM54" s="113"/>
      <c r="GYN54" s="113"/>
      <c r="GYO54" s="113"/>
      <c r="GYP54" s="113"/>
      <c r="GYQ54" s="113"/>
      <c r="GYR54" s="113"/>
      <c r="GYS54" s="113"/>
      <c r="GYT54" s="113"/>
      <c r="GYU54" s="113"/>
      <c r="GYV54" s="113"/>
      <c r="GYW54" s="113"/>
      <c r="GYX54" s="113"/>
      <c r="GYY54" s="113"/>
      <c r="GYZ54" s="113"/>
      <c r="GZA54" s="113"/>
      <c r="GZB54" s="113"/>
      <c r="GZC54" s="113"/>
      <c r="GZD54" s="113"/>
      <c r="GZE54" s="113"/>
      <c r="GZF54" s="113"/>
      <c r="GZG54" s="113"/>
      <c r="GZH54" s="113"/>
      <c r="GZI54" s="113"/>
      <c r="GZJ54" s="113"/>
      <c r="GZK54" s="113"/>
      <c r="GZL54" s="113"/>
      <c r="GZM54" s="113"/>
      <c r="GZN54" s="113"/>
      <c r="GZO54" s="113"/>
      <c r="GZP54" s="113"/>
      <c r="GZQ54" s="113"/>
      <c r="GZR54" s="113"/>
      <c r="GZS54" s="113"/>
      <c r="GZT54" s="113"/>
      <c r="GZU54" s="113"/>
      <c r="GZV54" s="113"/>
      <c r="GZW54" s="113"/>
      <c r="GZX54" s="113"/>
      <c r="GZY54" s="113"/>
      <c r="GZZ54" s="113"/>
      <c r="HAA54" s="113"/>
      <c r="HAB54" s="113"/>
      <c r="HAC54" s="113"/>
      <c r="HAD54" s="113"/>
      <c r="HAE54" s="113"/>
      <c r="HAF54" s="113"/>
      <c r="HAG54" s="113"/>
      <c r="HAH54" s="113"/>
      <c r="HAI54" s="113"/>
      <c r="HAJ54" s="113"/>
      <c r="HAK54" s="113"/>
      <c r="HAL54" s="113"/>
      <c r="HAM54" s="113"/>
      <c r="HAN54" s="113"/>
      <c r="HAO54" s="113"/>
      <c r="HAP54" s="113"/>
      <c r="HAQ54" s="113"/>
      <c r="HAR54" s="113"/>
      <c r="HAS54" s="113"/>
      <c r="HAT54" s="113"/>
      <c r="HAU54" s="113"/>
      <c r="HAV54" s="113"/>
      <c r="HAW54" s="113"/>
      <c r="HAX54" s="113"/>
      <c r="HAY54" s="113"/>
      <c r="HAZ54" s="113"/>
      <c r="HBA54" s="113"/>
      <c r="HBB54" s="113"/>
      <c r="HBC54" s="113"/>
      <c r="HBD54" s="113"/>
      <c r="HBE54" s="113"/>
      <c r="HBF54" s="113"/>
      <c r="HBG54" s="113"/>
      <c r="HBH54" s="113"/>
      <c r="HBI54" s="113"/>
      <c r="HBJ54" s="113"/>
      <c r="HBK54" s="113"/>
      <c r="HBL54" s="113"/>
      <c r="HBM54" s="113"/>
      <c r="HBN54" s="113"/>
      <c r="HBO54" s="113"/>
      <c r="HBP54" s="113"/>
      <c r="HBQ54" s="113"/>
      <c r="HBR54" s="113"/>
      <c r="HBS54" s="113"/>
      <c r="HBT54" s="113"/>
      <c r="HBU54" s="113"/>
      <c r="HBV54" s="113"/>
      <c r="HBW54" s="113"/>
      <c r="HBX54" s="113"/>
      <c r="HBY54" s="113"/>
      <c r="HBZ54" s="113"/>
      <c r="HCA54" s="113"/>
      <c r="HCB54" s="113"/>
      <c r="HCC54" s="113"/>
      <c r="HCD54" s="113"/>
      <c r="HCE54" s="113"/>
      <c r="HCF54" s="113"/>
      <c r="HCG54" s="113"/>
      <c r="HCH54" s="113"/>
      <c r="HCI54" s="113"/>
      <c r="HCJ54" s="113"/>
      <c r="HCK54" s="113"/>
      <c r="HCL54" s="113"/>
      <c r="HCM54" s="113"/>
      <c r="HCN54" s="113"/>
      <c r="HCO54" s="113"/>
      <c r="HCP54" s="113"/>
      <c r="HCQ54" s="113"/>
      <c r="HCR54" s="113"/>
      <c r="HCS54" s="113"/>
      <c r="HCT54" s="113"/>
      <c r="HCU54" s="113"/>
      <c r="HCV54" s="113"/>
      <c r="HCW54" s="113"/>
      <c r="HCX54" s="113"/>
      <c r="HCY54" s="113"/>
      <c r="HCZ54" s="113"/>
      <c r="HDA54" s="113"/>
      <c r="HDB54" s="113"/>
      <c r="HDC54" s="113"/>
      <c r="HDD54" s="113"/>
      <c r="HDE54" s="113"/>
      <c r="HDF54" s="113"/>
      <c r="HDG54" s="113"/>
      <c r="HDH54" s="113"/>
      <c r="HDI54" s="113"/>
      <c r="HDJ54" s="113"/>
      <c r="HDK54" s="113"/>
      <c r="HDL54" s="113"/>
      <c r="HDM54" s="113"/>
      <c r="HDN54" s="113"/>
      <c r="HDO54" s="113"/>
      <c r="HDP54" s="113"/>
      <c r="HDQ54" s="113"/>
      <c r="HDR54" s="113"/>
      <c r="HDS54" s="113"/>
      <c r="HDT54" s="113"/>
      <c r="HDU54" s="113"/>
      <c r="HDV54" s="113"/>
      <c r="HDW54" s="113"/>
      <c r="HDX54" s="113"/>
      <c r="HDY54" s="113"/>
      <c r="HDZ54" s="113"/>
      <c r="HEA54" s="113"/>
      <c r="HEB54" s="113"/>
      <c r="HEC54" s="113"/>
      <c r="HED54" s="113"/>
      <c r="HEE54" s="113"/>
      <c r="HEF54" s="113"/>
      <c r="HEG54" s="113"/>
      <c r="HEH54" s="113"/>
      <c r="HEI54" s="113"/>
      <c r="HEJ54" s="113"/>
      <c r="HEK54" s="113"/>
      <c r="HEL54" s="113"/>
      <c r="HEM54" s="113"/>
      <c r="HEN54" s="113"/>
      <c r="HEO54" s="113"/>
      <c r="HEP54" s="113"/>
      <c r="HEQ54" s="113"/>
      <c r="HER54" s="113"/>
      <c r="HES54" s="113"/>
      <c r="HET54" s="113"/>
      <c r="HEU54" s="113"/>
      <c r="HEV54" s="113"/>
      <c r="HEW54" s="113"/>
      <c r="HEX54" s="113"/>
      <c r="HEY54" s="113"/>
      <c r="HEZ54" s="113"/>
      <c r="HFA54" s="113"/>
      <c r="HFB54" s="113"/>
      <c r="HFC54" s="113"/>
      <c r="HFD54" s="113"/>
      <c r="HFE54" s="113"/>
      <c r="HFF54" s="113"/>
      <c r="HFG54" s="113"/>
      <c r="HFH54" s="113"/>
      <c r="HFI54" s="113"/>
      <c r="HFJ54" s="113"/>
      <c r="HFK54" s="113"/>
      <c r="HFL54" s="113"/>
      <c r="HFM54" s="113"/>
      <c r="HFN54" s="113"/>
      <c r="HFO54" s="113"/>
      <c r="HFP54" s="113"/>
      <c r="HFQ54" s="113"/>
      <c r="HFR54" s="113"/>
      <c r="HFS54" s="113"/>
      <c r="HFT54" s="113"/>
      <c r="HFU54" s="113"/>
      <c r="HFV54" s="113"/>
      <c r="HFW54" s="113"/>
      <c r="HFX54" s="113"/>
      <c r="HFY54" s="113"/>
      <c r="HFZ54" s="113"/>
      <c r="HGA54" s="113"/>
      <c r="HGB54" s="113"/>
      <c r="HGC54" s="113"/>
      <c r="HGD54" s="113"/>
      <c r="HGE54" s="113"/>
      <c r="HGF54" s="113"/>
      <c r="HGG54" s="113"/>
      <c r="HGH54" s="113"/>
      <c r="HGI54" s="113"/>
      <c r="HGJ54" s="113"/>
      <c r="HGK54" s="113"/>
      <c r="HGL54" s="113"/>
      <c r="HGM54" s="113"/>
      <c r="HGN54" s="113"/>
      <c r="HGO54" s="113"/>
      <c r="HGP54" s="113"/>
      <c r="HGQ54" s="113"/>
      <c r="HGR54" s="113"/>
      <c r="HGS54" s="113"/>
      <c r="HGT54" s="113"/>
      <c r="HGU54" s="113"/>
      <c r="HGV54" s="113"/>
      <c r="HGW54" s="113"/>
      <c r="HGX54" s="113"/>
      <c r="HGY54" s="113"/>
      <c r="HGZ54" s="113"/>
      <c r="HHA54" s="113"/>
      <c r="HHB54" s="113"/>
      <c r="HHC54" s="113"/>
      <c r="HHD54" s="113"/>
      <c r="HHE54" s="113"/>
      <c r="HHF54" s="113"/>
      <c r="HHG54" s="113"/>
      <c r="HHH54" s="113"/>
      <c r="HHI54" s="113"/>
      <c r="HHJ54" s="113"/>
      <c r="HHK54" s="113"/>
      <c r="HHL54" s="113"/>
      <c r="HHM54" s="113"/>
      <c r="HHN54" s="113"/>
      <c r="HHO54" s="113"/>
      <c r="HHP54" s="113"/>
      <c r="HHQ54" s="113"/>
      <c r="HHR54" s="113"/>
      <c r="HHS54" s="113"/>
      <c r="HHT54" s="113"/>
      <c r="HHU54" s="113"/>
      <c r="HHV54" s="113"/>
      <c r="HHW54" s="113"/>
      <c r="HHX54" s="113"/>
      <c r="HHY54" s="113"/>
      <c r="HHZ54" s="113"/>
      <c r="HIA54" s="113"/>
      <c r="HIB54" s="113"/>
      <c r="HIC54" s="113"/>
      <c r="HID54" s="113"/>
      <c r="HIE54" s="113"/>
      <c r="HIF54" s="113"/>
      <c r="HIG54" s="113"/>
      <c r="HIH54" s="113"/>
      <c r="HII54" s="113"/>
      <c r="HIJ54" s="113"/>
      <c r="HIK54" s="113"/>
      <c r="HIL54" s="113"/>
      <c r="HIM54" s="113"/>
      <c r="HIN54" s="113"/>
      <c r="HIO54" s="113"/>
      <c r="HIP54" s="113"/>
      <c r="HIQ54" s="113"/>
      <c r="HIR54" s="113"/>
      <c r="HIS54" s="113"/>
      <c r="HIT54" s="113"/>
      <c r="HIU54" s="113"/>
      <c r="HIV54" s="113"/>
      <c r="HIW54" s="113"/>
      <c r="HIX54" s="113"/>
      <c r="HIY54" s="113"/>
      <c r="HIZ54" s="113"/>
      <c r="HJA54" s="113"/>
      <c r="HJB54" s="113"/>
      <c r="HJC54" s="113"/>
      <c r="HJD54" s="113"/>
      <c r="HJE54" s="113"/>
      <c r="HJF54" s="113"/>
      <c r="HJG54" s="113"/>
      <c r="HJH54" s="113"/>
      <c r="HJI54" s="113"/>
      <c r="HJJ54" s="113"/>
      <c r="HJK54" s="113"/>
      <c r="HJL54" s="113"/>
      <c r="HJM54" s="113"/>
      <c r="HJN54" s="113"/>
      <c r="HJO54" s="113"/>
      <c r="HJP54" s="113"/>
      <c r="HJQ54" s="113"/>
      <c r="HJR54" s="113"/>
      <c r="HJS54" s="113"/>
      <c r="HJT54" s="113"/>
      <c r="HJU54" s="113"/>
      <c r="HJV54" s="113"/>
      <c r="HJW54" s="113"/>
      <c r="HJX54" s="113"/>
      <c r="HJY54" s="113"/>
      <c r="HJZ54" s="113"/>
      <c r="HKA54" s="113"/>
      <c r="HKB54" s="113"/>
      <c r="HKC54" s="113"/>
      <c r="HKD54" s="113"/>
      <c r="HKE54" s="113"/>
      <c r="HKF54" s="113"/>
      <c r="HKG54" s="113"/>
      <c r="HKH54" s="113"/>
      <c r="HKI54" s="113"/>
      <c r="HKJ54" s="113"/>
      <c r="HKK54" s="113"/>
      <c r="HKL54" s="113"/>
      <c r="HKM54" s="113"/>
      <c r="HKN54" s="113"/>
      <c r="HKO54" s="113"/>
      <c r="HKP54" s="113"/>
      <c r="HKQ54" s="113"/>
      <c r="HKR54" s="113"/>
      <c r="HKS54" s="113"/>
      <c r="HKT54" s="113"/>
      <c r="HKU54" s="113"/>
      <c r="HKV54" s="113"/>
      <c r="HKW54" s="113"/>
      <c r="HKX54" s="113"/>
      <c r="HKY54" s="113"/>
      <c r="HKZ54" s="113"/>
      <c r="HLA54" s="113"/>
      <c r="HLB54" s="113"/>
      <c r="HLC54" s="113"/>
      <c r="HLD54" s="113"/>
      <c r="HLE54" s="113"/>
      <c r="HLF54" s="113"/>
      <c r="HLG54" s="113"/>
      <c r="HLH54" s="113"/>
      <c r="HLI54" s="113"/>
      <c r="HLJ54" s="113"/>
      <c r="HLK54" s="113"/>
      <c r="HLL54" s="113"/>
      <c r="HLM54" s="113"/>
      <c r="HLN54" s="113"/>
      <c r="HLO54" s="113"/>
      <c r="HLP54" s="113"/>
      <c r="HLQ54" s="113"/>
      <c r="HLR54" s="113"/>
      <c r="HLS54" s="113"/>
      <c r="HLT54" s="113"/>
      <c r="HLU54" s="113"/>
      <c r="HLV54" s="113"/>
      <c r="HLW54" s="113"/>
      <c r="HLX54" s="113"/>
      <c r="HLY54" s="113"/>
      <c r="HLZ54" s="113"/>
      <c r="HMA54" s="113"/>
      <c r="HMB54" s="113"/>
      <c r="HMC54" s="113"/>
      <c r="HMD54" s="113"/>
      <c r="HME54" s="113"/>
      <c r="HMF54" s="113"/>
      <c r="HMG54" s="113"/>
      <c r="HMH54" s="113"/>
      <c r="HMI54" s="113"/>
      <c r="HMJ54" s="113"/>
      <c r="HMK54" s="113"/>
      <c r="HML54" s="113"/>
      <c r="HMM54" s="113"/>
      <c r="HMN54" s="113"/>
      <c r="HMO54" s="113"/>
      <c r="HMP54" s="113"/>
      <c r="HMQ54" s="113"/>
      <c r="HMR54" s="113"/>
      <c r="HMS54" s="113"/>
      <c r="HMT54" s="113"/>
      <c r="HMU54" s="113"/>
      <c r="HMV54" s="113"/>
      <c r="HMW54" s="113"/>
      <c r="HMX54" s="113"/>
      <c r="HMY54" s="113"/>
      <c r="HMZ54" s="113"/>
      <c r="HNA54" s="113"/>
      <c r="HNB54" s="113"/>
      <c r="HNC54" s="113"/>
      <c r="HND54" s="113"/>
      <c r="HNE54" s="113"/>
      <c r="HNF54" s="113"/>
      <c r="HNG54" s="113"/>
      <c r="HNH54" s="113"/>
      <c r="HNI54" s="113"/>
      <c r="HNJ54" s="113"/>
      <c r="HNK54" s="113"/>
      <c r="HNL54" s="113"/>
      <c r="HNM54" s="113"/>
      <c r="HNN54" s="113"/>
      <c r="HNO54" s="113"/>
      <c r="HNP54" s="113"/>
      <c r="HNQ54" s="113"/>
      <c r="HNR54" s="113"/>
      <c r="HNS54" s="113"/>
      <c r="HNT54" s="113"/>
      <c r="HNU54" s="113"/>
      <c r="HNV54" s="113"/>
      <c r="HNW54" s="113"/>
      <c r="HNX54" s="113"/>
      <c r="HNY54" s="113"/>
      <c r="HNZ54" s="113"/>
      <c r="HOA54" s="113"/>
      <c r="HOB54" s="113"/>
      <c r="HOC54" s="113"/>
      <c r="HOD54" s="113"/>
      <c r="HOE54" s="113"/>
      <c r="HOF54" s="113"/>
      <c r="HOG54" s="113"/>
      <c r="HOH54" s="113"/>
      <c r="HOI54" s="113"/>
      <c r="HOJ54" s="113"/>
      <c r="HOK54" s="113"/>
      <c r="HOL54" s="113"/>
      <c r="HOM54" s="113"/>
      <c r="HON54" s="113"/>
      <c r="HOO54" s="113"/>
      <c r="HOP54" s="113"/>
      <c r="HOQ54" s="113"/>
      <c r="HOR54" s="113"/>
      <c r="HOS54" s="113"/>
      <c r="HOT54" s="113"/>
      <c r="HOU54" s="113"/>
      <c r="HOV54" s="113"/>
      <c r="HOW54" s="113"/>
      <c r="HOX54" s="113"/>
      <c r="HOY54" s="113"/>
      <c r="HOZ54" s="113"/>
      <c r="HPA54" s="113"/>
      <c r="HPB54" s="113"/>
      <c r="HPC54" s="113"/>
      <c r="HPD54" s="113"/>
      <c r="HPE54" s="113"/>
      <c r="HPF54" s="113"/>
      <c r="HPG54" s="113"/>
      <c r="HPH54" s="113"/>
      <c r="HPI54" s="113"/>
      <c r="HPJ54" s="113"/>
      <c r="HPK54" s="113"/>
      <c r="HPL54" s="113"/>
      <c r="HPM54" s="113"/>
      <c r="HPN54" s="113"/>
      <c r="HPO54" s="113"/>
      <c r="HPP54" s="113"/>
      <c r="HPQ54" s="113"/>
      <c r="HPR54" s="113"/>
      <c r="HPS54" s="113"/>
      <c r="HPT54" s="113"/>
      <c r="HPU54" s="113"/>
      <c r="HPV54" s="113"/>
      <c r="HPW54" s="113"/>
      <c r="HPX54" s="113"/>
      <c r="HPY54" s="113"/>
      <c r="HPZ54" s="113"/>
      <c r="HQA54" s="113"/>
      <c r="HQB54" s="113"/>
      <c r="HQC54" s="113"/>
      <c r="HQD54" s="113"/>
      <c r="HQE54" s="113"/>
      <c r="HQF54" s="113"/>
      <c r="HQG54" s="113"/>
      <c r="HQH54" s="113"/>
      <c r="HQI54" s="113"/>
      <c r="HQJ54" s="113"/>
      <c r="HQK54" s="113"/>
      <c r="HQL54" s="113"/>
      <c r="HQM54" s="113"/>
      <c r="HQN54" s="113"/>
      <c r="HQO54" s="113"/>
      <c r="HQP54" s="113"/>
      <c r="HQQ54" s="113"/>
      <c r="HQR54" s="113"/>
      <c r="HQS54" s="113"/>
      <c r="HQT54" s="113"/>
      <c r="HQU54" s="113"/>
      <c r="HQV54" s="113"/>
      <c r="HQW54" s="113"/>
      <c r="HQX54" s="113"/>
      <c r="HQY54" s="113"/>
      <c r="HQZ54" s="113"/>
      <c r="HRA54" s="113"/>
      <c r="HRB54" s="113"/>
      <c r="HRC54" s="113"/>
      <c r="HRD54" s="113"/>
      <c r="HRE54" s="113"/>
      <c r="HRF54" s="113"/>
      <c r="HRG54" s="113"/>
      <c r="HRH54" s="113"/>
      <c r="HRI54" s="113"/>
      <c r="HRJ54" s="113"/>
      <c r="HRK54" s="113"/>
      <c r="HRL54" s="113"/>
      <c r="HRM54" s="113"/>
      <c r="HRN54" s="113"/>
      <c r="HRO54" s="113"/>
      <c r="HRP54" s="113"/>
      <c r="HRQ54" s="113"/>
      <c r="HRR54" s="113"/>
      <c r="HRS54" s="113"/>
      <c r="HRT54" s="113"/>
      <c r="HRU54" s="113"/>
      <c r="HRV54" s="113"/>
      <c r="HRW54" s="113"/>
      <c r="HRX54" s="113"/>
      <c r="HRY54" s="113"/>
      <c r="HRZ54" s="113"/>
      <c r="HSA54" s="113"/>
      <c r="HSB54" s="113"/>
      <c r="HSC54" s="113"/>
      <c r="HSD54" s="113"/>
      <c r="HSE54" s="113"/>
      <c r="HSF54" s="113"/>
      <c r="HSG54" s="113"/>
      <c r="HSH54" s="113"/>
      <c r="HSI54" s="113"/>
      <c r="HSJ54" s="113"/>
      <c r="HSK54" s="113"/>
      <c r="HSL54" s="113"/>
      <c r="HSM54" s="113"/>
      <c r="HSN54" s="113"/>
      <c r="HSO54" s="113"/>
      <c r="HSP54" s="113"/>
      <c r="HSQ54" s="113"/>
      <c r="HSR54" s="113"/>
      <c r="HSS54" s="113"/>
      <c r="HST54" s="113"/>
      <c r="HSU54" s="113"/>
      <c r="HSV54" s="113"/>
      <c r="HSW54" s="113"/>
      <c r="HSX54" s="113"/>
      <c r="HSY54" s="113"/>
      <c r="HSZ54" s="113"/>
      <c r="HTA54" s="113"/>
      <c r="HTB54" s="113"/>
      <c r="HTC54" s="113"/>
      <c r="HTD54" s="113"/>
      <c r="HTE54" s="113"/>
      <c r="HTF54" s="113"/>
      <c r="HTG54" s="113"/>
      <c r="HTH54" s="113"/>
      <c r="HTI54" s="113"/>
      <c r="HTJ54" s="113"/>
      <c r="HTK54" s="113"/>
      <c r="HTL54" s="113"/>
      <c r="HTM54" s="113"/>
      <c r="HTN54" s="113"/>
      <c r="HTO54" s="113"/>
      <c r="HTP54" s="113"/>
      <c r="HTQ54" s="113"/>
      <c r="HTR54" s="113"/>
      <c r="HTS54" s="113"/>
      <c r="HTT54" s="113"/>
      <c r="HTU54" s="113"/>
      <c r="HTV54" s="113"/>
      <c r="HTW54" s="113"/>
      <c r="HTX54" s="113"/>
      <c r="HTY54" s="113"/>
      <c r="HTZ54" s="113"/>
      <c r="HUA54" s="113"/>
      <c r="HUB54" s="113"/>
      <c r="HUC54" s="113"/>
      <c r="HUD54" s="113"/>
      <c r="HUE54" s="113"/>
      <c r="HUF54" s="113"/>
      <c r="HUG54" s="113"/>
      <c r="HUH54" s="113"/>
      <c r="HUI54" s="113"/>
      <c r="HUJ54" s="113"/>
      <c r="HUK54" s="113"/>
      <c r="HUL54" s="113"/>
      <c r="HUM54" s="113"/>
      <c r="HUN54" s="113"/>
      <c r="HUO54" s="113"/>
      <c r="HUP54" s="113"/>
      <c r="HUQ54" s="113"/>
      <c r="HUR54" s="113"/>
      <c r="HUS54" s="113"/>
      <c r="HUT54" s="113"/>
      <c r="HUU54" s="113"/>
      <c r="HUV54" s="113"/>
      <c r="HUW54" s="113"/>
      <c r="HUX54" s="113"/>
      <c r="HUY54" s="113"/>
      <c r="HUZ54" s="113"/>
      <c r="HVA54" s="113"/>
      <c r="HVB54" s="113"/>
      <c r="HVC54" s="113"/>
      <c r="HVD54" s="113"/>
      <c r="HVE54" s="113"/>
      <c r="HVF54" s="113"/>
      <c r="HVG54" s="113"/>
      <c r="HVH54" s="113"/>
      <c r="HVI54" s="113"/>
      <c r="HVJ54" s="113"/>
      <c r="HVK54" s="113"/>
      <c r="HVL54" s="113"/>
      <c r="HVM54" s="113"/>
      <c r="HVN54" s="113"/>
      <c r="HVO54" s="113"/>
      <c r="HVP54" s="113"/>
      <c r="HVQ54" s="113"/>
      <c r="HVR54" s="113"/>
      <c r="HVS54" s="113"/>
      <c r="HVT54" s="113"/>
      <c r="HVU54" s="113"/>
      <c r="HVV54" s="113"/>
      <c r="HVW54" s="113"/>
      <c r="HVX54" s="113"/>
      <c r="HVY54" s="113"/>
      <c r="HVZ54" s="113"/>
      <c r="HWA54" s="113"/>
      <c r="HWB54" s="113"/>
      <c r="HWC54" s="113"/>
      <c r="HWD54" s="113"/>
      <c r="HWE54" s="113"/>
      <c r="HWF54" s="113"/>
      <c r="HWG54" s="113"/>
      <c r="HWH54" s="113"/>
      <c r="HWI54" s="113"/>
      <c r="HWJ54" s="113"/>
      <c r="HWK54" s="113"/>
      <c r="HWL54" s="113"/>
      <c r="HWM54" s="113"/>
      <c r="HWN54" s="113"/>
      <c r="HWO54" s="113"/>
      <c r="HWP54" s="113"/>
      <c r="HWQ54" s="113"/>
      <c r="HWR54" s="113"/>
      <c r="HWS54" s="113"/>
      <c r="HWT54" s="113"/>
      <c r="HWU54" s="113"/>
      <c r="HWV54" s="113"/>
      <c r="HWW54" s="113"/>
      <c r="HWX54" s="113"/>
      <c r="HWY54" s="113"/>
      <c r="HWZ54" s="113"/>
      <c r="HXA54" s="113"/>
      <c r="HXB54" s="113"/>
      <c r="HXC54" s="113"/>
      <c r="HXD54" s="113"/>
      <c r="HXE54" s="113"/>
      <c r="HXF54" s="113"/>
      <c r="HXG54" s="113"/>
      <c r="HXH54" s="113"/>
      <c r="HXI54" s="113"/>
      <c r="HXJ54" s="113"/>
      <c r="HXK54" s="113"/>
      <c r="HXL54" s="113"/>
      <c r="HXM54" s="113"/>
      <c r="HXN54" s="113"/>
      <c r="HXO54" s="113"/>
      <c r="HXP54" s="113"/>
      <c r="HXQ54" s="113"/>
      <c r="HXR54" s="113"/>
      <c r="HXS54" s="113"/>
      <c r="HXT54" s="113"/>
      <c r="HXU54" s="113"/>
      <c r="HXV54" s="113"/>
      <c r="HXW54" s="113"/>
      <c r="HXX54" s="113"/>
      <c r="HXY54" s="113"/>
      <c r="HXZ54" s="113"/>
      <c r="HYA54" s="113"/>
      <c r="HYB54" s="113"/>
      <c r="HYC54" s="113"/>
      <c r="HYD54" s="113"/>
      <c r="HYE54" s="113"/>
      <c r="HYF54" s="113"/>
      <c r="HYG54" s="113"/>
      <c r="HYH54" s="113"/>
      <c r="HYI54" s="113"/>
      <c r="HYJ54" s="113"/>
      <c r="HYK54" s="113"/>
      <c r="HYL54" s="113"/>
      <c r="HYM54" s="113"/>
      <c r="HYN54" s="113"/>
      <c r="HYO54" s="113"/>
      <c r="HYP54" s="113"/>
      <c r="HYQ54" s="113"/>
      <c r="HYR54" s="113"/>
      <c r="HYS54" s="113"/>
      <c r="HYT54" s="113"/>
      <c r="HYU54" s="113"/>
      <c r="HYV54" s="113"/>
      <c r="HYW54" s="113"/>
      <c r="HYX54" s="113"/>
      <c r="HYY54" s="113"/>
      <c r="HYZ54" s="113"/>
      <c r="HZA54" s="113"/>
      <c r="HZB54" s="113"/>
      <c r="HZC54" s="113"/>
      <c r="HZD54" s="113"/>
      <c r="HZE54" s="113"/>
      <c r="HZF54" s="113"/>
      <c r="HZG54" s="113"/>
      <c r="HZH54" s="113"/>
      <c r="HZI54" s="113"/>
      <c r="HZJ54" s="113"/>
      <c r="HZK54" s="113"/>
      <c r="HZL54" s="113"/>
      <c r="HZM54" s="113"/>
      <c r="HZN54" s="113"/>
      <c r="HZO54" s="113"/>
      <c r="HZP54" s="113"/>
      <c r="HZQ54" s="113"/>
      <c r="HZR54" s="113"/>
      <c r="HZS54" s="113"/>
      <c r="HZT54" s="113"/>
      <c r="HZU54" s="113"/>
      <c r="HZV54" s="113"/>
      <c r="HZW54" s="113"/>
      <c r="HZX54" s="113"/>
      <c r="HZY54" s="113"/>
      <c r="HZZ54" s="113"/>
      <c r="IAA54" s="113"/>
      <c r="IAB54" s="113"/>
      <c r="IAC54" s="113"/>
      <c r="IAD54" s="113"/>
      <c r="IAE54" s="113"/>
      <c r="IAF54" s="113"/>
      <c r="IAG54" s="113"/>
      <c r="IAH54" s="113"/>
      <c r="IAI54" s="113"/>
      <c r="IAJ54" s="113"/>
      <c r="IAK54" s="113"/>
      <c r="IAL54" s="113"/>
      <c r="IAM54" s="113"/>
      <c r="IAN54" s="113"/>
      <c r="IAO54" s="113"/>
      <c r="IAP54" s="113"/>
      <c r="IAQ54" s="113"/>
      <c r="IAR54" s="113"/>
      <c r="IAS54" s="113"/>
      <c r="IAT54" s="113"/>
      <c r="IAU54" s="113"/>
      <c r="IAV54" s="113"/>
      <c r="IAW54" s="113"/>
      <c r="IAX54" s="113"/>
      <c r="IAY54" s="113"/>
      <c r="IAZ54" s="113"/>
      <c r="IBA54" s="113"/>
      <c r="IBB54" s="113"/>
      <c r="IBC54" s="113"/>
      <c r="IBD54" s="113"/>
      <c r="IBE54" s="113"/>
      <c r="IBF54" s="113"/>
      <c r="IBG54" s="113"/>
      <c r="IBH54" s="113"/>
      <c r="IBI54" s="113"/>
      <c r="IBJ54" s="113"/>
      <c r="IBK54" s="113"/>
      <c r="IBL54" s="113"/>
      <c r="IBM54" s="113"/>
      <c r="IBN54" s="113"/>
      <c r="IBO54" s="113"/>
      <c r="IBP54" s="113"/>
      <c r="IBQ54" s="113"/>
      <c r="IBR54" s="113"/>
      <c r="IBS54" s="113"/>
      <c r="IBT54" s="113"/>
      <c r="IBU54" s="113"/>
      <c r="IBV54" s="113"/>
      <c r="IBW54" s="113"/>
      <c r="IBX54" s="113"/>
      <c r="IBY54" s="113"/>
      <c r="IBZ54" s="113"/>
      <c r="ICA54" s="113"/>
      <c r="ICB54" s="113"/>
      <c r="ICC54" s="113"/>
      <c r="ICD54" s="113"/>
      <c r="ICE54" s="113"/>
      <c r="ICF54" s="113"/>
      <c r="ICG54" s="113"/>
      <c r="ICH54" s="113"/>
      <c r="ICI54" s="113"/>
      <c r="ICJ54" s="113"/>
      <c r="ICK54" s="113"/>
      <c r="ICL54" s="113"/>
      <c r="ICM54" s="113"/>
      <c r="ICN54" s="113"/>
      <c r="ICO54" s="113"/>
      <c r="ICP54" s="113"/>
      <c r="ICQ54" s="113"/>
      <c r="ICR54" s="113"/>
      <c r="ICS54" s="113"/>
      <c r="ICT54" s="113"/>
      <c r="ICU54" s="113"/>
      <c r="ICV54" s="113"/>
      <c r="ICW54" s="113"/>
      <c r="ICX54" s="113"/>
      <c r="ICY54" s="113"/>
      <c r="ICZ54" s="113"/>
      <c r="IDA54" s="113"/>
      <c r="IDB54" s="113"/>
      <c r="IDC54" s="113"/>
      <c r="IDD54" s="113"/>
      <c r="IDE54" s="113"/>
      <c r="IDF54" s="113"/>
      <c r="IDG54" s="113"/>
      <c r="IDH54" s="113"/>
      <c r="IDI54" s="113"/>
      <c r="IDJ54" s="113"/>
      <c r="IDK54" s="113"/>
      <c r="IDL54" s="113"/>
      <c r="IDM54" s="113"/>
      <c r="IDN54" s="113"/>
      <c r="IDO54" s="113"/>
      <c r="IDP54" s="113"/>
      <c r="IDQ54" s="113"/>
      <c r="IDR54" s="113"/>
      <c r="IDS54" s="113"/>
      <c r="IDT54" s="113"/>
      <c r="IDU54" s="113"/>
      <c r="IDV54" s="113"/>
      <c r="IDW54" s="113"/>
      <c r="IDX54" s="113"/>
      <c r="IDY54" s="113"/>
      <c r="IDZ54" s="113"/>
      <c r="IEA54" s="113"/>
      <c r="IEB54" s="113"/>
      <c r="IEC54" s="113"/>
      <c r="IED54" s="113"/>
      <c r="IEE54" s="113"/>
      <c r="IEF54" s="113"/>
      <c r="IEG54" s="113"/>
      <c r="IEH54" s="113"/>
      <c r="IEI54" s="113"/>
      <c r="IEJ54" s="113"/>
      <c r="IEK54" s="113"/>
      <c r="IEL54" s="113"/>
      <c r="IEM54" s="113"/>
      <c r="IEN54" s="113"/>
      <c r="IEO54" s="113"/>
      <c r="IEP54" s="113"/>
      <c r="IEQ54" s="113"/>
      <c r="IER54" s="113"/>
      <c r="IES54" s="113"/>
      <c r="IET54" s="113"/>
      <c r="IEU54" s="113"/>
      <c r="IEV54" s="113"/>
      <c r="IEW54" s="113"/>
      <c r="IEX54" s="113"/>
      <c r="IEY54" s="113"/>
      <c r="IEZ54" s="113"/>
      <c r="IFA54" s="113"/>
      <c r="IFB54" s="113"/>
      <c r="IFC54" s="113"/>
      <c r="IFD54" s="113"/>
      <c r="IFE54" s="113"/>
      <c r="IFF54" s="113"/>
      <c r="IFG54" s="113"/>
      <c r="IFH54" s="113"/>
      <c r="IFI54" s="113"/>
      <c r="IFJ54" s="113"/>
      <c r="IFK54" s="113"/>
      <c r="IFL54" s="113"/>
      <c r="IFM54" s="113"/>
      <c r="IFN54" s="113"/>
      <c r="IFO54" s="113"/>
      <c r="IFP54" s="113"/>
      <c r="IFQ54" s="113"/>
      <c r="IFR54" s="113"/>
      <c r="IFS54" s="113"/>
      <c r="IFT54" s="113"/>
      <c r="IFU54" s="113"/>
      <c r="IFV54" s="113"/>
      <c r="IFW54" s="113"/>
      <c r="IFX54" s="113"/>
      <c r="IFY54" s="113"/>
      <c r="IFZ54" s="113"/>
      <c r="IGA54" s="113"/>
      <c r="IGB54" s="113"/>
      <c r="IGC54" s="113"/>
      <c r="IGD54" s="113"/>
      <c r="IGE54" s="113"/>
      <c r="IGF54" s="113"/>
      <c r="IGG54" s="113"/>
      <c r="IGH54" s="113"/>
      <c r="IGI54" s="113"/>
      <c r="IGJ54" s="113"/>
      <c r="IGK54" s="113"/>
      <c r="IGL54" s="113"/>
      <c r="IGM54" s="113"/>
      <c r="IGN54" s="113"/>
      <c r="IGO54" s="113"/>
      <c r="IGP54" s="113"/>
      <c r="IGQ54" s="113"/>
      <c r="IGR54" s="113"/>
      <c r="IGS54" s="113"/>
      <c r="IGT54" s="113"/>
      <c r="IGU54" s="113"/>
      <c r="IGV54" s="113"/>
      <c r="IGW54" s="113"/>
      <c r="IGX54" s="113"/>
      <c r="IGY54" s="113"/>
      <c r="IGZ54" s="113"/>
      <c r="IHA54" s="113"/>
      <c r="IHB54" s="113"/>
      <c r="IHC54" s="113"/>
      <c r="IHD54" s="113"/>
      <c r="IHE54" s="113"/>
      <c r="IHF54" s="113"/>
      <c r="IHG54" s="113"/>
      <c r="IHH54" s="113"/>
      <c r="IHI54" s="113"/>
      <c r="IHJ54" s="113"/>
      <c r="IHK54" s="113"/>
      <c r="IHL54" s="113"/>
      <c r="IHM54" s="113"/>
      <c r="IHN54" s="113"/>
      <c r="IHO54" s="113"/>
      <c r="IHP54" s="113"/>
      <c r="IHQ54" s="113"/>
      <c r="IHR54" s="113"/>
      <c r="IHS54" s="113"/>
      <c r="IHT54" s="113"/>
      <c r="IHU54" s="113"/>
      <c r="IHV54" s="113"/>
      <c r="IHW54" s="113"/>
      <c r="IHX54" s="113"/>
      <c r="IHY54" s="113"/>
      <c r="IHZ54" s="113"/>
      <c r="IIA54" s="113"/>
      <c r="IIB54" s="113"/>
      <c r="IIC54" s="113"/>
      <c r="IID54" s="113"/>
      <c r="IIE54" s="113"/>
      <c r="IIF54" s="113"/>
      <c r="IIG54" s="113"/>
      <c r="IIH54" s="113"/>
      <c r="III54" s="113"/>
      <c r="IIJ54" s="113"/>
      <c r="IIK54" s="113"/>
      <c r="IIL54" s="113"/>
      <c r="IIM54" s="113"/>
      <c r="IIN54" s="113"/>
      <c r="IIO54" s="113"/>
      <c r="IIP54" s="113"/>
      <c r="IIQ54" s="113"/>
      <c r="IIR54" s="113"/>
      <c r="IIS54" s="113"/>
      <c r="IIT54" s="113"/>
      <c r="IIU54" s="113"/>
      <c r="IIV54" s="113"/>
      <c r="IIW54" s="113"/>
      <c r="IIX54" s="113"/>
      <c r="IIY54" s="113"/>
      <c r="IIZ54" s="113"/>
      <c r="IJA54" s="113"/>
      <c r="IJB54" s="113"/>
      <c r="IJC54" s="113"/>
      <c r="IJD54" s="113"/>
      <c r="IJE54" s="113"/>
      <c r="IJF54" s="113"/>
      <c r="IJG54" s="113"/>
      <c r="IJH54" s="113"/>
      <c r="IJI54" s="113"/>
      <c r="IJJ54" s="113"/>
      <c r="IJK54" s="113"/>
      <c r="IJL54" s="113"/>
      <c r="IJM54" s="113"/>
      <c r="IJN54" s="113"/>
      <c r="IJO54" s="113"/>
      <c r="IJP54" s="113"/>
      <c r="IJQ54" s="113"/>
      <c r="IJR54" s="113"/>
      <c r="IJS54" s="113"/>
      <c r="IJT54" s="113"/>
      <c r="IJU54" s="113"/>
      <c r="IJV54" s="113"/>
      <c r="IJW54" s="113"/>
      <c r="IJX54" s="113"/>
      <c r="IJY54" s="113"/>
      <c r="IJZ54" s="113"/>
      <c r="IKA54" s="113"/>
      <c r="IKB54" s="113"/>
      <c r="IKC54" s="113"/>
      <c r="IKD54" s="113"/>
      <c r="IKE54" s="113"/>
      <c r="IKF54" s="113"/>
      <c r="IKG54" s="113"/>
      <c r="IKH54" s="113"/>
      <c r="IKI54" s="113"/>
      <c r="IKJ54" s="113"/>
      <c r="IKK54" s="113"/>
      <c r="IKL54" s="113"/>
      <c r="IKM54" s="113"/>
      <c r="IKN54" s="113"/>
      <c r="IKO54" s="113"/>
      <c r="IKP54" s="113"/>
      <c r="IKQ54" s="113"/>
      <c r="IKR54" s="113"/>
      <c r="IKS54" s="113"/>
      <c r="IKT54" s="113"/>
      <c r="IKU54" s="113"/>
      <c r="IKV54" s="113"/>
      <c r="IKW54" s="113"/>
      <c r="IKX54" s="113"/>
      <c r="IKY54" s="113"/>
      <c r="IKZ54" s="113"/>
      <c r="ILA54" s="113"/>
      <c r="ILB54" s="113"/>
      <c r="ILC54" s="113"/>
      <c r="ILD54" s="113"/>
      <c r="ILE54" s="113"/>
      <c r="ILF54" s="113"/>
      <c r="ILG54" s="113"/>
      <c r="ILH54" s="113"/>
      <c r="ILI54" s="113"/>
      <c r="ILJ54" s="113"/>
      <c r="ILK54" s="113"/>
      <c r="ILL54" s="113"/>
      <c r="ILM54" s="113"/>
      <c r="ILN54" s="113"/>
      <c r="ILO54" s="113"/>
      <c r="ILP54" s="113"/>
      <c r="ILQ54" s="113"/>
      <c r="ILR54" s="113"/>
      <c r="ILS54" s="113"/>
      <c r="ILT54" s="113"/>
      <c r="ILU54" s="113"/>
      <c r="ILV54" s="113"/>
      <c r="ILW54" s="113"/>
      <c r="ILX54" s="113"/>
      <c r="ILY54" s="113"/>
      <c r="ILZ54" s="113"/>
      <c r="IMA54" s="113"/>
      <c r="IMB54" s="113"/>
      <c r="IMC54" s="113"/>
      <c r="IMD54" s="113"/>
      <c r="IME54" s="113"/>
      <c r="IMF54" s="113"/>
      <c r="IMG54" s="113"/>
      <c r="IMH54" s="113"/>
      <c r="IMI54" s="113"/>
      <c r="IMJ54" s="113"/>
      <c r="IMK54" s="113"/>
      <c r="IML54" s="113"/>
      <c r="IMM54" s="113"/>
      <c r="IMN54" s="113"/>
      <c r="IMO54" s="113"/>
      <c r="IMP54" s="113"/>
      <c r="IMQ54" s="113"/>
      <c r="IMR54" s="113"/>
      <c r="IMS54" s="113"/>
      <c r="IMT54" s="113"/>
      <c r="IMU54" s="113"/>
      <c r="IMV54" s="113"/>
      <c r="IMW54" s="113"/>
      <c r="IMX54" s="113"/>
      <c r="IMY54" s="113"/>
      <c r="IMZ54" s="113"/>
      <c r="INA54" s="113"/>
      <c r="INB54" s="113"/>
      <c r="INC54" s="113"/>
      <c r="IND54" s="113"/>
      <c r="INE54" s="113"/>
      <c r="INF54" s="113"/>
      <c r="ING54" s="113"/>
      <c r="INH54" s="113"/>
      <c r="INI54" s="113"/>
      <c r="INJ54" s="113"/>
      <c r="INK54" s="113"/>
      <c r="INL54" s="113"/>
      <c r="INM54" s="113"/>
      <c r="INN54" s="113"/>
      <c r="INO54" s="113"/>
      <c r="INP54" s="113"/>
      <c r="INQ54" s="113"/>
      <c r="INR54" s="113"/>
      <c r="INS54" s="113"/>
      <c r="INT54" s="113"/>
      <c r="INU54" s="113"/>
      <c r="INV54" s="113"/>
      <c r="INW54" s="113"/>
      <c r="INX54" s="113"/>
      <c r="INY54" s="113"/>
      <c r="INZ54" s="113"/>
      <c r="IOA54" s="113"/>
      <c r="IOB54" s="113"/>
      <c r="IOC54" s="113"/>
      <c r="IOD54" s="113"/>
      <c r="IOE54" s="113"/>
      <c r="IOF54" s="113"/>
      <c r="IOG54" s="113"/>
      <c r="IOH54" s="113"/>
      <c r="IOI54" s="113"/>
      <c r="IOJ54" s="113"/>
      <c r="IOK54" s="113"/>
      <c r="IOL54" s="113"/>
      <c r="IOM54" s="113"/>
      <c r="ION54" s="113"/>
      <c r="IOO54" s="113"/>
      <c r="IOP54" s="113"/>
      <c r="IOQ54" s="113"/>
      <c r="IOR54" s="113"/>
      <c r="IOS54" s="113"/>
      <c r="IOT54" s="113"/>
      <c r="IOU54" s="113"/>
      <c r="IOV54" s="113"/>
      <c r="IOW54" s="113"/>
      <c r="IOX54" s="113"/>
      <c r="IOY54" s="113"/>
      <c r="IOZ54" s="113"/>
      <c r="IPA54" s="113"/>
      <c r="IPB54" s="113"/>
      <c r="IPC54" s="113"/>
      <c r="IPD54" s="113"/>
      <c r="IPE54" s="113"/>
      <c r="IPF54" s="113"/>
      <c r="IPG54" s="113"/>
      <c r="IPH54" s="113"/>
      <c r="IPI54" s="113"/>
      <c r="IPJ54" s="113"/>
      <c r="IPK54" s="113"/>
      <c r="IPL54" s="113"/>
      <c r="IPM54" s="113"/>
      <c r="IPN54" s="113"/>
      <c r="IPO54" s="113"/>
      <c r="IPP54" s="113"/>
      <c r="IPQ54" s="113"/>
      <c r="IPR54" s="113"/>
      <c r="IPS54" s="113"/>
      <c r="IPT54" s="113"/>
      <c r="IPU54" s="113"/>
      <c r="IPV54" s="113"/>
      <c r="IPW54" s="113"/>
      <c r="IPX54" s="113"/>
      <c r="IPY54" s="113"/>
      <c r="IPZ54" s="113"/>
      <c r="IQA54" s="113"/>
      <c r="IQB54" s="113"/>
      <c r="IQC54" s="113"/>
      <c r="IQD54" s="113"/>
      <c r="IQE54" s="113"/>
      <c r="IQF54" s="113"/>
      <c r="IQG54" s="113"/>
      <c r="IQH54" s="113"/>
      <c r="IQI54" s="113"/>
      <c r="IQJ54" s="113"/>
      <c r="IQK54" s="113"/>
      <c r="IQL54" s="113"/>
      <c r="IQM54" s="113"/>
      <c r="IQN54" s="113"/>
      <c r="IQO54" s="113"/>
      <c r="IQP54" s="113"/>
      <c r="IQQ54" s="113"/>
      <c r="IQR54" s="113"/>
      <c r="IQS54" s="113"/>
      <c r="IQT54" s="113"/>
      <c r="IQU54" s="113"/>
      <c r="IQV54" s="113"/>
      <c r="IQW54" s="113"/>
      <c r="IQX54" s="113"/>
      <c r="IQY54" s="113"/>
      <c r="IQZ54" s="113"/>
      <c r="IRA54" s="113"/>
      <c r="IRB54" s="113"/>
      <c r="IRC54" s="113"/>
      <c r="IRD54" s="113"/>
      <c r="IRE54" s="113"/>
      <c r="IRF54" s="113"/>
      <c r="IRG54" s="113"/>
      <c r="IRH54" s="113"/>
      <c r="IRI54" s="113"/>
      <c r="IRJ54" s="113"/>
      <c r="IRK54" s="113"/>
      <c r="IRL54" s="113"/>
      <c r="IRM54" s="113"/>
      <c r="IRN54" s="113"/>
      <c r="IRO54" s="113"/>
      <c r="IRP54" s="113"/>
      <c r="IRQ54" s="113"/>
      <c r="IRR54" s="113"/>
      <c r="IRS54" s="113"/>
      <c r="IRT54" s="113"/>
      <c r="IRU54" s="113"/>
      <c r="IRV54" s="113"/>
      <c r="IRW54" s="113"/>
      <c r="IRX54" s="113"/>
      <c r="IRY54" s="113"/>
      <c r="IRZ54" s="113"/>
      <c r="ISA54" s="113"/>
      <c r="ISB54" s="113"/>
      <c r="ISC54" s="113"/>
      <c r="ISD54" s="113"/>
      <c r="ISE54" s="113"/>
      <c r="ISF54" s="113"/>
      <c r="ISG54" s="113"/>
      <c r="ISH54" s="113"/>
      <c r="ISI54" s="113"/>
      <c r="ISJ54" s="113"/>
      <c r="ISK54" s="113"/>
      <c r="ISL54" s="113"/>
      <c r="ISM54" s="113"/>
      <c r="ISN54" s="113"/>
      <c r="ISO54" s="113"/>
      <c r="ISP54" s="113"/>
      <c r="ISQ54" s="113"/>
      <c r="ISR54" s="113"/>
      <c r="ISS54" s="113"/>
      <c r="IST54" s="113"/>
      <c r="ISU54" s="113"/>
      <c r="ISV54" s="113"/>
      <c r="ISW54" s="113"/>
      <c r="ISX54" s="113"/>
      <c r="ISY54" s="113"/>
      <c r="ISZ54" s="113"/>
      <c r="ITA54" s="113"/>
      <c r="ITB54" s="113"/>
      <c r="ITC54" s="113"/>
      <c r="ITD54" s="113"/>
      <c r="ITE54" s="113"/>
      <c r="ITF54" s="113"/>
      <c r="ITG54" s="113"/>
      <c r="ITH54" s="113"/>
      <c r="ITI54" s="113"/>
      <c r="ITJ54" s="113"/>
      <c r="ITK54" s="113"/>
      <c r="ITL54" s="113"/>
      <c r="ITM54" s="113"/>
      <c r="ITN54" s="113"/>
      <c r="ITO54" s="113"/>
      <c r="ITP54" s="113"/>
      <c r="ITQ54" s="113"/>
      <c r="ITR54" s="113"/>
      <c r="ITS54" s="113"/>
      <c r="ITT54" s="113"/>
      <c r="ITU54" s="113"/>
      <c r="ITV54" s="113"/>
      <c r="ITW54" s="113"/>
      <c r="ITX54" s="113"/>
      <c r="ITY54" s="113"/>
      <c r="ITZ54" s="113"/>
      <c r="IUA54" s="113"/>
      <c r="IUB54" s="113"/>
      <c r="IUC54" s="113"/>
      <c r="IUD54" s="113"/>
      <c r="IUE54" s="113"/>
      <c r="IUF54" s="113"/>
      <c r="IUG54" s="113"/>
      <c r="IUH54" s="113"/>
      <c r="IUI54" s="113"/>
      <c r="IUJ54" s="113"/>
      <c r="IUK54" s="113"/>
      <c r="IUL54" s="113"/>
      <c r="IUM54" s="113"/>
      <c r="IUN54" s="113"/>
      <c r="IUO54" s="113"/>
      <c r="IUP54" s="113"/>
      <c r="IUQ54" s="113"/>
      <c r="IUR54" s="113"/>
      <c r="IUS54" s="113"/>
      <c r="IUT54" s="113"/>
      <c r="IUU54" s="113"/>
      <c r="IUV54" s="113"/>
      <c r="IUW54" s="113"/>
      <c r="IUX54" s="113"/>
      <c r="IUY54" s="113"/>
      <c r="IUZ54" s="113"/>
      <c r="IVA54" s="113"/>
      <c r="IVB54" s="113"/>
      <c r="IVC54" s="113"/>
      <c r="IVD54" s="113"/>
      <c r="IVE54" s="113"/>
      <c r="IVF54" s="113"/>
      <c r="IVG54" s="113"/>
      <c r="IVH54" s="113"/>
      <c r="IVI54" s="113"/>
      <c r="IVJ54" s="113"/>
      <c r="IVK54" s="113"/>
      <c r="IVL54" s="113"/>
      <c r="IVM54" s="113"/>
      <c r="IVN54" s="113"/>
      <c r="IVO54" s="113"/>
      <c r="IVP54" s="113"/>
      <c r="IVQ54" s="113"/>
      <c r="IVR54" s="113"/>
      <c r="IVS54" s="113"/>
      <c r="IVT54" s="113"/>
      <c r="IVU54" s="113"/>
      <c r="IVV54" s="113"/>
      <c r="IVW54" s="113"/>
      <c r="IVX54" s="113"/>
      <c r="IVY54" s="113"/>
      <c r="IVZ54" s="113"/>
      <c r="IWA54" s="113"/>
      <c r="IWB54" s="113"/>
      <c r="IWC54" s="113"/>
      <c r="IWD54" s="113"/>
      <c r="IWE54" s="113"/>
      <c r="IWF54" s="113"/>
      <c r="IWG54" s="113"/>
      <c r="IWH54" s="113"/>
      <c r="IWI54" s="113"/>
      <c r="IWJ54" s="113"/>
      <c r="IWK54" s="113"/>
      <c r="IWL54" s="113"/>
      <c r="IWM54" s="113"/>
      <c r="IWN54" s="113"/>
      <c r="IWO54" s="113"/>
      <c r="IWP54" s="113"/>
      <c r="IWQ54" s="113"/>
      <c r="IWR54" s="113"/>
      <c r="IWS54" s="113"/>
      <c r="IWT54" s="113"/>
      <c r="IWU54" s="113"/>
      <c r="IWV54" s="113"/>
      <c r="IWW54" s="113"/>
      <c r="IWX54" s="113"/>
      <c r="IWY54" s="113"/>
      <c r="IWZ54" s="113"/>
      <c r="IXA54" s="113"/>
      <c r="IXB54" s="113"/>
      <c r="IXC54" s="113"/>
      <c r="IXD54" s="113"/>
      <c r="IXE54" s="113"/>
      <c r="IXF54" s="113"/>
      <c r="IXG54" s="113"/>
      <c r="IXH54" s="113"/>
      <c r="IXI54" s="113"/>
      <c r="IXJ54" s="113"/>
      <c r="IXK54" s="113"/>
      <c r="IXL54" s="113"/>
      <c r="IXM54" s="113"/>
      <c r="IXN54" s="113"/>
      <c r="IXO54" s="113"/>
      <c r="IXP54" s="113"/>
      <c r="IXQ54" s="113"/>
      <c r="IXR54" s="113"/>
      <c r="IXS54" s="113"/>
      <c r="IXT54" s="113"/>
      <c r="IXU54" s="113"/>
      <c r="IXV54" s="113"/>
      <c r="IXW54" s="113"/>
      <c r="IXX54" s="113"/>
      <c r="IXY54" s="113"/>
      <c r="IXZ54" s="113"/>
      <c r="IYA54" s="113"/>
      <c r="IYB54" s="113"/>
      <c r="IYC54" s="113"/>
      <c r="IYD54" s="113"/>
      <c r="IYE54" s="113"/>
      <c r="IYF54" s="113"/>
      <c r="IYG54" s="113"/>
      <c r="IYH54" s="113"/>
      <c r="IYI54" s="113"/>
      <c r="IYJ54" s="113"/>
      <c r="IYK54" s="113"/>
      <c r="IYL54" s="113"/>
      <c r="IYM54" s="113"/>
      <c r="IYN54" s="113"/>
      <c r="IYO54" s="113"/>
      <c r="IYP54" s="113"/>
      <c r="IYQ54" s="113"/>
      <c r="IYR54" s="113"/>
      <c r="IYS54" s="113"/>
      <c r="IYT54" s="113"/>
      <c r="IYU54" s="113"/>
      <c r="IYV54" s="113"/>
      <c r="IYW54" s="113"/>
      <c r="IYX54" s="113"/>
      <c r="IYY54" s="113"/>
      <c r="IYZ54" s="113"/>
      <c r="IZA54" s="113"/>
      <c r="IZB54" s="113"/>
      <c r="IZC54" s="113"/>
      <c r="IZD54" s="113"/>
      <c r="IZE54" s="113"/>
      <c r="IZF54" s="113"/>
      <c r="IZG54" s="113"/>
      <c r="IZH54" s="113"/>
      <c r="IZI54" s="113"/>
      <c r="IZJ54" s="113"/>
      <c r="IZK54" s="113"/>
      <c r="IZL54" s="113"/>
      <c r="IZM54" s="113"/>
      <c r="IZN54" s="113"/>
      <c r="IZO54" s="113"/>
      <c r="IZP54" s="113"/>
      <c r="IZQ54" s="113"/>
      <c r="IZR54" s="113"/>
      <c r="IZS54" s="113"/>
      <c r="IZT54" s="113"/>
      <c r="IZU54" s="113"/>
      <c r="IZV54" s="113"/>
      <c r="IZW54" s="113"/>
      <c r="IZX54" s="113"/>
      <c r="IZY54" s="113"/>
      <c r="IZZ54" s="113"/>
      <c r="JAA54" s="113"/>
      <c r="JAB54" s="113"/>
      <c r="JAC54" s="113"/>
      <c r="JAD54" s="113"/>
      <c r="JAE54" s="113"/>
      <c r="JAF54" s="113"/>
      <c r="JAG54" s="113"/>
      <c r="JAH54" s="113"/>
      <c r="JAI54" s="113"/>
      <c r="JAJ54" s="113"/>
      <c r="JAK54" s="113"/>
      <c r="JAL54" s="113"/>
      <c r="JAM54" s="113"/>
      <c r="JAN54" s="113"/>
      <c r="JAO54" s="113"/>
      <c r="JAP54" s="113"/>
      <c r="JAQ54" s="113"/>
      <c r="JAR54" s="113"/>
      <c r="JAS54" s="113"/>
      <c r="JAT54" s="113"/>
      <c r="JAU54" s="113"/>
      <c r="JAV54" s="113"/>
      <c r="JAW54" s="113"/>
      <c r="JAX54" s="113"/>
      <c r="JAY54" s="113"/>
      <c r="JAZ54" s="113"/>
      <c r="JBA54" s="113"/>
      <c r="JBB54" s="113"/>
      <c r="JBC54" s="113"/>
      <c r="JBD54" s="113"/>
      <c r="JBE54" s="113"/>
      <c r="JBF54" s="113"/>
      <c r="JBG54" s="113"/>
      <c r="JBH54" s="113"/>
      <c r="JBI54" s="113"/>
      <c r="JBJ54" s="113"/>
      <c r="JBK54" s="113"/>
      <c r="JBL54" s="113"/>
      <c r="JBM54" s="113"/>
      <c r="JBN54" s="113"/>
      <c r="JBO54" s="113"/>
      <c r="JBP54" s="113"/>
      <c r="JBQ54" s="113"/>
      <c r="JBR54" s="113"/>
      <c r="JBS54" s="113"/>
      <c r="JBT54" s="113"/>
      <c r="JBU54" s="113"/>
      <c r="JBV54" s="113"/>
      <c r="JBW54" s="113"/>
      <c r="JBX54" s="113"/>
      <c r="JBY54" s="113"/>
      <c r="JBZ54" s="113"/>
      <c r="JCA54" s="113"/>
      <c r="JCB54" s="113"/>
      <c r="JCC54" s="113"/>
      <c r="JCD54" s="113"/>
      <c r="JCE54" s="113"/>
      <c r="JCF54" s="113"/>
      <c r="JCG54" s="113"/>
      <c r="JCH54" s="113"/>
      <c r="JCI54" s="113"/>
      <c r="JCJ54" s="113"/>
      <c r="JCK54" s="113"/>
      <c r="JCL54" s="113"/>
      <c r="JCM54" s="113"/>
      <c r="JCN54" s="113"/>
      <c r="JCO54" s="113"/>
      <c r="JCP54" s="113"/>
      <c r="JCQ54" s="113"/>
      <c r="JCR54" s="113"/>
      <c r="JCS54" s="113"/>
      <c r="JCT54" s="113"/>
      <c r="JCU54" s="113"/>
      <c r="JCV54" s="113"/>
      <c r="JCW54" s="113"/>
      <c r="JCX54" s="113"/>
      <c r="JCY54" s="113"/>
      <c r="JCZ54" s="113"/>
      <c r="JDA54" s="113"/>
      <c r="JDB54" s="113"/>
      <c r="JDC54" s="113"/>
      <c r="JDD54" s="113"/>
      <c r="JDE54" s="113"/>
      <c r="JDF54" s="113"/>
      <c r="JDG54" s="113"/>
      <c r="JDH54" s="113"/>
      <c r="JDI54" s="113"/>
      <c r="JDJ54" s="113"/>
      <c r="JDK54" s="113"/>
      <c r="JDL54" s="113"/>
      <c r="JDM54" s="113"/>
      <c r="JDN54" s="113"/>
      <c r="JDO54" s="113"/>
      <c r="JDP54" s="113"/>
      <c r="JDQ54" s="113"/>
      <c r="JDR54" s="113"/>
      <c r="JDS54" s="113"/>
      <c r="JDT54" s="113"/>
      <c r="JDU54" s="113"/>
      <c r="JDV54" s="113"/>
      <c r="JDW54" s="113"/>
      <c r="JDX54" s="113"/>
      <c r="JDY54" s="113"/>
      <c r="JDZ54" s="113"/>
      <c r="JEA54" s="113"/>
      <c r="JEB54" s="113"/>
      <c r="JEC54" s="113"/>
      <c r="JED54" s="113"/>
      <c r="JEE54" s="113"/>
      <c r="JEF54" s="113"/>
      <c r="JEG54" s="113"/>
      <c r="JEH54" s="113"/>
      <c r="JEI54" s="113"/>
      <c r="JEJ54" s="113"/>
      <c r="JEK54" s="113"/>
      <c r="JEL54" s="113"/>
      <c r="JEM54" s="113"/>
      <c r="JEN54" s="113"/>
      <c r="JEO54" s="113"/>
      <c r="JEP54" s="113"/>
      <c r="JEQ54" s="113"/>
      <c r="JER54" s="113"/>
      <c r="JES54" s="113"/>
      <c r="JET54" s="113"/>
      <c r="JEU54" s="113"/>
      <c r="JEV54" s="113"/>
      <c r="JEW54" s="113"/>
      <c r="JEX54" s="113"/>
      <c r="JEY54" s="113"/>
      <c r="JEZ54" s="113"/>
      <c r="JFA54" s="113"/>
      <c r="JFB54" s="113"/>
      <c r="JFC54" s="113"/>
      <c r="JFD54" s="113"/>
      <c r="JFE54" s="113"/>
      <c r="JFF54" s="113"/>
      <c r="JFG54" s="113"/>
      <c r="JFH54" s="113"/>
      <c r="JFI54" s="113"/>
      <c r="JFJ54" s="113"/>
      <c r="JFK54" s="113"/>
      <c r="JFL54" s="113"/>
      <c r="JFM54" s="113"/>
      <c r="JFN54" s="113"/>
      <c r="JFO54" s="113"/>
      <c r="JFP54" s="113"/>
      <c r="JFQ54" s="113"/>
      <c r="JFR54" s="113"/>
      <c r="JFS54" s="113"/>
      <c r="JFT54" s="113"/>
      <c r="JFU54" s="113"/>
      <c r="JFV54" s="113"/>
      <c r="JFW54" s="113"/>
      <c r="JFX54" s="113"/>
      <c r="JFY54" s="113"/>
      <c r="JFZ54" s="113"/>
      <c r="JGA54" s="113"/>
      <c r="JGB54" s="113"/>
      <c r="JGC54" s="113"/>
      <c r="JGD54" s="113"/>
      <c r="JGE54" s="113"/>
      <c r="JGF54" s="113"/>
      <c r="JGG54" s="113"/>
      <c r="JGH54" s="113"/>
      <c r="JGI54" s="113"/>
      <c r="JGJ54" s="113"/>
      <c r="JGK54" s="113"/>
      <c r="JGL54" s="113"/>
      <c r="JGM54" s="113"/>
      <c r="JGN54" s="113"/>
      <c r="JGO54" s="113"/>
      <c r="JGP54" s="113"/>
      <c r="JGQ54" s="113"/>
      <c r="JGR54" s="113"/>
      <c r="JGS54" s="113"/>
      <c r="JGT54" s="113"/>
      <c r="JGU54" s="113"/>
      <c r="JGV54" s="113"/>
      <c r="JGW54" s="113"/>
      <c r="JGX54" s="113"/>
      <c r="JGY54" s="113"/>
      <c r="JGZ54" s="113"/>
      <c r="JHA54" s="113"/>
      <c r="JHB54" s="113"/>
      <c r="JHC54" s="113"/>
      <c r="JHD54" s="113"/>
      <c r="JHE54" s="113"/>
      <c r="JHF54" s="113"/>
      <c r="JHG54" s="113"/>
      <c r="JHH54" s="113"/>
      <c r="JHI54" s="113"/>
      <c r="JHJ54" s="113"/>
      <c r="JHK54" s="113"/>
      <c r="JHL54" s="113"/>
      <c r="JHM54" s="113"/>
      <c r="JHN54" s="113"/>
      <c r="JHO54" s="113"/>
      <c r="JHP54" s="113"/>
      <c r="JHQ54" s="113"/>
      <c r="JHR54" s="113"/>
      <c r="JHS54" s="113"/>
      <c r="JHT54" s="113"/>
      <c r="JHU54" s="113"/>
      <c r="JHV54" s="113"/>
      <c r="JHW54" s="113"/>
      <c r="JHX54" s="113"/>
      <c r="JHY54" s="113"/>
      <c r="JHZ54" s="113"/>
      <c r="JIA54" s="113"/>
      <c r="JIB54" s="113"/>
      <c r="JIC54" s="113"/>
      <c r="JID54" s="113"/>
      <c r="JIE54" s="113"/>
      <c r="JIF54" s="113"/>
      <c r="JIG54" s="113"/>
      <c r="JIH54" s="113"/>
      <c r="JII54" s="113"/>
      <c r="JIJ54" s="113"/>
      <c r="JIK54" s="113"/>
      <c r="JIL54" s="113"/>
      <c r="JIM54" s="113"/>
      <c r="JIN54" s="113"/>
      <c r="JIO54" s="113"/>
      <c r="JIP54" s="113"/>
      <c r="JIQ54" s="113"/>
      <c r="JIR54" s="113"/>
      <c r="JIS54" s="113"/>
      <c r="JIT54" s="113"/>
      <c r="JIU54" s="113"/>
      <c r="JIV54" s="113"/>
      <c r="JIW54" s="113"/>
      <c r="JIX54" s="113"/>
      <c r="JIY54" s="113"/>
      <c r="JIZ54" s="113"/>
      <c r="JJA54" s="113"/>
      <c r="JJB54" s="113"/>
      <c r="JJC54" s="113"/>
      <c r="JJD54" s="113"/>
      <c r="JJE54" s="113"/>
      <c r="JJF54" s="113"/>
      <c r="JJG54" s="113"/>
      <c r="JJH54" s="113"/>
      <c r="JJI54" s="113"/>
      <c r="JJJ54" s="113"/>
      <c r="JJK54" s="113"/>
      <c r="JJL54" s="113"/>
      <c r="JJM54" s="113"/>
      <c r="JJN54" s="113"/>
      <c r="JJO54" s="113"/>
      <c r="JJP54" s="113"/>
      <c r="JJQ54" s="113"/>
      <c r="JJR54" s="113"/>
      <c r="JJS54" s="113"/>
      <c r="JJT54" s="113"/>
      <c r="JJU54" s="113"/>
      <c r="JJV54" s="113"/>
      <c r="JJW54" s="113"/>
      <c r="JJX54" s="113"/>
      <c r="JJY54" s="113"/>
      <c r="JJZ54" s="113"/>
      <c r="JKA54" s="113"/>
      <c r="JKB54" s="113"/>
      <c r="JKC54" s="113"/>
      <c r="JKD54" s="113"/>
      <c r="JKE54" s="113"/>
      <c r="JKF54" s="113"/>
      <c r="JKG54" s="113"/>
      <c r="JKH54" s="113"/>
      <c r="JKI54" s="113"/>
      <c r="JKJ54" s="113"/>
      <c r="JKK54" s="113"/>
      <c r="JKL54" s="113"/>
      <c r="JKM54" s="113"/>
      <c r="JKN54" s="113"/>
      <c r="JKO54" s="113"/>
      <c r="JKP54" s="113"/>
      <c r="JKQ54" s="113"/>
      <c r="JKR54" s="113"/>
      <c r="JKS54" s="113"/>
      <c r="JKT54" s="113"/>
      <c r="JKU54" s="113"/>
      <c r="JKV54" s="113"/>
      <c r="JKW54" s="113"/>
      <c r="JKX54" s="113"/>
      <c r="JKY54" s="113"/>
      <c r="JKZ54" s="113"/>
      <c r="JLA54" s="113"/>
      <c r="JLB54" s="113"/>
      <c r="JLC54" s="113"/>
      <c r="JLD54" s="113"/>
      <c r="JLE54" s="113"/>
      <c r="JLF54" s="113"/>
      <c r="JLG54" s="113"/>
      <c r="JLH54" s="113"/>
      <c r="JLI54" s="113"/>
      <c r="JLJ54" s="113"/>
      <c r="JLK54" s="113"/>
      <c r="JLL54" s="113"/>
      <c r="JLM54" s="113"/>
      <c r="JLN54" s="113"/>
      <c r="JLO54" s="113"/>
      <c r="JLP54" s="113"/>
      <c r="JLQ54" s="113"/>
      <c r="JLR54" s="113"/>
      <c r="JLS54" s="113"/>
      <c r="JLT54" s="113"/>
      <c r="JLU54" s="113"/>
      <c r="JLV54" s="113"/>
      <c r="JLW54" s="113"/>
      <c r="JLX54" s="113"/>
      <c r="JLY54" s="113"/>
      <c r="JLZ54" s="113"/>
      <c r="JMA54" s="113"/>
      <c r="JMB54" s="113"/>
      <c r="JMC54" s="113"/>
      <c r="JMD54" s="113"/>
      <c r="JME54" s="113"/>
      <c r="JMF54" s="113"/>
      <c r="JMG54" s="113"/>
      <c r="JMH54" s="113"/>
      <c r="JMI54" s="113"/>
      <c r="JMJ54" s="113"/>
      <c r="JMK54" s="113"/>
      <c r="JML54" s="113"/>
      <c r="JMM54" s="113"/>
      <c r="JMN54" s="113"/>
      <c r="JMO54" s="113"/>
      <c r="JMP54" s="113"/>
      <c r="JMQ54" s="113"/>
      <c r="JMR54" s="113"/>
      <c r="JMS54" s="113"/>
      <c r="JMT54" s="113"/>
      <c r="JMU54" s="113"/>
      <c r="JMV54" s="113"/>
      <c r="JMW54" s="113"/>
      <c r="JMX54" s="113"/>
      <c r="JMY54" s="113"/>
      <c r="JMZ54" s="113"/>
      <c r="JNA54" s="113"/>
      <c r="JNB54" s="113"/>
      <c r="JNC54" s="113"/>
      <c r="JND54" s="113"/>
      <c r="JNE54" s="113"/>
      <c r="JNF54" s="113"/>
      <c r="JNG54" s="113"/>
      <c r="JNH54" s="113"/>
      <c r="JNI54" s="113"/>
      <c r="JNJ54" s="113"/>
      <c r="JNK54" s="113"/>
      <c r="JNL54" s="113"/>
      <c r="JNM54" s="113"/>
      <c r="JNN54" s="113"/>
      <c r="JNO54" s="113"/>
      <c r="JNP54" s="113"/>
      <c r="JNQ54" s="113"/>
      <c r="JNR54" s="113"/>
      <c r="JNS54" s="113"/>
      <c r="JNT54" s="113"/>
      <c r="JNU54" s="113"/>
      <c r="JNV54" s="113"/>
      <c r="JNW54" s="113"/>
      <c r="JNX54" s="113"/>
      <c r="JNY54" s="113"/>
      <c r="JNZ54" s="113"/>
      <c r="JOA54" s="113"/>
      <c r="JOB54" s="113"/>
      <c r="JOC54" s="113"/>
      <c r="JOD54" s="113"/>
      <c r="JOE54" s="113"/>
      <c r="JOF54" s="113"/>
      <c r="JOG54" s="113"/>
      <c r="JOH54" s="113"/>
      <c r="JOI54" s="113"/>
      <c r="JOJ54" s="113"/>
      <c r="JOK54" s="113"/>
      <c r="JOL54" s="113"/>
      <c r="JOM54" s="113"/>
      <c r="JON54" s="113"/>
      <c r="JOO54" s="113"/>
      <c r="JOP54" s="113"/>
      <c r="JOQ54" s="113"/>
      <c r="JOR54" s="113"/>
      <c r="JOS54" s="113"/>
      <c r="JOT54" s="113"/>
      <c r="JOU54" s="113"/>
      <c r="JOV54" s="113"/>
      <c r="JOW54" s="113"/>
      <c r="JOX54" s="113"/>
      <c r="JOY54" s="113"/>
      <c r="JOZ54" s="113"/>
      <c r="JPA54" s="113"/>
      <c r="JPB54" s="113"/>
      <c r="JPC54" s="113"/>
      <c r="JPD54" s="113"/>
      <c r="JPE54" s="113"/>
      <c r="JPF54" s="113"/>
      <c r="JPG54" s="113"/>
      <c r="JPH54" s="113"/>
      <c r="JPI54" s="113"/>
      <c r="JPJ54" s="113"/>
      <c r="JPK54" s="113"/>
      <c r="JPL54" s="113"/>
      <c r="JPM54" s="113"/>
      <c r="JPN54" s="113"/>
      <c r="JPO54" s="113"/>
      <c r="JPP54" s="113"/>
      <c r="JPQ54" s="113"/>
      <c r="JPR54" s="113"/>
      <c r="JPS54" s="113"/>
      <c r="JPT54" s="113"/>
      <c r="JPU54" s="113"/>
      <c r="JPV54" s="113"/>
      <c r="JPW54" s="113"/>
      <c r="JPX54" s="113"/>
      <c r="JPY54" s="113"/>
      <c r="JPZ54" s="113"/>
      <c r="JQA54" s="113"/>
      <c r="JQB54" s="113"/>
      <c r="JQC54" s="113"/>
      <c r="JQD54" s="113"/>
      <c r="JQE54" s="113"/>
      <c r="JQF54" s="113"/>
      <c r="JQG54" s="113"/>
      <c r="JQH54" s="113"/>
      <c r="JQI54" s="113"/>
      <c r="JQJ54" s="113"/>
      <c r="JQK54" s="113"/>
      <c r="JQL54" s="113"/>
      <c r="JQM54" s="113"/>
      <c r="JQN54" s="113"/>
      <c r="JQO54" s="113"/>
      <c r="JQP54" s="113"/>
      <c r="JQQ54" s="113"/>
      <c r="JQR54" s="113"/>
      <c r="JQS54" s="113"/>
      <c r="JQT54" s="113"/>
      <c r="JQU54" s="113"/>
      <c r="JQV54" s="113"/>
      <c r="JQW54" s="113"/>
      <c r="JQX54" s="113"/>
      <c r="JQY54" s="113"/>
      <c r="JQZ54" s="113"/>
      <c r="JRA54" s="113"/>
      <c r="JRB54" s="113"/>
      <c r="JRC54" s="113"/>
      <c r="JRD54" s="113"/>
      <c r="JRE54" s="113"/>
      <c r="JRF54" s="113"/>
      <c r="JRG54" s="113"/>
      <c r="JRH54" s="113"/>
      <c r="JRI54" s="113"/>
      <c r="JRJ54" s="113"/>
      <c r="JRK54" s="113"/>
      <c r="JRL54" s="113"/>
      <c r="JRM54" s="113"/>
      <c r="JRN54" s="113"/>
      <c r="JRO54" s="113"/>
      <c r="JRP54" s="113"/>
      <c r="JRQ54" s="113"/>
      <c r="JRR54" s="113"/>
      <c r="JRS54" s="113"/>
      <c r="JRT54" s="113"/>
      <c r="JRU54" s="113"/>
      <c r="JRV54" s="113"/>
      <c r="JRW54" s="113"/>
      <c r="JRX54" s="113"/>
      <c r="JRY54" s="113"/>
      <c r="JRZ54" s="113"/>
      <c r="JSA54" s="113"/>
      <c r="JSB54" s="113"/>
      <c r="JSC54" s="113"/>
      <c r="JSD54" s="113"/>
      <c r="JSE54" s="113"/>
      <c r="JSF54" s="113"/>
      <c r="JSG54" s="113"/>
      <c r="JSH54" s="113"/>
      <c r="JSI54" s="113"/>
      <c r="JSJ54" s="113"/>
      <c r="JSK54" s="113"/>
      <c r="JSL54" s="113"/>
      <c r="JSM54" s="113"/>
      <c r="JSN54" s="113"/>
      <c r="JSO54" s="113"/>
      <c r="JSP54" s="113"/>
      <c r="JSQ54" s="113"/>
      <c r="JSR54" s="113"/>
      <c r="JSS54" s="113"/>
      <c r="JST54" s="113"/>
      <c r="JSU54" s="113"/>
      <c r="JSV54" s="113"/>
      <c r="JSW54" s="113"/>
      <c r="JSX54" s="113"/>
      <c r="JSY54" s="113"/>
      <c r="JSZ54" s="113"/>
      <c r="JTA54" s="113"/>
      <c r="JTB54" s="113"/>
      <c r="JTC54" s="113"/>
      <c r="JTD54" s="113"/>
      <c r="JTE54" s="113"/>
      <c r="JTF54" s="113"/>
      <c r="JTG54" s="113"/>
      <c r="JTH54" s="113"/>
      <c r="JTI54" s="113"/>
      <c r="JTJ54" s="113"/>
      <c r="JTK54" s="113"/>
      <c r="JTL54" s="113"/>
      <c r="JTM54" s="113"/>
      <c r="JTN54" s="113"/>
      <c r="JTO54" s="113"/>
      <c r="JTP54" s="113"/>
      <c r="JTQ54" s="113"/>
      <c r="JTR54" s="113"/>
      <c r="JTS54" s="113"/>
      <c r="JTT54" s="113"/>
      <c r="JTU54" s="113"/>
      <c r="JTV54" s="113"/>
      <c r="JTW54" s="113"/>
      <c r="JTX54" s="113"/>
      <c r="JTY54" s="113"/>
      <c r="JTZ54" s="113"/>
      <c r="JUA54" s="113"/>
      <c r="JUB54" s="113"/>
      <c r="JUC54" s="113"/>
      <c r="JUD54" s="113"/>
      <c r="JUE54" s="113"/>
      <c r="JUF54" s="113"/>
      <c r="JUG54" s="113"/>
      <c r="JUH54" s="113"/>
      <c r="JUI54" s="113"/>
      <c r="JUJ54" s="113"/>
      <c r="JUK54" s="113"/>
      <c r="JUL54" s="113"/>
      <c r="JUM54" s="113"/>
      <c r="JUN54" s="113"/>
      <c r="JUO54" s="113"/>
      <c r="JUP54" s="113"/>
      <c r="JUQ54" s="113"/>
      <c r="JUR54" s="113"/>
      <c r="JUS54" s="113"/>
      <c r="JUT54" s="113"/>
      <c r="JUU54" s="113"/>
      <c r="JUV54" s="113"/>
      <c r="JUW54" s="113"/>
      <c r="JUX54" s="113"/>
      <c r="JUY54" s="113"/>
      <c r="JUZ54" s="113"/>
      <c r="JVA54" s="113"/>
      <c r="JVB54" s="113"/>
      <c r="JVC54" s="113"/>
      <c r="JVD54" s="113"/>
      <c r="JVE54" s="113"/>
      <c r="JVF54" s="113"/>
      <c r="JVG54" s="113"/>
      <c r="JVH54" s="113"/>
      <c r="JVI54" s="113"/>
      <c r="JVJ54" s="113"/>
      <c r="JVK54" s="113"/>
      <c r="JVL54" s="113"/>
      <c r="JVM54" s="113"/>
      <c r="JVN54" s="113"/>
      <c r="JVO54" s="113"/>
      <c r="JVP54" s="113"/>
      <c r="JVQ54" s="113"/>
      <c r="JVR54" s="113"/>
      <c r="JVS54" s="113"/>
      <c r="JVT54" s="113"/>
      <c r="JVU54" s="113"/>
      <c r="JVV54" s="113"/>
      <c r="JVW54" s="113"/>
      <c r="JVX54" s="113"/>
      <c r="JVY54" s="113"/>
      <c r="JVZ54" s="113"/>
      <c r="JWA54" s="113"/>
      <c r="JWB54" s="113"/>
      <c r="JWC54" s="113"/>
      <c r="JWD54" s="113"/>
      <c r="JWE54" s="113"/>
      <c r="JWF54" s="113"/>
      <c r="JWG54" s="113"/>
      <c r="JWH54" s="113"/>
      <c r="JWI54" s="113"/>
      <c r="JWJ54" s="113"/>
      <c r="JWK54" s="113"/>
      <c r="JWL54" s="113"/>
      <c r="JWM54" s="113"/>
      <c r="JWN54" s="113"/>
      <c r="JWO54" s="113"/>
      <c r="JWP54" s="113"/>
      <c r="JWQ54" s="113"/>
      <c r="JWR54" s="113"/>
      <c r="JWS54" s="113"/>
      <c r="JWT54" s="113"/>
      <c r="JWU54" s="113"/>
      <c r="JWV54" s="113"/>
      <c r="JWW54" s="113"/>
      <c r="JWX54" s="113"/>
      <c r="JWY54" s="113"/>
      <c r="JWZ54" s="113"/>
      <c r="JXA54" s="113"/>
      <c r="JXB54" s="113"/>
      <c r="JXC54" s="113"/>
      <c r="JXD54" s="113"/>
      <c r="JXE54" s="113"/>
      <c r="JXF54" s="113"/>
      <c r="JXG54" s="113"/>
      <c r="JXH54" s="113"/>
      <c r="JXI54" s="113"/>
      <c r="JXJ54" s="113"/>
      <c r="JXK54" s="113"/>
      <c r="JXL54" s="113"/>
      <c r="JXM54" s="113"/>
      <c r="JXN54" s="113"/>
      <c r="JXO54" s="113"/>
      <c r="JXP54" s="113"/>
      <c r="JXQ54" s="113"/>
      <c r="JXR54" s="113"/>
      <c r="JXS54" s="113"/>
      <c r="JXT54" s="113"/>
      <c r="JXU54" s="113"/>
      <c r="JXV54" s="113"/>
      <c r="JXW54" s="113"/>
      <c r="JXX54" s="113"/>
      <c r="JXY54" s="113"/>
      <c r="JXZ54" s="113"/>
      <c r="JYA54" s="113"/>
      <c r="JYB54" s="113"/>
      <c r="JYC54" s="113"/>
      <c r="JYD54" s="113"/>
      <c r="JYE54" s="113"/>
      <c r="JYF54" s="113"/>
      <c r="JYG54" s="113"/>
      <c r="JYH54" s="113"/>
      <c r="JYI54" s="113"/>
      <c r="JYJ54" s="113"/>
      <c r="JYK54" s="113"/>
      <c r="JYL54" s="113"/>
      <c r="JYM54" s="113"/>
      <c r="JYN54" s="113"/>
      <c r="JYO54" s="113"/>
      <c r="JYP54" s="113"/>
      <c r="JYQ54" s="113"/>
      <c r="JYR54" s="113"/>
      <c r="JYS54" s="113"/>
      <c r="JYT54" s="113"/>
      <c r="JYU54" s="113"/>
      <c r="JYV54" s="113"/>
      <c r="JYW54" s="113"/>
      <c r="JYX54" s="113"/>
      <c r="JYY54" s="113"/>
      <c r="JYZ54" s="113"/>
      <c r="JZA54" s="113"/>
      <c r="JZB54" s="113"/>
      <c r="JZC54" s="113"/>
      <c r="JZD54" s="113"/>
      <c r="JZE54" s="113"/>
      <c r="JZF54" s="113"/>
      <c r="JZG54" s="113"/>
      <c r="JZH54" s="113"/>
      <c r="JZI54" s="113"/>
      <c r="JZJ54" s="113"/>
      <c r="JZK54" s="113"/>
      <c r="JZL54" s="113"/>
      <c r="JZM54" s="113"/>
      <c r="JZN54" s="113"/>
      <c r="JZO54" s="113"/>
      <c r="JZP54" s="113"/>
      <c r="JZQ54" s="113"/>
      <c r="JZR54" s="113"/>
      <c r="JZS54" s="113"/>
      <c r="JZT54" s="113"/>
      <c r="JZU54" s="113"/>
      <c r="JZV54" s="113"/>
      <c r="JZW54" s="113"/>
      <c r="JZX54" s="113"/>
      <c r="JZY54" s="113"/>
      <c r="JZZ54" s="113"/>
      <c r="KAA54" s="113"/>
      <c r="KAB54" s="113"/>
      <c r="KAC54" s="113"/>
      <c r="KAD54" s="113"/>
      <c r="KAE54" s="113"/>
      <c r="KAF54" s="113"/>
      <c r="KAG54" s="113"/>
      <c r="KAH54" s="113"/>
      <c r="KAI54" s="113"/>
      <c r="KAJ54" s="113"/>
      <c r="KAK54" s="113"/>
      <c r="KAL54" s="113"/>
      <c r="KAM54" s="113"/>
      <c r="KAN54" s="113"/>
      <c r="KAO54" s="113"/>
      <c r="KAP54" s="113"/>
      <c r="KAQ54" s="113"/>
      <c r="KAR54" s="113"/>
      <c r="KAS54" s="113"/>
      <c r="KAT54" s="113"/>
      <c r="KAU54" s="113"/>
      <c r="KAV54" s="113"/>
      <c r="KAW54" s="113"/>
      <c r="KAX54" s="113"/>
      <c r="KAY54" s="113"/>
      <c r="KAZ54" s="113"/>
      <c r="KBA54" s="113"/>
      <c r="KBB54" s="113"/>
      <c r="KBC54" s="113"/>
      <c r="KBD54" s="113"/>
      <c r="KBE54" s="113"/>
      <c r="KBF54" s="113"/>
      <c r="KBG54" s="113"/>
      <c r="KBH54" s="113"/>
      <c r="KBI54" s="113"/>
      <c r="KBJ54" s="113"/>
      <c r="KBK54" s="113"/>
      <c r="KBL54" s="113"/>
      <c r="KBM54" s="113"/>
      <c r="KBN54" s="113"/>
      <c r="KBO54" s="113"/>
      <c r="KBP54" s="113"/>
      <c r="KBQ54" s="113"/>
      <c r="KBR54" s="113"/>
      <c r="KBS54" s="113"/>
      <c r="KBT54" s="113"/>
      <c r="KBU54" s="113"/>
      <c r="KBV54" s="113"/>
      <c r="KBW54" s="113"/>
      <c r="KBX54" s="113"/>
      <c r="KBY54" s="113"/>
      <c r="KBZ54" s="113"/>
      <c r="KCA54" s="113"/>
      <c r="KCB54" s="113"/>
      <c r="KCC54" s="113"/>
      <c r="KCD54" s="113"/>
      <c r="KCE54" s="113"/>
      <c r="KCF54" s="113"/>
      <c r="KCG54" s="113"/>
      <c r="KCH54" s="113"/>
      <c r="KCI54" s="113"/>
      <c r="KCJ54" s="113"/>
      <c r="KCK54" s="113"/>
      <c r="KCL54" s="113"/>
      <c r="KCM54" s="113"/>
      <c r="KCN54" s="113"/>
      <c r="KCO54" s="113"/>
      <c r="KCP54" s="113"/>
      <c r="KCQ54" s="113"/>
      <c r="KCR54" s="113"/>
      <c r="KCS54" s="113"/>
      <c r="KCT54" s="113"/>
      <c r="KCU54" s="113"/>
      <c r="KCV54" s="113"/>
      <c r="KCW54" s="113"/>
      <c r="KCX54" s="113"/>
      <c r="KCY54" s="113"/>
      <c r="KCZ54" s="113"/>
      <c r="KDA54" s="113"/>
      <c r="KDB54" s="113"/>
      <c r="KDC54" s="113"/>
      <c r="KDD54" s="113"/>
      <c r="KDE54" s="113"/>
      <c r="KDF54" s="113"/>
      <c r="KDG54" s="113"/>
      <c r="KDH54" s="113"/>
      <c r="KDI54" s="113"/>
      <c r="KDJ54" s="113"/>
      <c r="KDK54" s="113"/>
      <c r="KDL54" s="113"/>
      <c r="KDM54" s="113"/>
      <c r="KDN54" s="113"/>
      <c r="KDO54" s="113"/>
      <c r="KDP54" s="113"/>
      <c r="KDQ54" s="113"/>
      <c r="KDR54" s="113"/>
      <c r="KDS54" s="113"/>
      <c r="KDT54" s="113"/>
      <c r="KDU54" s="113"/>
      <c r="KDV54" s="113"/>
      <c r="KDW54" s="113"/>
      <c r="KDX54" s="113"/>
      <c r="KDY54" s="113"/>
      <c r="KDZ54" s="113"/>
      <c r="KEA54" s="113"/>
      <c r="KEB54" s="113"/>
      <c r="KEC54" s="113"/>
      <c r="KED54" s="113"/>
      <c r="KEE54" s="113"/>
      <c r="KEF54" s="113"/>
      <c r="KEG54" s="113"/>
      <c r="KEH54" s="113"/>
      <c r="KEI54" s="113"/>
      <c r="KEJ54" s="113"/>
      <c r="KEK54" s="113"/>
      <c r="KEL54" s="113"/>
      <c r="KEM54" s="113"/>
      <c r="KEN54" s="113"/>
      <c r="KEO54" s="113"/>
      <c r="KEP54" s="113"/>
      <c r="KEQ54" s="113"/>
      <c r="KER54" s="113"/>
      <c r="KES54" s="113"/>
      <c r="KET54" s="113"/>
      <c r="KEU54" s="113"/>
      <c r="KEV54" s="113"/>
      <c r="KEW54" s="113"/>
      <c r="KEX54" s="113"/>
      <c r="KEY54" s="113"/>
      <c r="KEZ54" s="113"/>
      <c r="KFA54" s="113"/>
      <c r="KFB54" s="113"/>
      <c r="KFC54" s="113"/>
      <c r="KFD54" s="113"/>
      <c r="KFE54" s="113"/>
      <c r="KFF54" s="113"/>
      <c r="KFG54" s="113"/>
      <c r="KFH54" s="113"/>
      <c r="KFI54" s="113"/>
      <c r="KFJ54" s="113"/>
      <c r="KFK54" s="113"/>
      <c r="KFL54" s="113"/>
      <c r="KFM54" s="113"/>
      <c r="KFN54" s="113"/>
      <c r="KFO54" s="113"/>
      <c r="KFP54" s="113"/>
      <c r="KFQ54" s="113"/>
      <c r="KFR54" s="113"/>
      <c r="KFS54" s="113"/>
      <c r="KFT54" s="113"/>
      <c r="KFU54" s="113"/>
      <c r="KFV54" s="113"/>
      <c r="KFW54" s="113"/>
      <c r="KFX54" s="113"/>
      <c r="KFY54" s="113"/>
      <c r="KFZ54" s="113"/>
      <c r="KGA54" s="113"/>
      <c r="KGB54" s="113"/>
      <c r="KGC54" s="113"/>
      <c r="KGD54" s="113"/>
      <c r="KGE54" s="113"/>
      <c r="KGF54" s="113"/>
      <c r="KGG54" s="113"/>
      <c r="KGH54" s="113"/>
      <c r="KGI54" s="113"/>
      <c r="KGJ54" s="113"/>
      <c r="KGK54" s="113"/>
      <c r="KGL54" s="113"/>
      <c r="KGM54" s="113"/>
      <c r="KGN54" s="113"/>
      <c r="KGO54" s="113"/>
      <c r="KGP54" s="113"/>
      <c r="KGQ54" s="113"/>
      <c r="KGR54" s="113"/>
      <c r="KGS54" s="113"/>
      <c r="KGT54" s="113"/>
      <c r="KGU54" s="113"/>
      <c r="KGV54" s="113"/>
      <c r="KGW54" s="113"/>
      <c r="KGX54" s="113"/>
      <c r="KGY54" s="113"/>
      <c r="KGZ54" s="113"/>
      <c r="KHA54" s="113"/>
      <c r="KHB54" s="113"/>
      <c r="KHC54" s="113"/>
      <c r="KHD54" s="113"/>
      <c r="KHE54" s="113"/>
      <c r="KHF54" s="113"/>
      <c r="KHG54" s="113"/>
      <c r="KHH54" s="113"/>
      <c r="KHI54" s="113"/>
      <c r="KHJ54" s="113"/>
      <c r="KHK54" s="113"/>
      <c r="KHL54" s="113"/>
      <c r="KHM54" s="113"/>
      <c r="KHN54" s="113"/>
      <c r="KHO54" s="113"/>
      <c r="KHP54" s="113"/>
      <c r="KHQ54" s="113"/>
      <c r="KHR54" s="113"/>
      <c r="KHS54" s="113"/>
      <c r="KHT54" s="113"/>
      <c r="KHU54" s="113"/>
      <c r="KHV54" s="113"/>
      <c r="KHW54" s="113"/>
      <c r="KHX54" s="113"/>
      <c r="KHY54" s="113"/>
      <c r="KHZ54" s="113"/>
      <c r="KIA54" s="113"/>
      <c r="KIB54" s="113"/>
      <c r="KIC54" s="113"/>
      <c r="KID54" s="113"/>
      <c r="KIE54" s="113"/>
      <c r="KIF54" s="113"/>
      <c r="KIG54" s="113"/>
      <c r="KIH54" s="113"/>
      <c r="KII54" s="113"/>
      <c r="KIJ54" s="113"/>
      <c r="KIK54" s="113"/>
      <c r="KIL54" s="113"/>
      <c r="KIM54" s="113"/>
      <c r="KIN54" s="113"/>
      <c r="KIO54" s="113"/>
      <c r="KIP54" s="113"/>
      <c r="KIQ54" s="113"/>
      <c r="KIR54" s="113"/>
      <c r="KIS54" s="113"/>
      <c r="KIT54" s="113"/>
      <c r="KIU54" s="113"/>
      <c r="KIV54" s="113"/>
      <c r="KIW54" s="113"/>
      <c r="KIX54" s="113"/>
      <c r="KIY54" s="113"/>
      <c r="KIZ54" s="113"/>
      <c r="KJA54" s="113"/>
      <c r="KJB54" s="113"/>
      <c r="KJC54" s="113"/>
      <c r="KJD54" s="113"/>
      <c r="KJE54" s="113"/>
      <c r="KJF54" s="113"/>
      <c r="KJG54" s="113"/>
      <c r="KJH54" s="113"/>
      <c r="KJI54" s="113"/>
      <c r="KJJ54" s="113"/>
      <c r="KJK54" s="113"/>
      <c r="KJL54" s="113"/>
      <c r="KJM54" s="113"/>
      <c r="KJN54" s="113"/>
      <c r="KJO54" s="113"/>
      <c r="KJP54" s="113"/>
      <c r="KJQ54" s="113"/>
      <c r="KJR54" s="113"/>
      <c r="KJS54" s="113"/>
      <c r="KJT54" s="113"/>
      <c r="KJU54" s="113"/>
      <c r="KJV54" s="113"/>
      <c r="KJW54" s="113"/>
      <c r="KJX54" s="113"/>
      <c r="KJY54" s="113"/>
      <c r="KJZ54" s="113"/>
      <c r="KKA54" s="113"/>
      <c r="KKB54" s="113"/>
      <c r="KKC54" s="113"/>
      <c r="KKD54" s="113"/>
      <c r="KKE54" s="113"/>
      <c r="KKF54" s="113"/>
      <c r="KKG54" s="113"/>
      <c r="KKH54" s="113"/>
      <c r="KKI54" s="113"/>
      <c r="KKJ54" s="113"/>
      <c r="KKK54" s="113"/>
      <c r="KKL54" s="113"/>
      <c r="KKM54" s="113"/>
      <c r="KKN54" s="113"/>
      <c r="KKO54" s="113"/>
      <c r="KKP54" s="113"/>
      <c r="KKQ54" s="113"/>
      <c r="KKR54" s="113"/>
      <c r="KKS54" s="113"/>
      <c r="KKT54" s="113"/>
      <c r="KKU54" s="113"/>
      <c r="KKV54" s="113"/>
      <c r="KKW54" s="113"/>
      <c r="KKX54" s="113"/>
      <c r="KKY54" s="113"/>
      <c r="KKZ54" s="113"/>
      <c r="KLA54" s="113"/>
      <c r="KLB54" s="113"/>
      <c r="KLC54" s="113"/>
      <c r="KLD54" s="113"/>
      <c r="KLE54" s="113"/>
      <c r="KLF54" s="113"/>
      <c r="KLG54" s="113"/>
      <c r="KLH54" s="113"/>
      <c r="KLI54" s="113"/>
      <c r="KLJ54" s="113"/>
      <c r="KLK54" s="113"/>
      <c r="KLL54" s="113"/>
      <c r="KLM54" s="113"/>
      <c r="KLN54" s="113"/>
      <c r="KLO54" s="113"/>
      <c r="KLP54" s="113"/>
      <c r="KLQ54" s="113"/>
      <c r="KLR54" s="113"/>
      <c r="KLS54" s="113"/>
      <c r="KLT54" s="113"/>
      <c r="KLU54" s="113"/>
      <c r="KLV54" s="113"/>
      <c r="KLW54" s="113"/>
      <c r="KLX54" s="113"/>
      <c r="KLY54" s="113"/>
      <c r="KLZ54" s="113"/>
      <c r="KMA54" s="113"/>
      <c r="KMB54" s="113"/>
      <c r="KMC54" s="113"/>
      <c r="KMD54" s="113"/>
      <c r="KME54" s="113"/>
      <c r="KMF54" s="113"/>
      <c r="KMG54" s="113"/>
      <c r="KMH54" s="113"/>
      <c r="KMI54" s="113"/>
      <c r="KMJ54" s="113"/>
      <c r="KMK54" s="113"/>
      <c r="KML54" s="113"/>
      <c r="KMM54" s="113"/>
      <c r="KMN54" s="113"/>
      <c r="KMO54" s="113"/>
      <c r="KMP54" s="113"/>
      <c r="KMQ54" s="113"/>
      <c r="KMR54" s="113"/>
      <c r="KMS54" s="113"/>
      <c r="KMT54" s="113"/>
      <c r="KMU54" s="113"/>
      <c r="KMV54" s="113"/>
      <c r="KMW54" s="113"/>
      <c r="KMX54" s="113"/>
      <c r="KMY54" s="113"/>
      <c r="KMZ54" s="113"/>
      <c r="KNA54" s="113"/>
      <c r="KNB54" s="113"/>
      <c r="KNC54" s="113"/>
      <c r="KND54" s="113"/>
      <c r="KNE54" s="113"/>
      <c r="KNF54" s="113"/>
      <c r="KNG54" s="113"/>
      <c r="KNH54" s="113"/>
      <c r="KNI54" s="113"/>
      <c r="KNJ54" s="113"/>
      <c r="KNK54" s="113"/>
      <c r="KNL54" s="113"/>
      <c r="KNM54" s="113"/>
      <c r="KNN54" s="113"/>
      <c r="KNO54" s="113"/>
      <c r="KNP54" s="113"/>
      <c r="KNQ54" s="113"/>
      <c r="KNR54" s="113"/>
      <c r="KNS54" s="113"/>
      <c r="KNT54" s="113"/>
      <c r="KNU54" s="113"/>
      <c r="KNV54" s="113"/>
      <c r="KNW54" s="113"/>
      <c r="KNX54" s="113"/>
      <c r="KNY54" s="113"/>
      <c r="KNZ54" s="113"/>
      <c r="KOA54" s="113"/>
      <c r="KOB54" s="113"/>
      <c r="KOC54" s="113"/>
      <c r="KOD54" s="113"/>
      <c r="KOE54" s="113"/>
      <c r="KOF54" s="113"/>
      <c r="KOG54" s="113"/>
      <c r="KOH54" s="113"/>
      <c r="KOI54" s="113"/>
      <c r="KOJ54" s="113"/>
      <c r="KOK54" s="113"/>
      <c r="KOL54" s="113"/>
      <c r="KOM54" s="113"/>
      <c r="KON54" s="113"/>
      <c r="KOO54" s="113"/>
      <c r="KOP54" s="113"/>
      <c r="KOQ54" s="113"/>
      <c r="KOR54" s="113"/>
      <c r="KOS54" s="113"/>
      <c r="KOT54" s="113"/>
      <c r="KOU54" s="113"/>
      <c r="KOV54" s="113"/>
      <c r="KOW54" s="113"/>
      <c r="KOX54" s="113"/>
      <c r="KOY54" s="113"/>
      <c r="KOZ54" s="113"/>
      <c r="KPA54" s="113"/>
      <c r="KPB54" s="113"/>
      <c r="KPC54" s="113"/>
      <c r="KPD54" s="113"/>
      <c r="KPE54" s="113"/>
      <c r="KPF54" s="113"/>
      <c r="KPG54" s="113"/>
      <c r="KPH54" s="113"/>
      <c r="KPI54" s="113"/>
      <c r="KPJ54" s="113"/>
      <c r="KPK54" s="113"/>
      <c r="KPL54" s="113"/>
      <c r="KPM54" s="113"/>
      <c r="KPN54" s="113"/>
      <c r="KPO54" s="113"/>
      <c r="KPP54" s="113"/>
      <c r="KPQ54" s="113"/>
      <c r="KPR54" s="113"/>
      <c r="KPS54" s="113"/>
      <c r="KPT54" s="113"/>
      <c r="KPU54" s="113"/>
      <c r="KPV54" s="113"/>
      <c r="KPW54" s="113"/>
      <c r="KPX54" s="113"/>
      <c r="KPY54" s="113"/>
      <c r="KPZ54" s="113"/>
      <c r="KQA54" s="113"/>
      <c r="KQB54" s="113"/>
      <c r="KQC54" s="113"/>
      <c r="KQD54" s="113"/>
      <c r="KQE54" s="113"/>
      <c r="KQF54" s="113"/>
      <c r="KQG54" s="113"/>
      <c r="KQH54" s="113"/>
      <c r="KQI54" s="113"/>
      <c r="KQJ54" s="113"/>
      <c r="KQK54" s="113"/>
      <c r="KQL54" s="113"/>
      <c r="KQM54" s="113"/>
      <c r="KQN54" s="113"/>
      <c r="KQO54" s="113"/>
      <c r="KQP54" s="113"/>
      <c r="KQQ54" s="113"/>
      <c r="KQR54" s="113"/>
      <c r="KQS54" s="113"/>
      <c r="KQT54" s="113"/>
      <c r="KQU54" s="113"/>
      <c r="KQV54" s="113"/>
      <c r="KQW54" s="113"/>
      <c r="KQX54" s="113"/>
      <c r="KQY54" s="113"/>
      <c r="KQZ54" s="113"/>
      <c r="KRA54" s="113"/>
      <c r="KRB54" s="113"/>
      <c r="KRC54" s="113"/>
      <c r="KRD54" s="113"/>
      <c r="KRE54" s="113"/>
      <c r="KRF54" s="113"/>
      <c r="KRG54" s="113"/>
      <c r="KRH54" s="113"/>
      <c r="KRI54" s="113"/>
      <c r="KRJ54" s="113"/>
      <c r="KRK54" s="113"/>
      <c r="KRL54" s="113"/>
      <c r="KRM54" s="113"/>
      <c r="KRN54" s="113"/>
      <c r="KRO54" s="113"/>
      <c r="KRP54" s="113"/>
      <c r="KRQ54" s="113"/>
      <c r="KRR54" s="113"/>
      <c r="KRS54" s="113"/>
      <c r="KRT54" s="113"/>
      <c r="KRU54" s="113"/>
      <c r="KRV54" s="113"/>
      <c r="KRW54" s="113"/>
      <c r="KRX54" s="113"/>
      <c r="KRY54" s="113"/>
      <c r="KRZ54" s="113"/>
      <c r="KSA54" s="113"/>
      <c r="KSB54" s="113"/>
      <c r="KSC54" s="113"/>
      <c r="KSD54" s="113"/>
      <c r="KSE54" s="113"/>
      <c r="KSF54" s="113"/>
      <c r="KSG54" s="113"/>
      <c r="KSH54" s="113"/>
      <c r="KSI54" s="113"/>
      <c r="KSJ54" s="113"/>
      <c r="KSK54" s="113"/>
      <c r="KSL54" s="113"/>
      <c r="KSM54" s="113"/>
      <c r="KSN54" s="113"/>
      <c r="KSO54" s="113"/>
      <c r="KSP54" s="113"/>
      <c r="KSQ54" s="113"/>
      <c r="KSR54" s="113"/>
      <c r="KSS54" s="113"/>
      <c r="KST54" s="113"/>
      <c r="KSU54" s="113"/>
      <c r="KSV54" s="113"/>
      <c r="KSW54" s="113"/>
      <c r="KSX54" s="113"/>
      <c r="KSY54" s="113"/>
      <c r="KSZ54" s="113"/>
      <c r="KTA54" s="113"/>
      <c r="KTB54" s="113"/>
      <c r="KTC54" s="113"/>
      <c r="KTD54" s="113"/>
      <c r="KTE54" s="113"/>
      <c r="KTF54" s="113"/>
      <c r="KTG54" s="113"/>
      <c r="KTH54" s="113"/>
      <c r="KTI54" s="113"/>
      <c r="KTJ54" s="113"/>
      <c r="KTK54" s="113"/>
      <c r="KTL54" s="113"/>
      <c r="KTM54" s="113"/>
      <c r="KTN54" s="113"/>
      <c r="KTO54" s="113"/>
      <c r="KTP54" s="113"/>
      <c r="KTQ54" s="113"/>
      <c r="KTR54" s="113"/>
      <c r="KTS54" s="113"/>
      <c r="KTT54" s="113"/>
      <c r="KTU54" s="113"/>
      <c r="KTV54" s="113"/>
      <c r="KTW54" s="113"/>
      <c r="KTX54" s="113"/>
      <c r="KTY54" s="113"/>
      <c r="KTZ54" s="113"/>
      <c r="KUA54" s="113"/>
      <c r="KUB54" s="113"/>
      <c r="KUC54" s="113"/>
      <c r="KUD54" s="113"/>
      <c r="KUE54" s="113"/>
      <c r="KUF54" s="113"/>
      <c r="KUG54" s="113"/>
      <c r="KUH54" s="113"/>
      <c r="KUI54" s="113"/>
      <c r="KUJ54" s="113"/>
      <c r="KUK54" s="113"/>
      <c r="KUL54" s="113"/>
      <c r="KUM54" s="113"/>
      <c r="KUN54" s="113"/>
      <c r="KUO54" s="113"/>
      <c r="KUP54" s="113"/>
      <c r="KUQ54" s="113"/>
      <c r="KUR54" s="113"/>
      <c r="KUS54" s="113"/>
      <c r="KUT54" s="113"/>
      <c r="KUU54" s="113"/>
      <c r="KUV54" s="113"/>
      <c r="KUW54" s="113"/>
      <c r="KUX54" s="113"/>
      <c r="KUY54" s="113"/>
      <c r="KUZ54" s="113"/>
      <c r="KVA54" s="113"/>
      <c r="KVB54" s="113"/>
      <c r="KVC54" s="113"/>
      <c r="KVD54" s="113"/>
      <c r="KVE54" s="113"/>
      <c r="KVF54" s="113"/>
      <c r="KVG54" s="113"/>
      <c r="KVH54" s="113"/>
      <c r="KVI54" s="113"/>
      <c r="KVJ54" s="113"/>
      <c r="KVK54" s="113"/>
      <c r="KVL54" s="113"/>
      <c r="KVM54" s="113"/>
      <c r="KVN54" s="113"/>
      <c r="KVO54" s="113"/>
      <c r="KVP54" s="113"/>
      <c r="KVQ54" s="113"/>
      <c r="KVR54" s="113"/>
      <c r="KVS54" s="113"/>
      <c r="KVT54" s="113"/>
      <c r="KVU54" s="113"/>
      <c r="KVV54" s="113"/>
      <c r="KVW54" s="113"/>
      <c r="KVX54" s="113"/>
      <c r="KVY54" s="113"/>
      <c r="KVZ54" s="113"/>
      <c r="KWA54" s="113"/>
      <c r="KWB54" s="113"/>
      <c r="KWC54" s="113"/>
      <c r="KWD54" s="113"/>
      <c r="KWE54" s="113"/>
      <c r="KWF54" s="113"/>
      <c r="KWG54" s="113"/>
      <c r="KWH54" s="113"/>
      <c r="KWI54" s="113"/>
      <c r="KWJ54" s="113"/>
      <c r="KWK54" s="113"/>
      <c r="KWL54" s="113"/>
      <c r="KWM54" s="113"/>
      <c r="KWN54" s="113"/>
      <c r="KWO54" s="113"/>
      <c r="KWP54" s="113"/>
      <c r="KWQ54" s="113"/>
      <c r="KWR54" s="113"/>
      <c r="KWS54" s="113"/>
      <c r="KWT54" s="113"/>
      <c r="KWU54" s="113"/>
      <c r="KWV54" s="113"/>
      <c r="KWW54" s="113"/>
      <c r="KWX54" s="113"/>
      <c r="KWY54" s="113"/>
      <c r="KWZ54" s="113"/>
      <c r="KXA54" s="113"/>
      <c r="KXB54" s="113"/>
      <c r="KXC54" s="113"/>
      <c r="KXD54" s="113"/>
      <c r="KXE54" s="113"/>
      <c r="KXF54" s="113"/>
      <c r="KXG54" s="113"/>
      <c r="KXH54" s="113"/>
      <c r="KXI54" s="113"/>
      <c r="KXJ54" s="113"/>
      <c r="KXK54" s="113"/>
      <c r="KXL54" s="113"/>
      <c r="KXM54" s="113"/>
      <c r="KXN54" s="113"/>
      <c r="KXO54" s="113"/>
      <c r="KXP54" s="113"/>
      <c r="KXQ54" s="113"/>
      <c r="KXR54" s="113"/>
      <c r="KXS54" s="113"/>
      <c r="KXT54" s="113"/>
      <c r="KXU54" s="113"/>
      <c r="KXV54" s="113"/>
      <c r="KXW54" s="113"/>
      <c r="KXX54" s="113"/>
      <c r="KXY54" s="113"/>
      <c r="KXZ54" s="113"/>
      <c r="KYA54" s="113"/>
      <c r="KYB54" s="113"/>
      <c r="KYC54" s="113"/>
      <c r="KYD54" s="113"/>
      <c r="KYE54" s="113"/>
      <c r="KYF54" s="113"/>
      <c r="KYG54" s="113"/>
      <c r="KYH54" s="113"/>
      <c r="KYI54" s="113"/>
      <c r="KYJ54" s="113"/>
      <c r="KYK54" s="113"/>
      <c r="KYL54" s="113"/>
      <c r="KYM54" s="113"/>
      <c r="KYN54" s="113"/>
      <c r="KYO54" s="113"/>
      <c r="KYP54" s="113"/>
      <c r="KYQ54" s="113"/>
      <c r="KYR54" s="113"/>
      <c r="KYS54" s="113"/>
      <c r="KYT54" s="113"/>
      <c r="KYU54" s="113"/>
      <c r="KYV54" s="113"/>
      <c r="KYW54" s="113"/>
      <c r="KYX54" s="113"/>
      <c r="KYY54" s="113"/>
      <c r="KYZ54" s="113"/>
      <c r="KZA54" s="113"/>
      <c r="KZB54" s="113"/>
      <c r="KZC54" s="113"/>
      <c r="KZD54" s="113"/>
      <c r="KZE54" s="113"/>
      <c r="KZF54" s="113"/>
      <c r="KZG54" s="113"/>
      <c r="KZH54" s="113"/>
      <c r="KZI54" s="113"/>
      <c r="KZJ54" s="113"/>
      <c r="KZK54" s="113"/>
      <c r="KZL54" s="113"/>
      <c r="KZM54" s="113"/>
      <c r="KZN54" s="113"/>
      <c r="KZO54" s="113"/>
      <c r="KZP54" s="113"/>
      <c r="KZQ54" s="113"/>
      <c r="KZR54" s="113"/>
      <c r="KZS54" s="113"/>
      <c r="KZT54" s="113"/>
      <c r="KZU54" s="113"/>
      <c r="KZV54" s="113"/>
      <c r="KZW54" s="113"/>
      <c r="KZX54" s="113"/>
      <c r="KZY54" s="113"/>
      <c r="KZZ54" s="113"/>
      <c r="LAA54" s="113"/>
      <c r="LAB54" s="113"/>
      <c r="LAC54" s="113"/>
      <c r="LAD54" s="113"/>
      <c r="LAE54" s="113"/>
      <c r="LAF54" s="113"/>
      <c r="LAG54" s="113"/>
      <c r="LAH54" s="113"/>
      <c r="LAI54" s="113"/>
      <c r="LAJ54" s="113"/>
      <c r="LAK54" s="113"/>
      <c r="LAL54" s="113"/>
      <c r="LAM54" s="113"/>
      <c r="LAN54" s="113"/>
      <c r="LAO54" s="113"/>
      <c r="LAP54" s="113"/>
      <c r="LAQ54" s="113"/>
      <c r="LAR54" s="113"/>
      <c r="LAS54" s="113"/>
      <c r="LAT54" s="113"/>
      <c r="LAU54" s="113"/>
      <c r="LAV54" s="113"/>
      <c r="LAW54" s="113"/>
      <c r="LAX54" s="113"/>
      <c r="LAY54" s="113"/>
      <c r="LAZ54" s="113"/>
      <c r="LBA54" s="113"/>
      <c r="LBB54" s="113"/>
      <c r="LBC54" s="113"/>
      <c r="LBD54" s="113"/>
      <c r="LBE54" s="113"/>
      <c r="LBF54" s="113"/>
      <c r="LBG54" s="113"/>
      <c r="LBH54" s="113"/>
      <c r="LBI54" s="113"/>
      <c r="LBJ54" s="113"/>
      <c r="LBK54" s="113"/>
      <c r="LBL54" s="113"/>
      <c r="LBM54" s="113"/>
      <c r="LBN54" s="113"/>
      <c r="LBO54" s="113"/>
      <c r="LBP54" s="113"/>
      <c r="LBQ54" s="113"/>
      <c r="LBR54" s="113"/>
      <c r="LBS54" s="113"/>
      <c r="LBT54" s="113"/>
      <c r="LBU54" s="113"/>
      <c r="LBV54" s="113"/>
      <c r="LBW54" s="113"/>
      <c r="LBX54" s="113"/>
      <c r="LBY54" s="113"/>
      <c r="LBZ54" s="113"/>
      <c r="LCA54" s="113"/>
      <c r="LCB54" s="113"/>
      <c r="LCC54" s="113"/>
      <c r="LCD54" s="113"/>
      <c r="LCE54" s="113"/>
      <c r="LCF54" s="113"/>
      <c r="LCG54" s="113"/>
      <c r="LCH54" s="113"/>
      <c r="LCI54" s="113"/>
      <c r="LCJ54" s="113"/>
      <c r="LCK54" s="113"/>
      <c r="LCL54" s="113"/>
      <c r="LCM54" s="113"/>
      <c r="LCN54" s="113"/>
      <c r="LCO54" s="113"/>
      <c r="LCP54" s="113"/>
      <c r="LCQ54" s="113"/>
      <c r="LCR54" s="113"/>
      <c r="LCS54" s="113"/>
      <c r="LCT54" s="113"/>
      <c r="LCU54" s="113"/>
      <c r="LCV54" s="113"/>
      <c r="LCW54" s="113"/>
      <c r="LCX54" s="113"/>
      <c r="LCY54" s="113"/>
      <c r="LCZ54" s="113"/>
      <c r="LDA54" s="113"/>
      <c r="LDB54" s="113"/>
      <c r="LDC54" s="113"/>
      <c r="LDD54" s="113"/>
      <c r="LDE54" s="113"/>
      <c r="LDF54" s="113"/>
      <c r="LDG54" s="113"/>
      <c r="LDH54" s="113"/>
      <c r="LDI54" s="113"/>
      <c r="LDJ54" s="113"/>
      <c r="LDK54" s="113"/>
      <c r="LDL54" s="113"/>
      <c r="LDM54" s="113"/>
      <c r="LDN54" s="113"/>
      <c r="LDO54" s="113"/>
      <c r="LDP54" s="113"/>
      <c r="LDQ54" s="113"/>
      <c r="LDR54" s="113"/>
      <c r="LDS54" s="113"/>
      <c r="LDT54" s="113"/>
      <c r="LDU54" s="113"/>
      <c r="LDV54" s="113"/>
      <c r="LDW54" s="113"/>
      <c r="LDX54" s="113"/>
      <c r="LDY54" s="113"/>
      <c r="LDZ54" s="113"/>
      <c r="LEA54" s="113"/>
      <c r="LEB54" s="113"/>
      <c r="LEC54" s="113"/>
      <c r="LED54" s="113"/>
      <c r="LEE54" s="113"/>
      <c r="LEF54" s="113"/>
      <c r="LEG54" s="113"/>
      <c r="LEH54" s="113"/>
      <c r="LEI54" s="113"/>
      <c r="LEJ54" s="113"/>
      <c r="LEK54" s="113"/>
      <c r="LEL54" s="113"/>
      <c r="LEM54" s="113"/>
      <c r="LEN54" s="113"/>
      <c r="LEO54" s="113"/>
      <c r="LEP54" s="113"/>
      <c r="LEQ54" s="113"/>
      <c r="LER54" s="113"/>
      <c r="LES54" s="113"/>
      <c r="LET54" s="113"/>
      <c r="LEU54" s="113"/>
      <c r="LEV54" s="113"/>
      <c r="LEW54" s="113"/>
      <c r="LEX54" s="113"/>
      <c r="LEY54" s="113"/>
      <c r="LEZ54" s="113"/>
      <c r="LFA54" s="113"/>
      <c r="LFB54" s="113"/>
      <c r="LFC54" s="113"/>
      <c r="LFD54" s="113"/>
      <c r="LFE54" s="113"/>
      <c r="LFF54" s="113"/>
      <c r="LFG54" s="113"/>
      <c r="LFH54" s="113"/>
      <c r="LFI54" s="113"/>
      <c r="LFJ54" s="113"/>
      <c r="LFK54" s="113"/>
      <c r="LFL54" s="113"/>
      <c r="LFM54" s="113"/>
      <c r="LFN54" s="113"/>
      <c r="LFO54" s="113"/>
      <c r="LFP54" s="113"/>
      <c r="LFQ54" s="113"/>
      <c r="LFR54" s="113"/>
      <c r="LFS54" s="113"/>
      <c r="LFT54" s="113"/>
      <c r="LFU54" s="113"/>
      <c r="LFV54" s="113"/>
      <c r="LFW54" s="113"/>
      <c r="LFX54" s="113"/>
      <c r="LFY54" s="113"/>
      <c r="LFZ54" s="113"/>
      <c r="LGA54" s="113"/>
      <c r="LGB54" s="113"/>
      <c r="LGC54" s="113"/>
      <c r="LGD54" s="113"/>
      <c r="LGE54" s="113"/>
      <c r="LGF54" s="113"/>
      <c r="LGG54" s="113"/>
      <c r="LGH54" s="113"/>
      <c r="LGI54" s="113"/>
      <c r="LGJ54" s="113"/>
      <c r="LGK54" s="113"/>
      <c r="LGL54" s="113"/>
      <c r="LGM54" s="113"/>
      <c r="LGN54" s="113"/>
      <c r="LGO54" s="113"/>
      <c r="LGP54" s="113"/>
      <c r="LGQ54" s="113"/>
      <c r="LGR54" s="113"/>
      <c r="LGS54" s="113"/>
      <c r="LGT54" s="113"/>
      <c r="LGU54" s="113"/>
      <c r="LGV54" s="113"/>
      <c r="LGW54" s="113"/>
      <c r="LGX54" s="113"/>
      <c r="LGY54" s="113"/>
      <c r="LGZ54" s="113"/>
      <c r="LHA54" s="113"/>
      <c r="LHB54" s="113"/>
      <c r="LHC54" s="113"/>
      <c r="LHD54" s="113"/>
      <c r="LHE54" s="113"/>
      <c r="LHF54" s="113"/>
      <c r="LHG54" s="113"/>
      <c r="LHH54" s="113"/>
      <c r="LHI54" s="113"/>
      <c r="LHJ54" s="113"/>
      <c r="LHK54" s="113"/>
      <c r="LHL54" s="113"/>
      <c r="LHM54" s="113"/>
      <c r="LHN54" s="113"/>
      <c r="LHO54" s="113"/>
      <c r="LHP54" s="113"/>
      <c r="LHQ54" s="113"/>
      <c r="LHR54" s="113"/>
      <c r="LHS54" s="113"/>
      <c r="LHT54" s="113"/>
      <c r="LHU54" s="113"/>
      <c r="LHV54" s="113"/>
      <c r="LHW54" s="113"/>
      <c r="LHX54" s="113"/>
      <c r="LHY54" s="113"/>
      <c r="LHZ54" s="113"/>
      <c r="LIA54" s="113"/>
      <c r="LIB54" s="113"/>
      <c r="LIC54" s="113"/>
      <c r="LID54" s="113"/>
      <c r="LIE54" s="113"/>
      <c r="LIF54" s="113"/>
      <c r="LIG54" s="113"/>
      <c r="LIH54" s="113"/>
      <c r="LII54" s="113"/>
      <c r="LIJ54" s="113"/>
      <c r="LIK54" s="113"/>
      <c r="LIL54" s="113"/>
      <c r="LIM54" s="113"/>
      <c r="LIN54" s="113"/>
      <c r="LIO54" s="113"/>
      <c r="LIP54" s="113"/>
      <c r="LIQ54" s="113"/>
      <c r="LIR54" s="113"/>
      <c r="LIS54" s="113"/>
      <c r="LIT54" s="113"/>
      <c r="LIU54" s="113"/>
      <c r="LIV54" s="113"/>
      <c r="LIW54" s="113"/>
      <c r="LIX54" s="113"/>
      <c r="LIY54" s="113"/>
      <c r="LIZ54" s="113"/>
      <c r="LJA54" s="113"/>
      <c r="LJB54" s="113"/>
      <c r="LJC54" s="113"/>
      <c r="LJD54" s="113"/>
      <c r="LJE54" s="113"/>
      <c r="LJF54" s="113"/>
      <c r="LJG54" s="113"/>
      <c r="LJH54" s="113"/>
      <c r="LJI54" s="113"/>
      <c r="LJJ54" s="113"/>
      <c r="LJK54" s="113"/>
      <c r="LJL54" s="113"/>
      <c r="LJM54" s="113"/>
      <c r="LJN54" s="113"/>
      <c r="LJO54" s="113"/>
      <c r="LJP54" s="113"/>
      <c r="LJQ54" s="113"/>
      <c r="LJR54" s="113"/>
      <c r="LJS54" s="113"/>
      <c r="LJT54" s="113"/>
      <c r="LJU54" s="113"/>
      <c r="LJV54" s="113"/>
      <c r="LJW54" s="113"/>
      <c r="LJX54" s="113"/>
      <c r="LJY54" s="113"/>
      <c r="LJZ54" s="113"/>
      <c r="LKA54" s="113"/>
      <c r="LKB54" s="113"/>
      <c r="LKC54" s="113"/>
      <c r="LKD54" s="113"/>
      <c r="LKE54" s="113"/>
      <c r="LKF54" s="113"/>
      <c r="LKG54" s="113"/>
      <c r="LKH54" s="113"/>
      <c r="LKI54" s="113"/>
      <c r="LKJ54" s="113"/>
      <c r="LKK54" s="113"/>
      <c r="LKL54" s="113"/>
      <c r="LKM54" s="113"/>
      <c r="LKN54" s="113"/>
      <c r="LKO54" s="113"/>
      <c r="LKP54" s="113"/>
      <c r="LKQ54" s="113"/>
      <c r="LKR54" s="113"/>
      <c r="LKS54" s="113"/>
      <c r="LKT54" s="113"/>
      <c r="LKU54" s="113"/>
      <c r="LKV54" s="113"/>
      <c r="LKW54" s="113"/>
      <c r="LKX54" s="113"/>
      <c r="LKY54" s="113"/>
      <c r="LKZ54" s="113"/>
      <c r="LLA54" s="113"/>
      <c r="LLB54" s="113"/>
      <c r="LLC54" s="113"/>
      <c r="LLD54" s="113"/>
      <c r="LLE54" s="113"/>
      <c r="LLF54" s="113"/>
      <c r="LLG54" s="113"/>
      <c r="LLH54" s="113"/>
      <c r="LLI54" s="113"/>
      <c r="LLJ54" s="113"/>
      <c r="LLK54" s="113"/>
      <c r="LLL54" s="113"/>
      <c r="LLM54" s="113"/>
      <c r="LLN54" s="113"/>
      <c r="LLO54" s="113"/>
      <c r="LLP54" s="113"/>
      <c r="LLQ54" s="113"/>
      <c r="LLR54" s="113"/>
      <c r="LLS54" s="113"/>
      <c r="LLT54" s="113"/>
      <c r="LLU54" s="113"/>
      <c r="LLV54" s="113"/>
      <c r="LLW54" s="113"/>
      <c r="LLX54" s="113"/>
      <c r="LLY54" s="113"/>
      <c r="LLZ54" s="113"/>
      <c r="LMA54" s="113"/>
      <c r="LMB54" s="113"/>
      <c r="LMC54" s="113"/>
      <c r="LMD54" s="113"/>
      <c r="LME54" s="113"/>
      <c r="LMF54" s="113"/>
      <c r="LMG54" s="113"/>
      <c r="LMH54" s="113"/>
      <c r="LMI54" s="113"/>
      <c r="LMJ54" s="113"/>
      <c r="LMK54" s="113"/>
      <c r="LML54" s="113"/>
      <c r="LMM54" s="113"/>
      <c r="LMN54" s="113"/>
      <c r="LMO54" s="113"/>
      <c r="LMP54" s="113"/>
      <c r="LMQ54" s="113"/>
      <c r="LMR54" s="113"/>
      <c r="LMS54" s="113"/>
      <c r="LMT54" s="113"/>
      <c r="LMU54" s="113"/>
      <c r="LMV54" s="113"/>
      <c r="LMW54" s="113"/>
      <c r="LMX54" s="113"/>
      <c r="LMY54" s="113"/>
      <c r="LMZ54" s="113"/>
      <c r="LNA54" s="113"/>
      <c r="LNB54" s="113"/>
      <c r="LNC54" s="113"/>
      <c r="LND54" s="113"/>
      <c r="LNE54" s="113"/>
      <c r="LNF54" s="113"/>
      <c r="LNG54" s="113"/>
      <c r="LNH54" s="113"/>
      <c r="LNI54" s="113"/>
      <c r="LNJ54" s="113"/>
      <c r="LNK54" s="113"/>
      <c r="LNL54" s="113"/>
      <c r="LNM54" s="113"/>
      <c r="LNN54" s="113"/>
      <c r="LNO54" s="113"/>
      <c r="LNP54" s="113"/>
      <c r="LNQ54" s="113"/>
      <c r="LNR54" s="113"/>
      <c r="LNS54" s="113"/>
      <c r="LNT54" s="113"/>
      <c r="LNU54" s="113"/>
      <c r="LNV54" s="113"/>
      <c r="LNW54" s="113"/>
      <c r="LNX54" s="113"/>
      <c r="LNY54" s="113"/>
      <c r="LNZ54" s="113"/>
      <c r="LOA54" s="113"/>
      <c r="LOB54" s="113"/>
      <c r="LOC54" s="113"/>
      <c r="LOD54" s="113"/>
      <c r="LOE54" s="113"/>
      <c r="LOF54" s="113"/>
      <c r="LOG54" s="113"/>
      <c r="LOH54" s="113"/>
      <c r="LOI54" s="113"/>
      <c r="LOJ54" s="113"/>
      <c r="LOK54" s="113"/>
      <c r="LOL54" s="113"/>
      <c r="LOM54" s="113"/>
      <c r="LON54" s="113"/>
      <c r="LOO54" s="113"/>
      <c r="LOP54" s="113"/>
      <c r="LOQ54" s="113"/>
      <c r="LOR54" s="113"/>
      <c r="LOS54" s="113"/>
      <c r="LOT54" s="113"/>
      <c r="LOU54" s="113"/>
      <c r="LOV54" s="113"/>
      <c r="LOW54" s="113"/>
      <c r="LOX54" s="113"/>
      <c r="LOY54" s="113"/>
      <c r="LOZ54" s="113"/>
      <c r="LPA54" s="113"/>
      <c r="LPB54" s="113"/>
      <c r="LPC54" s="113"/>
      <c r="LPD54" s="113"/>
      <c r="LPE54" s="113"/>
      <c r="LPF54" s="113"/>
      <c r="LPG54" s="113"/>
      <c r="LPH54" s="113"/>
      <c r="LPI54" s="113"/>
      <c r="LPJ54" s="113"/>
      <c r="LPK54" s="113"/>
      <c r="LPL54" s="113"/>
      <c r="LPM54" s="113"/>
      <c r="LPN54" s="113"/>
      <c r="LPO54" s="113"/>
      <c r="LPP54" s="113"/>
      <c r="LPQ54" s="113"/>
      <c r="LPR54" s="113"/>
      <c r="LPS54" s="113"/>
      <c r="LPT54" s="113"/>
      <c r="LPU54" s="113"/>
      <c r="LPV54" s="113"/>
      <c r="LPW54" s="113"/>
      <c r="LPX54" s="113"/>
      <c r="LPY54" s="113"/>
      <c r="LPZ54" s="113"/>
      <c r="LQA54" s="113"/>
      <c r="LQB54" s="113"/>
      <c r="LQC54" s="113"/>
      <c r="LQD54" s="113"/>
      <c r="LQE54" s="113"/>
      <c r="LQF54" s="113"/>
      <c r="LQG54" s="113"/>
      <c r="LQH54" s="113"/>
      <c r="LQI54" s="113"/>
      <c r="LQJ54" s="113"/>
      <c r="LQK54" s="113"/>
      <c r="LQL54" s="113"/>
      <c r="LQM54" s="113"/>
      <c r="LQN54" s="113"/>
      <c r="LQO54" s="113"/>
      <c r="LQP54" s="113"/>
      <c r="LQQ54" s="113"/>
      <c r="LQR54" s="113"/>
      <c r="LQS54" s="113"/>
      <c r="LQT54" s="113"/>
      <c r="LQU54" s="113"/>
      <c r="LQV54" s="113"/>
      <c r="LQW54" s="113"/>
      <c r="LQX54" s="113"/>
      <c r="LQY54" s="113"/>
      <c r="LQZ54" s="113"/>
      <c r="LRA54" s="113"/>
      <c r="LRB54" s="113"/>
      <c r="LRC54" s="113"/>
      <c r="LRD54" s="113"/>
      <c r="LRE54" s="113"/>
      <c r="LRF54" s="113"/>
      <c r="LRG54" s="113"/>
      <c r="LRH54" s="113"/>
      <c r="LRI54" s="113"/>
      <c r="LRJ54" s="113"/>
      <c r="LRK54" s="113"/>
      <c r="LRL54" s="113"/>
      <c r="LRM54" s="113"/>
      <c r="LRN54" s="113"/>
      <c r="LRO54" s="113"/>
      <c r="LRP54" s="113"/>
      <c r="LRQ54" s="113"/>
      <c r="LRR54" s="113"/>
      <c r="LRS54" s="113"/>
      <c r="LRT54" s="113"/>
      <c r="LRU54" s="113"/>
      <c r="LRV54" s="113"/>
      <c r="LRW54" s="113"/>
      <c r="LRX54" s="113"/>
      <c r="LRY54" s="113"/>
      <c r="LRZ54" s="113"/>
      <c r="LSA54" s="113"/>
      <c r="LSB54" s="113"/>
      <c r="LSC54" s="113"/>
      <c r="LSD54" s="113"/>
      <c r="LSE54" s="113"/>
      <c r="LSF54" s="113"/>
      <c r="LSG54" s="113"/>
      <c r="LSH54" s="113"/>
      <c r="LSI54" s="113"/>
      <c r="LSJ54" s="113"/>
      <c r="LSK54" s="113"/>
      <c r="LSL54" s="113"/>
      <c r="LSM54" s="113"/>
      <c r="LSN54" s="113"/>
      <c r="LSO54" s="113"/>
      <c r="LSP54" s="113"/>
      <c r="LSQ54" s="113"/>
      <c r="LSR54" s="113"/>
      <c r="LSS54" s="113"/>
      <c r="LST54" s="113"/>
      <c r="LSU54" s="113"/>
      <c r="LSV54" s="113"/>
      <c r="LSW54" s="113"/>
      <c r="LSX54" s="113"/>
      <c r="LSY54" s="113"/>
      <c r="LSZ54" s="113"/>
      <c r="LTA54" s="113"/>
      <c r="LTB54" s="113"/>
      <c r="LTC54" s="113"/>
      <c r="LTD54" s="113"/>
      <c r="LTE54" s="113"/>
      <c r="LTF54" s="113"/>
      <c r="LTG54" s="113"/>
      <c r="LTH54" s="113"/>
      <c r="LTI54" s="113"/>
      <c r="LTJ54" s="113"/>
      <c r="LTK54" s="113"/>
      <c r="LTL54" s="113"/>
      <c r="LTM54" s="113"/>
      <c r="LTN54" s="113"/>
      <c r="LTO54" s="113"/>
      <c r="LTP54" s="113"/>
      <c r="LTQ54" s="113"/>
      <c r="LTR54" s="113"/>
      <c r="LTS54" s="113"/>
      <c r="LTT54" s="113"/>
      <c r="LTU54" s="113"/>
      <c r="LTV54" s="113"/>
      <c r="LTW54" s="113"/>
      <c r="LTX54" s="113"/>
      <c r="LTY54" s="113"/>
      <c r="LTZ54" s="113"/>
      <c r="LUA54" s="113"/>
      <c r="LUB54" s="113"/>
      <c r="LUC54" s="113"/>
      <c r="LUD54" s="113"/>
      <c r="LUE54" s="113"/>
      <c r="LUF54" s="113"/>
      <c r="LUG54" s="113"/>
      <c r="LUH54" s="113"/>
      <c r="LUI54" s="113"/>
      <c r="LUJ54" s="113"/>
      <c r="LUK54" s="113"/>
      <c r="LUL54" s="113"/>
      <c r="LUM54" s="113"/>
      <c r="LUN54" s="113"/>
      <c r="LUO54" s="113"/>
      <c r="LUP54" s="113"/>
      <c r="LUQ54" s="113"/>
      <c r="LUR54" s="113"/>
      <c r="LUS54" s="113"/>
      <c r="LUT54" s="113"/>
      <c r="LUU54" s="113"/>
      <c r="LUV54" s="113"/>
      <c r="LUW54" s="113"/>
      <c r="LUX54" s="113"/>
      <c r="LUY54" s="113"/>
      <c r="LUZ54" s="113"/>
      <c r="LVA54" s="113"/>
      <c r="LVB54" s="113"/>
      <c r="LVC54" s="113"/>
      <c r="LVD54" s="113"/>
      <c r="LVE54" s="113"/>
      <c r="LVF54" s="113"/>
      <c r="LVG54" s="113"/>
      <c r="LVH54" s="113"/>
      <c r="LVI54" s="113"/>
      <c r="LVJ54" s="113"/>
      <c r="LVK54" s="113"/>
      <c r="LVL54" s="113"/>
      <c r="LVM54" s="113"/>
      <c r="LVN54" s="113"/>
      <c r="LVO54" s="113"/>
      <c r="LVP54" s="113"/>
      <c r="LVQ54" s="113"/>
      <c r="LVR54" s="113"/>
      <c r="LVS54" s="113"/>
      <c r="LVT54" s="113"/>
      <c r="LVU54" s="113"/>
      <c r="LVV54" s="113"/>
      <c r="LVW54" s="113"/>
      <c r="LVX54" s="113"/>
      <c r="LVY54" s="113"/>
      <c r="LVZ54" s="113"/>
      <c r="LWA54" s="113"/>
      <c r="LWB54" s="113"/>
      <c r="LWC54" s="113"/>
      <c r="LWD54" s="113"/>
      <c r="LWE54" s="113"/>
      <c r="LWF54" s="113"/>
      <c r="LWG54" s="113"/>
      <c r="LWH54" s="113"/>
      <c r="LWI54" s="113"/>
      <c r="LWJ54" s="113"/>
      <c r="LWK54" s="113"/>
      <c r="LWL54" s="113"/>
      <c r="LWM54" s="113"/>
      <c r="LWN54" s="113"/>
      <c r="LWO54" s="113"/>
      <c r="LWP54" s="113"/>
      <c r="LWQ54" s="113"/>
      <c r="LWR54" s="113"/>
      <c r="LWS54" s="113"/>
      <c r="LWT54" s="113"/>
      <c r="LWU54" s="113"/>
      <c r="LWV54" s="113"/>
      <c r="LWW54" s="113"/>
      <c r="LWX54" s="113"/>
      <c r="LWY54" s="113"/>
      <c r="LWZ54" s="113"/>
      <c r="LXA54" s="113"/>
      <c r="LXB54" s="113"/>
      <c r="LXC54" s="113"/>
      <c r="LXD54" s="113"/>
      <c r="LXE54" s="113"/>
      <c r="LXF54" s="113"/>
      <c r="LXG54" s="113"/>
      <c r="LXH54" s="113"/>
      <c r="LXI54" s="113"/>
      <c r="LXJ54" s="113"/>
      <c r="LXK54" s="113"/>
      <c r="LXL54" s="113"/>
      <c r="LXM54" s="113"/>
      <c r="LXN54" s="113"/>
      <c r="LXO54" s="113"/>
      <c r="LXP54" s="113"/>
      <c r="LXQ54" s="113"/>
      <c r="LXR54" s="113"/>
      <c r="LXS54" s="113"/>
      <c r="LXT54" s="113"/>
      <c r="LXU54" s="113"/>
      <c r="LXV54" s="113"/>
      <c r="LXW54" s="113"/>
      <c r="LXX54" s="113"/>
      <c r="LXY54" s="113"/>
      <c r="LXZ54" s="113"/>
      <c r="LYA54" s="113"/>
      <c r="LYB54" s="113"/>
      <c r="LYC54" s="113"/>
      <c r="LYD54" s="113"/>
      <c r="LYE54" s="113"/>
      <c r="LYF54" s="113"/>
      <c r="LYG54" s="113"/>
      <c r="LYH54" s="113"/>
      <c r="LYI54" s="113"/>
      <c r="LYJ54" s="113"/>
      <c r="LYK54" s="113"/>
      <c r="LYL54" s="113"/>
      <c r="LYM54" s="113"/>
      <c r="LYN54" s="113"/>
      <c r="LYO54" s="113"/>
      <c r="LYP54" s="113"/>
      <c r="LYQ54" s="113"/>
      <c r="LYR54" s="113"/>
      <c r="LYS54" s="113"/>
      <c r="LYT54" s="113"/>
      <c r="LYU54" s="113"/>
      <c r="LYV54" s="113"/>
      <c r="LYW54" s="113"/>
      <c r="LYX54" s="113"/>
      <c r="LYY54" s="113"/>
      <c r="LYZ54" s="113"/>
      <c r="LZA54" s="113"/>
      <c r="LZB54" s="113"/>
      <c r="LZC54" s="113"/>
      <c r="LZD54" s="113"/>
      <c r="LZE54" s="113"/>
      <c r="LZF54" s="113"/>
      <c r="LZG54" s="113"/>
      <c r="LZH54" s="113"/>
      <c r="LZI54" s="113"/>
      <c r="LZJ54" s="113"/>
      <c r="LZK54" s="113"/>
      <c r="LZL54" s="113"/>
      <c r="LZM54" s="113"/>
      <c r="LZN54" s="113"/>
      <c r="LZO54" s="113"/>
      <c r="LZP54" s="113"/>
      <c r="LZQ54" s="113"/>
      <c r="LZR54" s="113"/>
      <c r="LZS54" s="113"/>
      <c r="LZT54" s="113"/>
      <c r="LZU54" s="113"/>
      <c r="LZV54" s="113"/>
      <c r="LZW54" s="113"/>
      <c r="LZX54" s="113"/>
      <c r="LZY54" s="113"/>
      <c r="LZZ54" s="113"/>
      <c r="MAA54" s="113"/>
      <c r="MAB54" s="113"/>
      <c r="MAC54" s="113"/>
      <c r="MAD54" s="113"/>
      <c r="MAE54" s="113"/>
      <c r="MAF54" s="113"/>
      <c r="MAG54" s="113"/>
      <c r="MAH54" s="113"/>
      <c r="MAI54" s="113"/>
      <c r="MAJ54" s="113"/>
      <c r="MAK54" s="113"/>
      <c r="MAL54" s="113"/>
      <c r="MAM54" s="113"/>
      <c r="MAN54" s="113"/>
      <c r="MAO54" s="113"/>
      <c r="MAP54" s="113"/>
      <c r="MAQ54" s="113"/>
      <c r="MAR54" s="113"/>
      <c r="MAS54" s="113"/>
      <c r="MAT54" s="113"/>
      <c r="MAU54" s="113"/>
      <c r="MAV54" s="113"/>
      <c r="MAW54" s="113"/>
      <c r="MAX54" s="113"/>
      <c r="MAY54" s="113"/>
      <c r="MAZ54" s="113"/>
      <c r="MBA54" s="113"/>
      <c r="MBB54" s="113"/>
      <c r="MBC54" s="113"/>
      <c r="MBD54" s="113"/>
      <c r="MBE54" s="113"/>
      <c r="MBF54" s="113"/>
      <c r="MBG54" s="113"/>
      <c r="MBH54" s="113"/>
      <c r="MBI54" s="113"/>
      <c r="MBJ54" s="113"/>
      <c r="MBK54" s="113"/>
      <c r="MBL54" s="113"/>
      <c r="MBM54" s="113"/>
      <c r="MBN54" s="113"/>
      <c r="MBO54" s="113"/>
      <c r="MBP54" s="113"/>
      <c r="MBQ54" s="113"/>
      <c r="MBR54" s="113"/>
      <c r="MBS54" s="113"/>
      <c r="MBT54" s="113"/>
      <c r="MBU54" s="113"/>
      <c r="MBV54" s="113"/>
      <c r="MBW54" s="113"/>
      <c r="MBX54" s="113"/>
      <c r="MBY54" s="113"/>
      <c r="MBZ54" s="113"/>
      <c r="MCA54" s="113"/>
      <c r="MCB54" s="113"/>
      <c r="MCC54" s="113"/>
      <c r="MCD54" s="113"/>
      <c r="MCE54" s="113"/>
      <c r="MCF54" s="113"/>
      <c r="MCG54" s="113"/>
      <c r="MCH54" s="113"/>
      <c r="MCI54" s="113"/>
      <c r="MCJ54" s="113"/>
      <c r="MCK54" s="113"/>
      <c r="MCL54" s="113"/>
      <c r="MCM54" s="113"/>
      <c r="MCN54" s="113"/>
      <c r="MCO54" s="113"/>
      <c r="MCP54" s="113"/>
      <c r="MCQ54" s="113"/>
      <c r="MCR54" s="113"/>
      <c r="MCS54" s="113"/>
      <c r="MCT54" s="113"/>
      <c r="MCU54" s="113"/>
      <c r="MCV54" s="113"/>
      <c r="MCW54" s="113"/>
      <c r="MCX54" s="113"/>
      <c r="MCY54" s="113"/>
      <c r="MCZ54" s="113"/>
      <c r="MDA54" s="113"/>
      <c r="MDB54" s="113"/>
      <c r="MDC54" s="113"/>
      <c r="MDD54" s="113"/>
      <c r="MDE54" s="113"/>
      <c r="MDF54" s="113"/>
      <c r="MDG54" s="113"/>
      <c r="MDH54" s="113"/>
      <c r="MDI54" s="113"/>
      <c r="MDJ54" s="113"/>
      <c r="MDK54" s="113"/>
      <c r="MDL54" s="113"/>
      <c r="MDM54" s="113"/>
      <c r="MDN54" s="113"/>
      <c r="MDO54" s="113"/>
      <c r="MDP54" s="113"/>
      <c r="MDQ54" s="113"/>
      <c r="MDR54" s="113"/>
      <c r="MDS54" s="113"/>
      <c r="MDT54" s="113"/>
      <c r="MDU54" s="113"/>
      <c r="MDV54" s="113"/>
      <c r="MDW54" s="113"/>
      <c r="MDX54" s="113"/>
      <c r="MDY54" s="113"/>
      <c r="MDZ54" s="113"/>
      <c r="MEA54" s="113"/>
      <c r="MEB54" s="113"/>
      <c r="MEC54" s="113"/>
      <c r="MED54" s="113"/>
      <c r="MEE54" s="113"/>
      <c r="MEF54" s="113"/>
      <c r="MEG54" s="113"/>
      <c r="MEH54" s="113"/>
      <c r="MEI54" s="113"/>
      <c r="MEJ54" s="113"/>
      <c r="MEK54" s="113"/>
      <c r="MEL54" s="113"/>
      <c r="MEM54" s="113"/>
      <c r="MEN54" s="113"/>
      <c r="MEO54" s="113"/>
      <c r="MEP54" s="113"/>
      <c r="MEQ54" s="113"/>
      <c r="MER54" s="113"/>
      <c r="MES54" s="113"/>
      <c r="MET54" s="113"/>
      <c r="MEU54" s="113"/>
      <c r="MEV54" s="113"/>
      <c r="MEW54" s="113"/>
      <c r="MEX54" s="113"/>
      <c r="MEY54" s="113"/>
      <c r="MEZ54" s="113"/>
      <c r="MFA54" s="113"/>
      <c r="MFB54" s="113"/>
      <c r="MFC54" s="113"/>
      <c r="MFD54" s="113"/>
      <c r="MFE54" s="113"/>
      <c r="MFF54" s="113"/>
      <c r="MFG54" s="113"/>
      <c r="MFH54" s="113"/>
      <c r="MFI54" s="113"/>
      <c r="MFJ54" s="113"/>
      <c r="MFK54" s="113"/>
      <c r="MFL54" s="113"/>
      <c r="MFM54" s="113"/>
      <c r="MFN54" s="113"/>
      <c r="MFO54" s="113"/>
      <c r="MFP54" s="113"/>
      <c r="MFQ54" s="113"/>
      <c r="MFR54" s="113"/>
      <c r="MFS54" s="113"/>
      <c r="MFT54" s="113"/>
      <c r="MFU54" s="113"/>
      <c r="MFV54" s="113"/>
      <c r="MFW54" s="113"/>
      <c r="MFX54" s="113"/>
      <c r="MFY54" s="113"/>
      <c r="MFZ54" s="113"/>
      <c r="MGA54" s="113"/>
      <c r="MGB54" s="113"/>
      <c r="MGC54" s="113"/>
      <c r="MGD54" s="113"/>
      <c r="MGE54" s="113"/>
      <c r="MGF54" s="113"/>
      <c r="MGG54" s="113"/>
      <c r="MGH54" s="113"/>
      <c r="MGI54" s="113"/>
      <c r="MGJ54" s="113"/>
      <c r="MGK54" s="113"/>
      <c r="MGL54" s="113"/>
      <c r="MGM54" s="113"/>
      <c r="MGN54" s="113"/>
      <c r="MGO54" s="113"/>
      <c r="MGP54" s="113"/>
      <c r="MGQ54" s="113"/>
      <c r="MGR54" s="113"/>
      <c r="MGS54" s="113"/>
      <c r="MGT54" s="113"/>
      <c r="MGU54" s="113"/>
      <c r="MGV54" s="113"/>
      <c r="MGW54" s="113"/>
      <c r="MGX54" s="113"/>
      <c r="MGY54" s="113"/>
      <c r="MGZ54" s="113"/>
      <c r="MHA54" s="113"/>
      <c r="MHB54" s="113"/>
      <c r="MHC54" s="113"/>
      <c r="MHD54" s="113"/>
      <c r="MHE54" s="113"/>
      <c r="MHF54" s="113"/>
      <c r="MHG54" s="113"/>
      <c r="MHH54" s="113"/>
      <c r="MHI54" s="113"/>
      <c r="MHJ54" s="113"/>
      <c r="MHK54" s="113"/>
      <c r="MHL54" s="113"/>
      <c r="MHM54" s="113"/>
      <c r="MHN54" s="113"/>
      <c r="MHO54" s="113"/>
      <c r="MHP54" s="113"/>
      <c r="MHQ54" s="113"/>
      <c r="MHR54" s="113"/>
      <c r="MHS54" s="113"/>
      <c r="MHT54" s="113"/>
      <c r="MHU54" s="113"/>
      <c r="MHV54" s="113"/>
      <c r="MHW54" s="113"/>
      <c r="MHX54" s="113"/>
      <c r="MHY54" s="113"/>
      <c r="MHZ54" s="113"/>
      <c r="MIA54" s="113"/>
      <c r="MIB54" s="113"/>
      <c r="MIC54" s="113"/>
      <c r="MID54" s="113"/>
      <c r="MIE54" s="113"/>
      <c r="MIF54" s="113"/>
      <c r="MIG54" s="113"/>
      <c r="MIH54" s="113"/>
      <c r="MII54" s="113"/>
      <c r="MIJ54" s="113"/>
      <c r="MIK54" s="113"/>
      <c r="MIL54" s="113"/>
      <c r="MIM54" s="113"/>
      <c r="MIN54" s="113"/>
      <c r="MIO54" s="113"/>
      <c r="MIP54" s="113"/>
      <c r="MIQ54" s="113"/>
      <c r="MIR54" s="113"/>
      <c r="MIS54" s="113"/>
      <c r="MIT54" s="113"/>
      <c r="MIU54" s="113"/>
      <c r="MIV54" s="113"/>
      <c r="MIW54" s="113"/>
      <c r="MIX54" s="113"/>
      <c r="MIY54" s="113"/>
      <c r="MIZ54" s="113"/>
      <c r="MJA54" s="113"/>
      <c r="MJB54" s="113"/>
      <c r="MJC54" s="113"/>
      <c r="MJD54" s="113"/>
      <c r="MJE54" s="113"/>
      <c r="MJF54" s="113"/>
      <c r="MJG54" s="113"/>
      <c r="MJH54" s="113"/>
      <c r="MJI54" s="113"/>
      <c r="MJJ54" s="113"/>
      <c r="MJK54" s="113"/>
      <c r="MJL54" s="113"/>
      <c r="MJM54" s="113"/>
      <c r="MJN54" s="113"/>
      <c r="MJO54" s="113"/>
      <c r="MJP54" s="113"/>
      <c r="MJQ54" s="113"/>
      <c r="MJR54" s="113"/>
      <c r="MJS54" s="113"/>
      <c r="MJT54" s="113"/>
      <c r="MJU54" s="113"/>
      <c r="MJV54" s="113"/>
      <c r="MJW54" s="113"/>
      <c r="MJX54" s="113"/>
      <c r="MJY54" s="113"/>
      <c r="MJZ54" s="113"/>
      <c r="MKA54" s="113"/>
      <c r="MKB54" s="113"/>
      <c r="MKC54" s="113"/>
      <c r="MKD54" s="113"/>
      <c r="MKE54" s="113"/>
      <c r="MKF54" s="113"/>
      <c r="MKG54" s="113"/>
      <c r="MKH54" s="113"/>
      <c r="MKI54" s="113"/>
      <c r="MKJ54" s="113"/>
      <c r="MKK54" s="113"/>
      <c r="MKL54" s="113"/>
      <c r="MKM54" s="113"/>
      <c r="MKN54" s="113"/>
      <c r="MKO54" s="113"/>
      <c r="MKP54" s="113"/>
      <c r="MKQ54" s="113"/>
      <c r="MKR54" s="113"/>
      <c r="MKS54" s="113"/>
      <c r="MKT54" s="113"/>
      <c r="MKU54" s="113"/>
      <c r="MKV54" s="113"/>
      <c r="MKW54" s="113"/>
      <c r="MKX54" s="113"/>
      <c r="MKY54" s="113"/>
      <c r="MKZ54" s="113"/>
      <c r="MLA54" s="113"/>
      <c r="MLB54" s="113"/>
      <c r="MLC54" s="113"/>
      <c r="MLD54" s="113"/>
      <c r="MLE54" s="113"/>
      <c r="MLF54" s="113"/>
      <c r="MLG54" s="113"/>
      <c r="MLH54" s="113"/>
      <c r="MLI54" s="113"/>
      <c r="MLJ54" s="113"/>
      <c r="MLK54" s="113"/>
      <c r="MLL54" s="113"/>
      <c r="MLM54" s="113"/>
      <c r="MLN54" s="113"/>
      <c r="MLO54" s="113"/>
      <c r="MLP54" s="113"/>
      <c r="MLQ54" s="113"/>
      <c r="MLR54" s="113"/>
      <c r="MLS54" s="113"/>
      <c r="MLT54" s="113"/>
      <c r="MLU54" s="113"/>
      <c r="MLV54" s="113"/>
      <c r="MLW54" s="113"/>
      <c r="MLX54" s="113"/>
      <c r="MLY54" s="113"/>
      <c r="MLZ54" s="113"/>
      <c r="MMA54" s="113"/>
      <c r="MMB54" s="113"/>
      <c r="MMC54" s="113"/>
      <c r="MMD54" s="113"/>
      <c r="MME54" s="113"/>
      <c r="MMF54" s="113"/>
      <c r="MMG54" s="113"/>
      <c r="MMH54" s="113"/>
      <c r="MMI54" s="113"/>
      <c r="MMJ54" s="113"/>
      <c r="MMK54" s="113"/>
      <c r="MML54" s="113"/>
      <c r="MMM54" s="113"/>
      <c r="MMN54" s="113"/>
      <c r="MMO54" s="113"/>
      <c r="MMP54" s="113"/>
      <c r="MMQ54" s="113"/>
      <c r="MMR54" s="113"/>
      <c r="MMS54" s="113"/>
      <c r="MMT54" s="113"/>
      <c r="MMU54" s="113"/>
      <c r="MMV54" s="113"/>
      <c r="MMW54" s="113"/>
      <c r="MMX54" s="113"/>
      <c r="MMY54" s="113"/>
      <c r="MMZ54" s="113"/>
      <c r="MNA54" s="113"/>
      <c r="MNB54" s="113"/>
      <c r="MNC54" s="113"/>
      <c r="MND54" s="113"/>
      <c r="MNE54" s="113"/>
      <c r="MNF54" s="113"/>
      <c r="MNG54" s="113"/>
      <c r="MNH54" s="113"/>
      <c r="MNI54" s="113"/>
      <c r="MNJ54" s="113"/>
      <c r="MNK54" s="113"/>
      <c r="MNL54" s="113"/>
      <c r="MNM54" s="113"/>
      <c r="MNN54" s="113"/>
      <c r="MNO54" s="113"/>
      <c r="MNP54" s="113"/>
      <c r="MNQ54" s="113"/>
      <c r="MNR54" s="113"/>
      <c r="MNS54" s="113"/>
      <c r="MNT54" s="113"/>
      <c r="MNU54" s="113"/>
      <c r="MNV54" s="113"/>
      <c r="MNW54" s="113"/>
      <c r="MNX54" s="113"/>
      <c r="MNY54" s="113"/>
      <c r="MNZ54" s="113"/>
      <c r="MOA54" s="113"/>
      <c r="MOB54" s="113"/>
      <c r="MOC54" s="113"/>
      <c r="MOD54" s="113"/>
      <c r="MOE54" s="113"/>
      <c r="MOF54" s="113"/>
      <c r="MOG54" s="113"/>
      <c r="MOH54" s="113"/>
      <c r="MOI54" s="113"/>
      <c r="MOJ54" s="113"/>
      <c r="MOK54" s="113"/>
      <c r="MOL54" s="113"/>
      <c r="MOM54" s="113"/>
      <c r="MON54" s="113"/>
      <c r="MOO54" s="113"/>
      <c r="MOP54" s="113"/>
      <c r="MOQ54" s="113"/>
      <c r="MOR54" s="113"/>
      <c r="MOS54" s="113"/>
      <c r="MOT54" s="113"/>
      <c r="MOU54" s="113"/>
      <c r="MOV54" s="113"/>
      <c r="MOW54" s="113"/>
      <c r="MOX54" s="113"/>
      <c r="MOY54" s="113"/>
      <c r="MOZ54" s="113"/>
      <c r="MPA54" s="113"/>
      <c r="MPB54" s="113"/>
      <c r="MPC54" s="113"/>
      <c r="MPD54" s="113"/>
      <c r="MPE54" s="113"/>
      <c r="MPF54" s="113"/>
      <c r="MPG54" s="113"/>
      <c r="MPH54" s="113"/>
      <c r="MPI54" s="113"/>
      <c r="MPJ54" s="113"/>
      <c r="MPK54" s="113"/>
      <c r="MPL54" s="113"/>
      <c r="MPM54" s="113"/>
      <c r="MPN54" s="113"/>
      <c r="MPO54" s="113"/>
      <c r="MPP54" s="113"/>
      <c r="MPQ54" s="113"/>
      <c r="MPR54" s="113"/>
      <c r="MPS54" s="113"/>
      <c r="MPT54" s="113"/>
      <c r="MPU54" s="113"/>
      <c r="MPV54" s="113"/>
      <c r="MPW54" s="113"/>
      <c r="MPX54" s="113"/>
      <c r="MPY54" s="113"/>
      <c r="MPZ54" s="113"/>
      <c r="MQA54" s="113"/>
      <c r="MQB54" s="113"/>
      <c r="MQC54" s="113"/>
      <c r="MQD54" s="113"/>
      <c r="MQE54" s="113"/>
      <c r="MQF54" s="113"/>
      <c r="MQG54" s="113"/>
      <c r="MQH54" s="113"/>
      <c r="MQI54" s="113"/>
      <c r="MQJ54" s="113"/>
      <c r="MQK54" s="113"/>
      <c r="MQL54" s="113"/>
      <c r="MQM54" s="113"/>
      <c r="MQN54" s="113"/>
      <c r="MQO54" s="113"/>
      <c r="MQP54" s="113"/>
      <c r="MQQ54" s="113"/>
      <c r="MQR54" s="113"/>
      <c r="MQS54" s="113"/>
      <c r="MQT54" s="113"/>
      <c r="MQU54" s="113"/>
      <c r="MQV54" s="113"/>
      <c r="MQW54" s="113"/>
      <c r="MQX54" s="113"/>
      <c r="MQY54" s="113"/>
      <c r="MQZ54" s="113"/>
      <c r="MRA54" s="113"/>
      <c r="MRB54" s="113"/>
      <c r="MRC54" s="113"/>
      <c r="MRD54" s="113"/>
      <c r="MRE54" s="113"/>
      <c r="MRF54" s="113"/>
      <c r="MRG54" s="113"/>
      <c r="MRH54" s="113"/>
      <c r="MRI54" s="113"/>
      <c r="MRJ54" s="113"/>
      <c r="MRK54" s="113"/>
      <c r="MRL54" s="113"/>
      <c r="MRM54" s="113"/>
      <c r="MRN54" s="113"/>
      <c r="MRO54" s="113"/>
      <c r="MRP54" s="113"/>
      <c r="MRQ54" s="113"/>
      <c r="MRR54" s="113"/>
      <c r="MRS54" s="113"/>
      <c r="MRT54" s="113"/>
      <c r="MRU54" s="113"/>
      <c r="MRV54" s="113"/>
      <c r="MRW54" s="113"/>
      <c r="MRX54" s="113"/>
      <c r="MRY54" s="113"/>
      <c r="MRZ54" s="113"/>
      <c r="MSA54" s="113"/>
      <c r="MSB54" s="113"/>
      <c r="MSC54" s="113"/>
      <c r="MSD54" s="113"/>
      <c r="MSE54" s="113"/>
      <c r="MSF54" s="113"/>
      <c r="MSG54" s="113"/>
      <c r="MSH54" s="113"/>
      <c r="MSI54" s="113"/>
      <c r="MSJ54" s="113"/>
      <c r="MSK54" s="113"/>
      <c r="MSL54" s="113"/>
      <c r="MSM54" s="113"/>
      <c r="MSN54" s="113"/>
      <c r="MSO54" s="113"/>
      <c r="MSP54" s="113"/>
      <c r="MSQ54" s="113"/>
      <c r="MSR54" s="113"/>
      <c r="MSS54" s="113"/>
      <c r="MST54" s="113"/>
      <c r="MSU54" s="113"/>
      <c r="MSV54" s="113"/>
      <c r="MSW54" s="113"/>
      <c r="MSX54" s="113"/>
      <c r="MSY54" s="113"/>
      <c r="MSZ54" s="113"/>
      <c r="MTA54" s="113"/>
      <c r="MTB54" s="113"/>
      <c r="MTC54" s="113"/>
      <c r="MTD54" s="113"/>
      <c r="MTE54" s="113"/>
      <c r="MTF54" s="113"/>
      <c r="MTG54" s="113"/>
      <c r="MTH54" s="113"/>
      <c r="MTI54" s="113"/>
      <c r="MTJ54" s="113"/>
      <c r="MTK54" s="113"/>
      <c r="MTL54" s="113"/>
      <c r="MTM54" s="113"/>
      <c r="MTN54" s="113"/>
      <c r="MTO54" s="113"/>
      <c r="MTP54" s="113"/>
      <c r="MTQ54" s="113"/>
      <c r="MTR54" s="113"/>
      <c r="MTS54" s="113"/>
      <c r="MTT54" s="113"/>
      <c r="MTU54" s="113"/>
      <c r="MTV54" s="113"/>
      <c r="MTW54" s="113"/>
      <c r="MTX54" s="113"/>
      <c r="MTY54" s="113"/>
      <c r="MTZ54" s="113"/>
      <c r="MUA54" s="113"/>
      <c r="MUB54" s="113"/>
      <c r="MUC54" s="113"/>
      <c r="MUD54" s="113"/>
      <c r="MUE54" s="113"/>
      <c r="MUF54" s="113"/>
      <c r="MUG54" s="113"/>
      <c r="MUH54" s="113"/>
      <c r="MUI54" s="113"/>
      <c r="MUJ54" s="113"/>
      <c r="MUK54" s="113"/>
      <c r="MUL54" s="113"/>
      <c r="MUM54" s="113"/>
      <c r="MUN54" s="113"/>
      <c r="MUO54" s="113"/>
      <c r="MUP54" s="113"/>
      <c r="MUQ54" s="113"/>
      <c r="MUR54" s="113"/>
      <c r="MUS54" s="113"/>
      <c r="MUT54" s="113"/>
      <c r="MUU54" s="113"/>
      <c r="MUV54" s="113"/>
      <c r="MUW54" s="113"/>
      <c r="MUX54" s="113"/>
      <c r="MUY54" s="113"/>
      <c r="MUZ54" s="113"/>
      <c r="MVA54" s="113"/>
      <c r="MVB54" s="113"/>
      <c r="MVC54" s="113"/>
      <c r="MVD54" s="113"/>
      <c r="MVE54" s="113"/>
      <c r="MVF54" s="113"/>
      <c r="MVG54" s="113"/>
      <c r="MVH54" s="113"/>
      <c r="MVI54" s="113"/>
      <c r="MVJ54" s="113"/>
      <c r="MVK54" s="113"/>
      <c r="MVL54" s="113"/>
      <c r="MVM54" s="113"/>
      <c r="MVN54" s="113"/>
      <c r="MVO54" s="113"/>
      <c r="MVP54" s="113"/>
      <c r="MVQ54" s="113"/>
      <c r="MVR54" s="113"/>
      <c r="MVS54" s="113"/>
      <c r="MVT54" s="113"/>
      <c r="MVU54" s="113"/>
      <c r="MVV54" s="113"/>
      <c r="MVW54" s="113"/>
      <c r="MVX54" s="113"/>
      <c r="MVY54" s="113"/>
      <c r="MVZ54" s="113"/>
      <c r="MWA54" s="113"/>
      <c r="MWB54" s="113"/>
      <c r="MWC54" s="113"/>
      <c r="MWD54" s="113"/>
      <c r="MWE54" s="113"/>
      <c r="MWF54" s="113"/>
      <c r="MWG54" s="113"/>
      <c r="MWH54" s="113"/>
      <c r="MWI54" s="113"/>
      <c r="MWJ54" s="113"/>
      <c r="MWK54" s="113"/>
      <c r="MWL54" s="113"/>
      <c r="MWM54" s="113"/>
      <c r="MWN54" s="113"/>
      <c r="MWO54" s="113"/>
      <c r="MWP54" s="113"/>
      <c r="MWQ54" s="113"/>
      <c r="MWR54" s="113"/>
      <c r="MWS54" s="113"/>
      <c r="MWT54" s="113"/>
      <c r="MWU54" s="113"/>
      <c r="MWV54" s="113"/>
      <c r="MWW54" s="113"/>
      <c r="MWX54" s="113"/>
      <c r="MWY54" s="113"/>
      <c r="MWZ54" s="113"/>
      <c r="MXA54" s="113"/>
      <c r="MXB54" s="113"/>
      <c r="MXC54" s="113"/>
      <c r="MXD54" s="113"/>
      <c r="MXE54" s="113"/>
      <c r="MXF54" s="113"/>
      <c r="MXG54" s="113"/>
      <c r="MXH54" s="113"/>
      <c r="MXI54" s="113"/>
      <c r="MXJ54" s="113"/>
      <c r="MXK54" s="113"/>
      <c r="MXL54" s="113"/>
      <c r="MXM54" s="113"/>
      <c r="MXN54" s="113"/>
      <c r="MXO54" s="113"/>
      <c r="MXP54" s="113"/>
      <c r="MXQ54" s="113"/>
      <c r="MXR54" s="113"/>
      <c r="MXS54" s="113"/>
      <c r="MXT54" s="113"/>
      <c r="MXU54" s="113"/>
      <c r="MXV54" s="113"/>
      <c r="MXW54" s="113"/>
      <c r="MXX54" s="113"/>
      <c r="MXY54" s="113"/>
      <c r="MXZ54" s="113"/>
      <c r="MYA54" s="113"/>
      <c r="MYB54" s="113"/>
      <c r="MYC54" s="113"/>
      <c r="MYD54" s="113"/>
      <c r="MYE54" s="113"/>
      <c r="MYF54" s="113"/>
      <c r="MYG54" s="113"/>
      <c r="MYH54" s="113"/>
      <c r="MYI54" s="113"/>
      <c r="MYJ54" s="113"/>
      <c r="MYK54" s="113"/>
      <c r="MYL54" s="113"/>
      <c r="MYM54" s="113"/>
      <c r="MYN54" s="113"/>
      <c r="MYO54" s="113"/>
      <c r="MYP54" s="113"/>
      <c r="MYQ54" s="113"/>
      <c r="MYR54" s="113"/>
      <c r="MYS54" s="113"/>
      <c r="MYT54" s="113"/>
      <c r="MYU54" s="113"/>
      <c r="MYV54" s="113"/>
      <c r="MYW54" s="113"/>
      <c r="MYX54" s="113"/>
      <c r="MYY54" s="113"/>
      <c r="MYZ54" s="113"/>
      <c r="MZA54" s="113"/>
      <c r="MZB54" s="113"/>
      <c r="MZC54" s="113"/>
      <c r="MZD54" s="113"/>
      <c r="MZE54" s="113"/>
      <c r="MZF54" s="113"/>
      <c r="MZG54" s="113"/>
      <c r="MZH54" s="113"/>
      <c r="MZI54" s="113"/>
      <c r="MZJ54" s="113"/>
      <c r="MZK54" s="113"/>
      <c r="MZL54" s="113"/>
      <c r="MZM54" s="113"/>
      <c r="MZN54" s="113"/>
      <c r="MZO54" s="113"/>
      <c r="MZP54" s="113"/>
      <c r="MZQ54" s="113"/>
      <c r="MZR54" s="113"/>
      <c r="MZS54" s="113"/>
      <c r="MZT54" s="113"/>
      <c r="MZU54" s="113"/>
      <c r="MZV54" s="113"/>
      <c r="MZW54" s="113"/>
      <c r="MZX54" s="113"/>
      <c r="MZY54" s="113"/>
      <c r="MZZ54" s="113"/>
      <c r="NAA54" s="113"/>
      <c r="NAB54" s="113"/>
      <c r="NAC54" s="113"/>
      <c r="NAD54" s="113"/>
      <c r="NAE54" s="113"/>
      <c r="NAF54" s="113"/>
      <c r="NAG54" s="113"/>
      <c r="NAH54" s="113"/>
      <c r="NAI54" s="113"/>
      <c r="NAJ54" s="113"/>
      <c r="NAK54" s="113"/>
      <c r="NAL54" s="113"/>
      <c r="NAM54" s="113"/>
      <c r="NAN54" s="113"/>
      <c r="NAO54" s="113"/>
      <c r="NAP54" s="113"/>
      <c r="NAQ54" s="113"/>
      <c r="NAR54" s="113"/>
      <c r="NAS54" s="113"/>
      <c r="NAT54" s="113"/>
      <c r="NAU54" s="113"/>
      <c r="NAV54" s="113"/>
      <c r="NAW54" s="113"/>
      <c r="NAX54" s="113"/>
      <c r="NAY54" s="113"/>
      <c r="NAZ54" s="113"/>
      <c r="NBA54" s="113"/>
      <c r="NBB54" s="113"/>
      <c r="NBC54" s="113"/>
      <c r="NBD54" s="113"/>
      <c r="NBE54" s="113"/>
      <c r="NBF54" s="113"/>
      <c r="NBG54" s="113"/>
      <c r="NBH54" s="113"/>
      <c r="NBI54" s="113"/>
      <c r="NBJ54" s="113"/>
      <c r="NBK54" s="113"/>
      <c r="NBL54" s="113"/>
      <c r="NBM54" s="113"/>
      <c r="NBN54" s="113"/>
      <c r="NBO54" s="113"/>
      <c r="NBP54" s="113"/>
      <c r="NBQ54" s="113"/>
      <c r="NBR54" s="113"/>
      <c r="NBS54" s="113"/>
      <c r="NBT54" s="113"/>
      <c r="NBU54" s="113"/>
      <c r="NBV54" s="113"/>
      <c r="NBW54" s="113"/>
      <c r="NBX54" s="113"/>
      <c r="NBY54" s="113"/>
      <c r="NBZ54" s="113"/>
      <c r="NCA54" s="113"/>
      <c r="NCB54" s="113"/>
      <c r="NCC54" s="113"/>
      <c r="NCD54" s="113"/>
      <c r="NCE54" s="113"/>
      <c r="NCF54" s="113"/>
      <c r="NCG54" s="113"/>
      <c r="NCH54" s="113"/>
      <c r="NCI54" s="113"/>
      <c r="NCJ54" s="113"/>
      <c r="NCK54" s="113"/>
      <c r="NCL54" s="113"/>
      <c r="NCM54" s="113"/>
      <c r="NCN54" s="113"/>
      <c r="NCO54" s="113"/>
      <c r="NCP54" s="113"/>
      <c r="NCQ54" s="113"/>
      <c r="NCR54" s="113"/>
      <c r="NCS54" s="113"/>
      <c r="NCT54" s="113"/>
      <c r="NCU54" s="113"/>
      <c r="NCV54" s="113"/>
      <c r="NCW54" s="113"/>
      <c r="NCX54" s="113"/>
      <c r="NCY54" s="113"/>
      <c r="NCZ54" s="113"/>
      <c r="NDA54" s="113"/>
      <c r="NDB54" s="113"/>
      <c r="NDC54" s="113"/>
      <c r="NDD54" s="113"/>
      <c r="NDE54" s="113"/>
      <c r="NDF54" s="113"/>
      <c r="NDG54" s="113"/>
      <c r="NDH54" s="113"/>
      <c r="NDI54" s="113"/>
      <c r="NDJ54" s="113"/>
      <c r="NDK54" s="113"/>
      <c r="NDL54" s="113"/>
      <c r="NDM54" s="113"/>
      <c r="NDN54" s="113"/>
      <c r="NDO54" s="113"/>
      <c r="NDP54" s="113"/>
      <c r="NDQ54" s="113"/>
      <c r="NDR54" s="113"/>
      <c r="NDS54" s="113"/>
      <c r="NDT54" s="113"/>
      <c r="NDU54" s="113"/>
      <c r="NDV54" s="113"/>
      <c r="NDW54" s="113"/>
      <c r="NDX54" s="113"/>
      <c r="NDY54" s="113"/>
      <c r="NDZ54" s="113"/>
      <c r="NEA54" s="113"/>
      <c r="NEB54" s="113"/>
      <c r="NEC54" s="113"/>
      <c r="NED54" s="113"/>
      <c r="NEE54" s="113"/>
      <c r="NEF54" s="113"/>
      <c r="NEG54" s="113"/>
      <c r="NEH54" s="113"/>
      <c r="NEI54" s="113"/>
      <c r="NEJ54" s="113"/>
      <c r="NEK54" s="113"/>
      <c r="NEL54" s="113"/>
      <c r="NEM54" s="113"/>
      <c r="NEN54" s="113"/>
      <c r="NEO54" s="113"/>
      <c r="NEP54" s="113"/>
      <c r="NEQ54" s="113"/>
      <c r="NER54" s="113"/>
      <c r="NES54" s="113"/>
      <c r="NET54" s="113"/>
      <c r="NEU54" s="113"/>
      <c r="NEV54" s="113"/>
      <c r="NEW54" s="113"/>
      <c r="NEX54" s="113"/>
      <c r="NEY54" s="113"/>
      <c r="NEZ54" s="113"/>
      <c r="NFA54" s="113"/>
      <c r="NFB54" s="113"/>
      <c r="NFC54" s="113"/>
      <c r="NFD54" s="113"/>
      <c r="NFE54" s="113"/>
      <c r="NFF54" s="113"/>
      <c r="NFG54" s="113"/>
      <c r="NFH54" s="113"/>
      <c r="NFI54" s="113"/>
      <c r="NFJ54" s="113"/>
      <c r="NFK54" s="113"/>
      <c r="NFL54" s="113"/>
      <c r="NFM54" s="113"/>
      <c r="NFN54" s="113"/>
      <c r="NFO54" s="113"/>
      <c r="NFP54" s="113"/>
      <c r="NFQ54" s="113"/>
      <c r="NFR54" s="113"/>
      <c r="NFS54" s="113"/>
      <c r="NFT54" s="113"/>
      <c r="NFU54" s="113"/>
      <c r="NFV54" s="113"/>
      <c r="NFW54" s="113"/>
      <c r="NFX54" s="113"/>
      <c r="NFY54" s="113"/>
      <c r="NFZ54" s="113"/>
      <c r="NGA54" s="113"/>
      <c r="NGB54" s="113"/>
      <c r="NGC54" s="113"/>
      <c r="NGD54" s="113"/>
      <c r="NGE54" s="113"/>
      <c r="NGF54" s="113"/>
      <c r="NGG54" s="113"/>
      <c r="NGH54" s="113"/>
      <c r="NGI54" s="113"/>
      <c r="NGJ54" s="113"/>
      <c r="NGK54" s="113"/>
      <c r="NGL54" s="113"/>
      <c r="NGM54" s="113"/>
      <c r="NGN54" s="113"/>
      <c r="NGO54" s="113"/>
      <c r="NGP54" s="113"/>
      <c r="NGQ54" s="113"/>
      <c r="NGR54" s="113"/>
      <c r="NGS54" s="113"/>
      <c r="NGT54" s="113"/>
      <c r="NGU54" s="113"/>
      <c r="NGV54" s="113"/>
      <c r="NGW54" s="113"/>
      <c r="NGX54" s="113"/>
      <c r="NGY54" s="113"/>
      <c r="NGZ54" s="113"/>
      <c r="NHA54" s="113"/>
      <c r="NHB54" s="113"/>
      <c r="NHC54" s="113"/>
      <c r="NHD54" s="113"/>
      <c r="NHE54" s="113"/>
      <c r="NHF54" s="113"/>
      <c r="NHG54" s="113"/>
      <c r="NHH54" s="113"/>
      <c r="NHI54" s="113"/>
      <c r="NHJ54" s="113"/>
      <c r="NHK54" s="113"/>
      <c r="NHL54" s="113"/>
      <c r="NHM54" s="113"/>
      <c r="NHN54" s="113"/>
      <c r="NHO54" s="113"/>
      <c r="NHP54" s="113"/>
      <c r="NHQ54" s="113"/>
      <c r="NHR54" s="113"/>
      <c r="NHS54" s="113"/>
      <c r="NHT54" s="113"/>
      <c r="NHU54" s="113"/>
      <c r="NHV54" s="113"/>
      <c r="NHW54" s="113"/>
      <c r="NHX54" s="113"/>
      <c r="NHY54" s="113"/>
      <c r="NHZ54" s="113"/>
      <c r="NIA54" s="113"/>
      <c r="NIB54" s="113"/>
      <c r="NIC54" s="113"/>
      <c r="NID54" s="113"/>
      <c r="NIE54" s="113"/>
      <c r="NIF54" s="113"/>
      <c r="NIG54" s="113"/>
      <c r="NIH54" s="113"/>
      <c r="NII54" s="113"/>
      <c r="NIJ54" s="113"/>
      <c r="NIK54" s="113"/>
      <c r="NIL54" s="113"/>
      <c r="NIM54" s="113"/>
      <c r="NIN54" s="113"/>
      <c r="NIO54" s="113"/>
      <c r="NIP54" s="113"/>
      <c r="NIQ54" s="113"/>
      <c r="NIR54" s="113"/>
      <c r="NIS54" s="113"/>
      <c r="NIT54" s="113"/>
      <c r="NIU54" s="113"/>
      <c r="NIV54" s="113"/>
      <c r="NIW54" s="113"/>
      <c r="NIX54" s="113"/>
      <c r="NIY54" s="113"/>
      <c r="NIZ54" s="113"/>
      <c r="NJA54" s="113"/>
      <c r="NJB54" s="113"/>
      <c r="NJC54" s="113"/>
      <c r="NJD54" s="113"/>
      <c r="NJE54" s="113"/>
      <c r="NJF54" s="113"/>
      <c r="NJG54" s="113"/>
      <c r="NJH54" s="113"/>
      <c r="NJI54" s="113"/>
      <c r="NJJ54" s="113"/>
      <c r="NJK54" s="113"/>
      <c r="NJL54" s="113"/>
      <c r="NJM54" s="113"/>
      <c r="NJN54" s="113"/>
      <c r="NJO54" s="113"/>
      <c r="NJP54" s="113"/>
      <c r="NJQ54" s="113"/>
      <c r="NJR54" s="113"/>
      <c r="NJS54" s="113"/>
      <c r="NJT54" s="113"/>
      <c r="NJU54" s="113"/>
      <c r="NJV54" s="113"/>
      <c r="NJW54" s="113"/>
      <c r="NJX54" s="113"/>
      <c r="NJY54" s="113"/>
      <c r="NJZ54" s="113"/>
      <c r="NKA54" s="113"/>
      <c r="NKB54" s="113"/>
      <c r="NKC54" s="113"/>
      <c r="NKD54" s="113"/>
      <c r="NKE54" s="113"/>
      <c r="NKF54" s="113"/>
      <c r="NKG54" s="113"/>
      <c r="NKH54" s="113"/>
      <c r="NKI54" s="113"/>
      <c r="NKJ54" s="113"/>
      <c r="NKK54" s="113"/>
      <c r="NKL54" s="113"/>
      <c r="NKM54" s="113"/>
      <c r="NKN54" s="113"/>
      <c r="NKO54" s="113"/>
      <c r="NKP54" s="113"/>
      <c r="NKQ54" s="113"/>
      <c r="NKR54" s="113"/>
      <c r="NKS54" s="113"/>
      <c r="NKT54" s="113"/>
      <c r="NKU54" s="113"/>
      <c r="NKV54" s="113"/>
      <c r="NKW54" s="113"/>
      <c r="NKX54" s="113"/>
      <c r="NKY54" s="113"/>
      <c r="NKZ54" s="113"/>
      <c r="NLA54" s="113"/>
      <c r="NLB54" s="113"/>
      <c r="NLC54" s="113"/>
      <c r="NLD54" s="113"/>
      <c r="NLE54" s="113"/>
      <c r="NLF54" s="113"/>
      <c r="NLG54" s="113"/>
      <c r="NLH54" s="113"/>
      <c r="NLI54" s="113"/>
      <c r="NLJ54" s="113"/>
      <c r="NLK54" s="113"/>
      <c r="NLL54" s="113"/>
      <c r="NLM54" s="113"/>
      <c r="NLN54" s="113"/>
      <c r="NLO54" s="113"/>
      <c r="NLP54" s="113"/>
      <c r="NLQ54" s="113"/>
      <c r="NLR54" s="113"/>
      <c r="NLS54" s="113"/>
      <c r="NLT54" s="113"/>
      <c r="NLU54" s="113"/>
      <c r="NLV54" s="113"/>
      <c r="NLW54" s="113"/>
      <c r="NLX54" s="113"/>
      <c r="NLY54" s="113"/>
      <c r="NLZ54" s="113"/>
      <c r="NMA54" s="113"/>
      <c r="NMB54" s="113"/>
      <c r="NMC54" s="113"/>
      <c r="NMD54" s="113"/>
      <c r="NME54" s="113"/>
      <c r="NMF54" s="113"/>
      <c r="NMG54" s="113"/>
      <c r="NMH54" s="113"/>
      <c r="NMI54" s="113"/>
      <c r="NMJ54" s="113"/>
      <c r="NMK54" s="113"/>
      <c r="NML54" s="113"/>
      <c r="NMM54" s="113"/>
      <c r="NMN54" s="113"/>
      <c r="NMO54" s="113"/>
      <c r="NMP54" s="113"/>
      <c r="NMQ54" s="113"/>
      <c r="NMR54" s="113"/>
      <c r="NMS54" s="113"/>
      <c r="NMT54" s="113"/>
      <c r="NMU54" s="113"/>
      <c r="NMV54" s="113"/>
      <c r="NMW54" s="113"/>
      <c r="NMX54" s="113"/>
      <c r="NMY54" s="113"/>
      <c r="NMZ54" s="113"/>
      <c r="NNA54" s="113"/>
      <c r="NNB54" s="113"/>
      <c r="NNC54" s="113"/>
      <c r="NND54" s="113"/>
      <c r="NNE54" s="113"/>
      <c r="NNF54" s="113"/>
      <c r="NNG54" s="113"/>
      <c r="NNH54" s="113"/>
      <c r="NNI54" s="113"/>
      <c r="NNJ54" s="113"/>
      <c r="NNK54" s="113"/>
      <c r="NNL54" s="113"/>
      <c r="NNM54" s="113"/>
      <c r="NNN54" s="113"/>
      <c r="NNO54" s="113"/>
      <c r="NNP54" s="113"/>
      <c r="NNQ54" s="113"/>
      <c r="NNR54" s="113"/>
      <c r="NNS54" s="113"/>
      <c r="NNT54" s="113"/>
      <c r="NNU54" s="113"/>
      <c r="NNV54" s="113"/>
      <c r="NNW54" s="113"/>
      <c r="NNX54" s="113"/>
      <c r="NNY54" s="113"/>
      <c r="NNZ54" s="113"/>
      <c r="NOA54" s="113"/>
      <c r="NOB54" s="113"/>
      <c r="NOC54" s="113"/>
      <c r="NOD54" s="113"/>
      <c r="NOE54" s="113"/>
      <c r="NOF54" s="113"/>
      <c r="NOG54" s="113"/>
      <c r="NOH54" s="113"/>
      <c r="NOI54" s="113"/>
      <c r="NOJ54" s="113"/>
      <c r="NOK54" s="113"/>
      <c r="NOL54" s="113"/>
      <c r="NOM54" s="113"/>
      <c r="NON54" s="113"/>
      <c r="NOO54" s="113"/>
      <c r="NOP54" s="113"/>
      <c r="NOQ54" s="113"/>
      <c r="NOR54" s="113"/>
      <c r="NOS54" s="113"/>
      <c r="NOT54" s="113"/>
      <c r="NOU54" s="113"/>
      <c r="NOV54" s="113"/>
      <c r="NOW54" s="113"/>
      <c r="NOX54" s="113"/>
      <c r="NOY54" s="113"/>
      <c r="NOZ54" s="113"/>
      <c r="NPA54" s="113"/>
      <c r="NPB54" s="113"/>
      <c r="NPC54" s="113"/>
      <c r="NPD54" s="113"/>
      <c r="NPE54" s="113"/>
      <c r="NPF54" s="113"/>
      <c r="NPG54" s="113"/>
      <c r="NPH54" s="113"/>
      <c r="NPI54" s="113"/>
      <c r="NPJ54" s="113"/>
      <c r="NPK54" s="113"/>
      <c r="NPL54" s="113"/>
      <c r="NPM54" s="113"/>
      <c r="NPN54" s="113"/>
      <c r="NPO54" s="113"/>
      <c r="NPP54" s="113"/>
      <c r="NPQ54" s="113"/>
      <c r="NPR54" s="113"/>
      <c r="NPS54" s="113"/>
      <c r="NPT54" s="113"/>
      <c r="NPU54" s="113"/>
      <c r="NPV54" s="113"/>
      <c r="NPW54" s="113"/>
      <c r="NPX54" s="113"/>
      <c r="NPY54" s="113"/>
      <c r="NPZ54" s="113"/>
      <c r="NQA54" s="113"/>
      <c r="NQB54" s="113"/>
      <c r="NQC54" s="113"/>
      <c r="NQD54" s="113"/>
      <c r="NQE54" s="113"/>
      <c r="NQF54" s="113"/>
      <c r="NQG54" s="113"/>
      <c r="NQH54" s="113"/>
      <c r="NQI54" s="113"/>
      <c r="NQJ54" s="113"/>
      <c r="NQK54" s="113"/>
      <c r="NQL54" s="113"/>
      <c r="NQM54" s="113"/>
      <c r="NQN54" s="113"/>
      <c r="NQO54" s="113"/>
      <c r="NQP54" s="113"/>
      <c r="NQQ54" s="113"/>
      <c r="NQR54" s="113"/>
      <c r="NQS54" s="113"/>
      <c r="NQT54" s="113"/>
      <c r="NQU54" s="113"/>
      <c r="NQV54" s="113"/>
      <c r="NQW54" s="113"/>
      <c r="NQX54" s="113"/>
      <c r="NQY54" s="113"/>
      <c r="NQZ54" s="113"/>
      <c r="NRA54" s="113"/>
      <c r="NRB54" s="113"/>
      <c r="NRC54" s="113"/>
      <c r="NRD54" s="113"/>
      <c r="NRE54" s="113"/>
      <c r="NRF54" s="113"/>
      <c r="NRG54" s="113"/>
      <c r="NRH54" s="113"/>
      <c r="NRI54" s="113"/>
      <c r="NRJ54" s="113"/>
      <c r="NRK54" s="113"/>
      <c r="NRL54" s="113"/>
      <c r="NRM54" s="113"/>
      <c r="NRN54" s="113"/>
      <c r="NRO54" s="113"/>
      <c r="NRP54" s="113"/>
      <c r="NRQ54" s="113"/>
      <c r="NRR54" s="113"/>
      <c r="NRS54" s="113"/>
      <c r="NRT54" s="113"/>
      <c r="NRU54" s="113"/>
      <c r="NRV54" s="113"/>
      <c r="NRW54" s="113"/>
      <c r="NRX54" s="113"/>
      <c r="NRY54" s="113"/>
      <c r="NRZ54" s="113"/>
      <c r="NSA54" s="113"/>
      <c r="NSB54" s="113"/>
      <c r="NSC54" s="113"/>
      <c r="NSD54" s="113"/>
      <c r="NSE54" s="113"/>
      <c r="NSF54" s="113"/>
      <c r="NSG54" s="113"/>
      <c r="NSH54" s="113"/>
      <c r="NSI54" s="113"/>
      <c r="NSJ54" s="113"/>
      <c r="NSK54" s="113"/>
      <c r="NSL54" s="113"/>
      <c r="NSM54" s="113"/>
      <c r="NSN54" s="113"/>
      <c r="NSO54" s="113"/>
      <c r="NSP54" s="113"/>
      <c r="NSQ54" s="113"/>
      <c r="NSR54" s="113"/>
      <c r="NSS54" s="113"/>
      <c r="NST54" s="113"/>
      <c r="NSU54" s="113"/>
      <c r="NSV54" s="113"/>
      <c r="NSW54" s="113"/>
      <c r="NSX54" s="113"/>
      <c r="NSY54" s="113"/>
      <c r="NSZ54" s="113"/>
      <c r="NTA54" s="113"/>
      <c r="NTB54" s="113"/>
      <c r="NTC54" s="113"/>
      <c r="NTD54" s="113"/>
      <c r="NTE54" s="113"/>
      <c r="NTF54" s="113"/>
      <c r="NTG54" s="113"/>
      <c r="NTH54" s="113"/>
      <c r="NTI54" s="113"/>
      <c r="NTJ54" s="113"/>
      <c r="NTK54" s="113"/>
      <c r="NTL54" s="113"/>
      <c r="NTM54" s="113"/>
      <c r="NTN54" s="113"/>
      <c r="NTO54" s="113"/>
      <c r="NTP54" s="113"/>
      <c r="NTQ54" s="113"/>
      <c r="NTR54" s="113"/>
      <c r="NTS54" s="113"/>
      <c r="NTT54" s="113"/>
      <c r="NTU54" s="113"/>
      <c r="NTV54" s="113"/>
      <c r="NTW54" s="113"/>
      <c r="NTX54" s="113"/>
      <c r="NTY54" s="113"/>
      <c r="NTZ54" s="113"/>
      <c r="NUA54" s="113"/>
      <c r="NUB54" s="113"/>
      <c r="NUC54" s="113"/>
      <c r="NUD54" s="113"/>
      <c r="NUE54" s="113"/>
      <c r="NUF54" s="113"/>
      <c r="NUG54" s="113"/>
      <c r="NUH54" s="113"/>
      <c r="NUI54" s="113"/>
      <c r="NUJ54" s="113"/>
      <c r="NUK54" s="113"/>
      <c r="NUL54" s="113"/>
      <c r="NUM54" s="113"/>
      <c r="NUN54" s="113"/>
      <c r="NUO54" s="113"/>
      <c r="NUP54" s="113"/>
      <c r="NUQ54" s="113"/>
      <c r="NUR54" s="113"/>
      <c r="NUS54" s="113"/>
      <c r="NUT54" s="113"/>
      <c r="NUU54" s="113"/>
      <c r="NUV54" s="113"/>
      <c r="NUW54" s="113"/>
      <c r="NUX54" s="113"/>
      <c r="NUY54" s="113"/>
      <c r="NUZ54" s="113"/>
      <c r="NVA54" s="113"/>
      <c r="NVB54" s="113"/>
      <c r="NVC54" s="113"/>
      <c r="NVD54" s="113"/>
      <c r="NVE54" s="113"/>
      <c r="NVF54" s="113"/>
      <c r="NVG54" s="113"/>
      <c r="NVH54" s="113"/>
      <c r="NVI54" s="113"/>
      <c r="NVJ54" s="113"/>
      <c r="NVK54" s="113"/>
      <c r="NVL54" s="113"/>
      <c r="NVM54" s="113"/>
      <c r="NVN54" s="113"/>
      <c r="NVO54" s="113"/>
      <c r="NVP54" s="113"/>
      <c r="NVQ54" s="113"/>
      <c r="NVR54" s="113"/>
      <c r="NVS54" s="113"/>
      <c r="NVT54" s="113"/>
      <c r="NVU54" s="113"/>
      <c r="NVV54" s="113"/>
      <c r="NVW54" s="113"/>
      <c r="NVX54" s="113"/>
      <c r="NVY54" s="113"/>
      <c r="NVZ54" s="113"/>
      <c r="NWA54" s="113"/>
      <c r="NWB54" s="113"/>
      <c r="NWC54" s="113"/>
      <c r="NWD54" s="113"/>
      <c r="NWE54" s="113"/>
      <c r="NWF54" s="113"/>
      <c r="NWG54" s="113"/>
      <c r="NWH54" s="113"/>
      <c r="NWI54" s="113"/>
      <c r="NWJ54" s="113"/>
      <c r="NWK54" s="113"/>
      <c r="NWL54" s="113"/>
      <c r="NWM54" s="113"/>
      <c r="NWN54" s="113"/>
      <c r="NWO54" s="113"/>
      <c r="NWP54" s="113"/>
      <c r="NWQ54" s="113"/>
      <c r="NWR54" s="113"/>
      <c r="NWS54" s="113"/>
      <c r="NWT54" s="113"/>
      <c r="NWU54" s="113"/>
      <c r="NWV54" s="113"/>
      <c r="NWW54" s="113"/>
      <c r="NWX54" s="113"/>
      <c r="NWY54" s="113"/>
      <c r="NWZ54" s="113"/>
      <c r="NXA54" s="113"/>
      <c r="NXB54" s="113"/>
      <c r="NXC54" s="113"/>
      <c r="NXD54" s="113"/>
      <c r="NXE54" s="113"/>
      <c r="NXF54" s="113"/>
      <c r="NXG54" s="113"/>
      <c r="NXH54" s="113"/>
      <c r="NXI54" s="113"/>
      <c r="NXJ54" s="113"/>
      <c r="NXK54" s="113"/>
      <c r="NXL54" s="113"/>
      <c r="NXM54" s="113"/>
      <c r="NXN54" s="113"/>
      <c r="NXO54" s="113"/>
      <c r="NXP54" s="113"/>
      <c r="NXQ54" s="113"/>
      <c r="NXR54" s="113"/>
      <c r="NXS54" s="113"/>
      <c r="NXT54" s="113"/>
      <c r="NXU54" s="113"/>
      <c r="NXV54" s="113"/>
      <c r="NXW54" s="113"/>
      <c r="NXX54" s="113"/>
      <c r="NXY54" s="113"/>
      <c r="NXZ54" s="113"/>
      <c r="NYA54" s="113"/>
      <c r="NYB54" s="113"/>
      <c r="NYC54" s="113"/>
      <c r="NYD54" s="113"/>
      <c r="NYE54" s="113"/>
      <c r="NYF54" s="113"/>
      <c r="NYG54" s="113"/>
      <c r="NYH54" s="113"/>
      <c r="NYI54" s="113"/>
      <c r="NYJ54" s="113"/>
      <c r="NYK54" s="113"/>
      <c r="NYL54" s="113"/>
      <c r="NYM54" s="113"/>
      <c r="NYN54" s="113"/>
      <c r="NYO54" s="113"/>
      <c r="NYP54" s="113"/>
      <c r="NYQ54" s="113"/>
      <c r="NYR54" s="113"/>
      <c r="NYS54" s="113"/>
      <c r="NYT54" s="113"/>
      <c r="NYU54" s="113"/>
      <c r="NYV54" s="113"/>
      <c r="NYW54" s="113"/>
      <c r="NYX54" s="113"/>
      <c r="NYY54" s="113"/>
      <c r="NYZ54" s="113"/>
      <c r="NZA54" s="113"/>
      <c r="NZB54" s="113"/>
      <c r="NZC54" s="113"/>
      <c r="NZD54" s="113"/>
      <c r="NZE54" s="113"/>
      <c r="NZF54" s="113"/>
      <c r="NZG54" s="113"/>
      <c r="NZH54" s="113"/>
      <c r="NZI54" s="113"/>
      <c r="NZJ54" s="113"/>
      <c r="NZK54" s="113"/>
      <c r="NZL54" s="113"/>
      <c r="NZM54" s="113"/>
      <c r="NZN54" s="113"/>
      <c r="NZO54" s="113"/>
      <c r="NZP54" s="113"/>
      <c r="NZQ54" s="113"/>
      <c r="NZR54" s="113"/>
      <c r="NZS54" s="113"/>
      <c r="NZT54" s="113"/>
      <c r="NZU54" s="113"/>
      <c r="NZV54" s="113"/>
      <c r="NZW54" s="113"/>
      <c r="NZX54" s="113"/>
      <c r="NZY54" s="113"/>
      <c r="NZZ54" s="113"/>
      <c r="OAA54" s="113"/>
      <c r="OAB54" s="113"/>
      <c r="OAC54" s="113"/>
      <c r="OAD54" s="113"/>
      <c r="OAE54" s="113"/>
      <c r="OAF54" s="113"/>
      <c r="OAG54" s="113"/>
      <c r="OAH54" s="113"/>
      <c r="OAI54" s="113"/>
      <c r="OAJ54" s="113"/>
      <c r="OAK54" s="113"/>
      <c r="OAL54" s="113"/>
      <c r="OAM54" s="113"/>
      <c r="OAN54" s="113"/>
      <c r="OAO54" s="113"/>
      <c r="OAP54" s="113"/>
      <c r="OAQ54" s="113"/>
      <c r="OAR54" s="113"/>
      <c r="OAS54" s="113"/>
      <c r="OAT54" s="113"/>
      <c r="OAU54" s="113"/>
      <c r="OAV54" s="113"/>
      <c r="OAW54" s="113"/>
      <c r="OAX54" s="113"/>
      <c r="OAY54" s="113"/>
      <c r="OAZ54" s="113"/>
      <c r="OBA54" s="113"/>
      <c r="OBB54" s="113"/>
      <c r="OBC54" s="113"/>
      <c r="OBD54" s="113"/>
      <c r="OBE54" s="113"/>
      <c r="OBF54" s="113"/>
      <c r="OBG54" s="113"/>
      <c r="OBH54" s="113"/>
      <c r="OBI54" s="113"/>
      <c r="OBJ54" s="113"/>
      <c r="OBK54" s="113"/>
      <c r="OBL54" s="113"/>
      <c r="OBM54" s="113"/>
      <c r="OBN54" s="113"/>
      <c r="OBO54" s="113"/>
      <c r="OBP54" s="113"/>
      <c r="OBQ54" s="113"/>
      <c r="OBR54" s="113"/>
      <c r="OBS54" s="113"/>
      <c r="OBT54" s="113"/>
      <c r="OBU54" s="113"/>
      <c r="OBV54" s="113"/>
      <c r="OBW54" s="113"/>
      <c r="OBX54" s="113"/>
      <c r="OBY54" s="113"/>
      <c r="OBZ54" s="113"/>
      <c r="OCA54" s="113"/>
      <c r="OCB54" s="113"/>
      <c r="OCC54" s="113"/>
      <c r="OCD54" s="113"/>
      <c r="OCE54" s="113"/>
      <c r="OCF54" s="113"/>
      <c r="OCG54" s="113"/>
      <c r="OCH54" s="113"/>
      <c r="OCI54" s="113"/>
      <c r="OCJ54" s="113"/>
      <c r="OCK54" s="113"/>
      <c r="OCL54" s="113"/>
      <c r="OCM54" s="113"/>
      <c r="OCN54" s="113"/>
      <c r="OCO54" s="113"/>
      <c r="OCP54" s="113"/>
      <c r="OCQ54" s="113"/>
      <c r="OCR54" s="113"/>
      <c r="OCS54" s="113"/>
      <c r="OCT54" s="113"/>
      <c r="OCU54" s="113"/>
      <c r="OCV54" s="113"/>
      <c r="OCW54" s="113"/>
      <c r="OCX54" s="113"/>
      <c r="OCY54" s="113"/>
      <c r="OCZ54" s="113"/>
      <c r="ODA54" s="113"/>
      <c r="ODB54" s="113"/>
      <c r="ODC54" s="113"/>
      <c r="ODD54" s="113"/>
      <c r="ODE54" s="113"/>
      <c r="ODF54" s="113"/>
      <c r="ODG54" s="113"/>
      <c r="ODH54" s="113"/>
      <c r="ODI54" s="113"/>
      <c r="ODJ54" s="113"/>
      <c r="ODK54" s="113"/>
      <c r="ODL54" s="113"/>
      <c r="ODM54" s="113"/>
      <c r="ODN54" s="113"/>
      <c r="ODO54" s="113"/>
      <c r="ODP54" s="113"/>
      <c r="ODQ54" s="113"/>
      <c r="ODR54" s="113"/>
      <c r="ODS54" s="113"/>
      <c r="ODT54" s="113"/>
      <c r="ODU54" s="113"/>
      <c r="ODV54" s="113"/>
      <c r="ODW54" s="113"/>
      <c r="ODX54" s="113"/>
      <c r="ODY54" s="113"/>
      <c r="ODZ54" s="113"/>
      <c r="OEA54" s="113"/>
      <c r="OEB54" s="113"/>
      <c r="OEC54" s="113"/>
      <c r="OED54" s="113"/>
      <c r="OEE54" s="113"/>
      <c r="OEF54" s="113"/>
      <c r="OEG54" s="113"/>
      <c r="OEH54" s="113"/>
      <c r="OEI54" s="113"/>
      <c r="OEJ54" s="113"/>
      <c r="OEK54" s="113"/>
      <c r="OEL54" s="113"/>
      <c r="OEM54" s="113"/>
      <c r="OEN54" s="113"/>
      <c r="OEO54" s="113"/>
      <c r="OEP54" s="113"/>
      <c r="OEQ54" s="113"/>
      <c r="OER54" s="113"/>
      <c r="OES54" s="113"/>
      <c r="OET54" s="113"/>
      <c r="OEU54" s="113"/>
      <c r="OEV54" s="113"/>
      <c r="OEW54" s="113"/>
      <c r="OEX54" s="113"/>
      <c r="OEY54" s="113"/>
      <c r="OEZ54" s="113"/>
      <c r="OFA54" s="113"/>
      <c r="OFB54" s="113"/>
      <c r="OFC54" s="113"/>
      <c r="OFD54" s="113"/>
      <c r="OFE54" s="113"/>
      <c r="OFF54" s="113"/>
      <c r="OFG54" s="113"/>
      <c r="OFH54" s="113"/>
      <c r="OFI54" s="113"/>
      <c r="OFJ54" s="113"/>
      <c r="OFK54" s="113"/>
      <c r="OFL54" s="113"/>
      <c r="OFM54" s="113"/>
      <c r="OFN54" s="113"/>
      <c r="OFO54" s="113"/>
      <c r="OFP54" s="113"/>
      <c r="OFQ54" s="113"/>
      <c r="OFR54" s="113"/>
      <c r="OFS54" s="113"/>
      <c r="OFT54" s="113"/>
      <c r="OFU54" s="113"/>
      <c r="OFV54" s="113"/>
      <c r="OFW54" s="113"/>
      <c r="OFX54" s="113"/>
      <c r="OFY54" s="113"/>
      <c r="OFZ54" s="113"/>
      <c r="OGA54" s="113"/>
      <c r="OGB54" s="113"/>
      <c r="OGC54" s="113"/>
      <c r="OGD54" s="113"/>
      <c r="OGE54" s="113"/>
      <c r="OGF54" s="113"/>
      <c r="OGG54" s="113"/>
      <c r="OGH54" s="113"/>
      <c r="OGI54" s="113"/>
      <c r="OGJ54" s="113"/>
      <c r="OGK54" s="113"/>
      <c r="OGL54" s="113"/>
      <c r="OGM54" s="113"/>
      <c r="OGN54" s="113"/>
      <c r="OGO54" s="113"/>
      <c r="OGP54" s="113"/>
      <c r="OGQ54" s="113"/>
      <c r="OGR54" s="113"/>
      <c r="OGS54" s="113"/>
      <c r="OGT54" s="113"/>
      <c r="OGU54" s="113"/>
      <c r="OGV54" s="113"/>
      <c r="OGW54" s="113"/>
      <c r="OGX54" s="113"/>
      <c r="OGY54" s="113"/>
      <c r="OGZ54" s="113"/>
      <c r="OHA54" s="113"/>
      <c r="OHB54" s="113"/>
      <c r="OHC54" s="113"/>
      <c r="OHD54" s="113"/>
      <c r="OHE54" s="113"/>
      <c r="OHF54" s="113"/>
      <c r="OHG54" s="113"/>
      <c r="OHH54" s="113"/>
      <c r="OHI54" s="113"/>
      <c r="OHJ54" s="113"/>
      <c r="OHK54" s="113"/>
      <c r="OHL54" s="113"/>
      <c r="OHM54" s="113"/>
      <c r="OHN54" s="113"/>
      <c r="OHO54" s="113"/>
      <c r="OHP54" s="113"/>
      <c r="OHQ54" s="113"/>
      <c r="OHR54" s="113"/>
      <c r="OHS54" s="113"/>
      <c r="OHT54" s="113"/>
      <c r="OHU54" s="113"/>
      <c r="OHV54" s="113"/>
      <c r="OHW54" s="113"/>
      <c r="OHX54" s="113"/>
      <c r="OHY54" s="113"/>
      <c r="OHZ54" s="113"/>
      <c r="OIA54" s="113"/>
      <c r="OIB54" s="113"/>
      <c r="OIC54" s="113"/>
      <c r="OID54" s="113"/>
      <c r="OIE54" s="113"/>
      <c r="OIF54" s="113"/>
      <c r="OIG54" s="113"/>
      <c r="OIH54" s="113"/>
      <c r="OII54" s="113"/>
      <c r="OIJ54" s="113"/>
      <c r="OIK54" s="113"/>
      <c r="OIL54" s="113"/>
      <c r="OIM54" s="113"/>
      <c r="OIN54" s="113"/>
      <c r="OIO54" s="113"/>
      <c r="OIP54" s="113"/>
      <c r="OIQ54" s="113"/>
      <c r="OIR54" s="113"/>
      <c r="OIS54" s="113"/>
      <c r="OIT54" s="113"/>
      <c r="OIU54" s="113"/>
      <c r="OIV54" s="113"/>
      <c r="OIW54" s="113"/>
      <c r="OIX54" s="113"/>
      <c r="OIY54" s="113"/>
      <c r="OIZ54" s="113"/>
      <c r="OJA54" s="113"/>
      <c r="OJB54" s="113"/>
      <c r="OJC54" s="113"/>
      <c r="OJD54" s="113"/>
      <c r="OJE54" s="113"/>
      <c r="OJF54" s="113"/>
      <c r="OJG54" s="113"/>
      <c r="OJH54" s="113"/>
      <c r="OJI54" s="113"/>
      <c r="OJJ54" s="113"/>
      <c r="OJK54" s="113"/>
      <c r="OJL54" s="113"/>
      <c r="OJM54" s="113"/>
      <c r="OJN54" s="113"/>
      <c r="OJO54" s="113"/>
      <c r="OJP54" s="113"/>
      <c r="OJQ54" s="113"/>
      <c r="OJR54" s="113"/>
      <c r="OJS54" s="113"/>
      <c r="OJT54" s="113"/>
      <c r="OJU54" s="113"/>
      <c r="OJV54" s="113"/>
      <c r="OJW54" s="113"/>
      <c r="OJX54" s="113"/>
      <c r="OJY54" s="113"/>
      <c r="OJZ54" s="113"/>
      <c r="OKA54" s="113"/>
      <c r="OKB54" s="113"/>
      <c r="OKC54" s="113"/>
      <c r="OKD54" s="113"/>
      <c r="OKE54" s="113"/>
      <c r="OKF54" s="113"/>
      <c r="OKG54" s="113"/>
      <c r="OKH54" s="113"/>
      <c r="OKI54" s="113"/>
      <c r="OKJ54" s="113"/>
      <c r="OKK54" s="113"/>
      <c r="OKL54" s="113"/>
      <c r="OKM54" s="113"/>
      <c r="OKN54" s="113"/>
      <c r="OKO54" s="113"/>
      <c r="OKP54" s="113"/>
      <c r="OKQ54" s="113"/>
      <c r="OKR54" s="113"/>
      <c r="OKS54" s="113"/>
      <c r="OKT54" s="113"/>
      <c r="OKU54" s="113"/>
      <c r="OKV54" s="113"/>
      <c r="OKW54" s="113"/>
      <c r="OKX54" s="113"/>
      <c r="OKY54" s="113"/>
      <c r="OKZ54" s="113"/>
      <c r="OLA54" s="113"/>
      <c r="OLB54" s="113"/>
      <c r="OLC54" s="113"/>
      <c r="OLD54" s="113"/>
      <c r="OLE54" s="113"/>
      <c r="OLF54" s="113"/>
      <c r="OLG54" s="113"/>
      <c r="OLH54" s="113"/>
      <c r="OLI54" s="113"/>
      <c r="OLJ54" s="113"/>
      <c r="OLK54" s="113"/>
      <c r="OLL54" s="113"/>
      <c r="OLM54" s="113"/>
      <c r="OLN54" s="113"/>
      <c r="OLO54" s="113"/>
      <c r="OLP54" s="113"/>
      <c r="OLQ54" s="113"/>
      <c r="OLR54" s="113"/>
      <c r="OLS54" s="113"/>
      <c r="OLT54" s="113"/>
      <c r="OLU54" s="113"/>
      <c r="OLV54" s="113"/>
      <c r="OLW54" s="113"/>
      <c r="OLX54" s="113"/>
      <c r="OLY54" s="113"/>
      <c r="OLZ54" s="113"/>
      <c r="OMA54" s="113"/>
      <c r="OMB54" s="113"/>
      <c r="OMC54" s="113"/>
      <c r="OMD54" s="113"/>
      <c r="OME54" s="113"/>
      <c r="OMF54" s="113"/>
      <c r="OMG54" s="113"/>
      <c r="OMH54" s="113"/>
      <c r="OMI54" s="113"/>
      <c r="OMJ54" s="113"/>
      <c r="OMK54" s="113"/>
      <c r="OML54" s="113"/>
      <c r="OMM54" s="113"/>
      <c r="OMN54" s="113"/>
      <c r="OMO54" s="113"/>
      <c r="OMP54" s="113"/>
      <c r="OMQ54" s="113"/>
      <c r="OMR54" s="113"/>
      <c r="OMS54" s="113"/>
      <c r="OMT54" s="113"/>
      <c r="OMU54" s="113"/>
      <c r="OMV54" s="113"/>
      <c r="OMW54" s="113"/>
      <c r="OMX54" s="113"/>
      <c r="OMY54" s="113"/>
      <c r="OMZ54" s="113"/>
      <c r="ONA54" s="113"/>
      <c r="ONB54" s="113"/>
      <c r="ONC54" s="113"/>
      <c r="OND54" s="113"/>
      <c r="ONE54" s="113"/>
      <c r="ONF54" s="113"/>
      <c r="ONG54" s="113"/>
      <c r="ONH54" s="113"/>
      <c r="ONI54" s="113"/>
      <c r="ONJ54" s="113"/>
      <c r="ONK54" s="113"/>
      <c r="ONL54" s="113"/>
      <c r="ONM54" s="113"/>
      <c r="ONN54" s="113"/>
      <c r="ONO54" s="113"/>
      <c r="ONP54" s="113"/>
      <c r="ONQ54" s="113"/>
      <c r="ONR54" s="113"/>
      <c r="ONS54" s="113"/>
      <c r="ONT54" s="113"/>
      <c r="ONU54" s="113"/>
      <c r="ONV54" s="113"/>
      <c r="ONW54" s="113"/>
      <c r="ONX54" s="113"/>
      <c r="ONY54" s="113"/>
      <c r="ONZ54" s="113"/>
      <c r="OOA54" s="113"/>
      <c r="OOB54" s="113"/>
      <c r="OOC54" s="113"/>
      <c r="OOD54" s="113"/>
      <c r="OOE54" s="113"/>
      <c r="OOF54" s="113"/>
      <c r="OOG54" s="113"/>
      <c r="OOH54" s="113"/>
      <c r="OOI54" s="113"/>
      <c r="OOJ54" s="113"/>
      <c r="OOK54" s="113"/>
      <c r="OOL54" s="113"/>
      <c r="OOM54" s="113"/>
      <c r="OON54" s="113"/>
      <c r="OOO54" s="113"/>
      <c r="OOP54" s="113"/>
      <c r="OOQ54" s="113"/>
      <c r="OOR54" s="113"/>
      <c r="OOS54" s="113"/>
      <c r="OOT54" s="113"/>
      <c r="OOU54" s="113"/>
      <c r="OOV54" s="113"/>
      <c r="OOW54" s="113"/>
      <c r="OOX54" s="113"/>
      <c r="OOY54" s="113"/>
      <c r="OOZ54" s="113"/>
      <c r="OPA54" s="113"/>
      <c r="OPB54" s="113"/>
      <c r="OPC54" s="113"/>
      <c r="OPD54" s="113"/>
      <c r="OPE54" s="113"/>
      <c r="OPF54" s="113"/>
      <c r="OPG54" s="113"/>
      <c r="OPH54" s="113"/>
      <c r="OPI54" s="113"/>
      <c r="OPJ54" s="113"/>
      <c r="OPK54" s="113"/>
      <c r="OPL54" s="113"/>
      <c r="OPM54" s="113"/>
      <c r="OPN54" s="113"/>
      <c r="OPO54" s="113"/>
      <c r="OPP54" s="113"/>
      <c r="OPQ54" s="113"/>
      <c r="OPR54" s="113"/>
      <c r="OPS54" s="113"/>
      <c r="OPT54" s="113"/>
      <c r="OPU54" s="113"/>
      <c r="OPV54" s="113"/>
      <c r="OPW54" s="113"/>
      <c r="OPX54" s="113"/>
      <c r="OPY54" s="113"/>
      <c r="OPZ54" s="113"/>
      <c r="OQA54" s="113"/>
      <c r="OQB54" s="113"/>
      <c r="OQC54" s="113"/>
      <c r="OQD54" s="113"/>
      <c r="OQE54" s="113"/>
      <c r="OQF54" s="113"/>
      <c r="OQG54" s="113"/>
      <c r="OQH54" s="113"/>
      <c r="OQI54" s="113"/>
      <c r="OQJ54" s="113"/>
      <c r="OQK54" s="113"/>
      <c r="OQL54" s="113"/>
      <c r="OQM54" s="113"/>
      <c r="OQN54" s="113"/>
      <c r="OQO54" s="113"/>
      <c r="OQP54" s="113"/>
      <c r="OQQ54" s="113"/>
      <c r="OQR54" s="113"/>
      <c r="OQS54" s="113"/>
      <c r="OQT54" s="113"/>
      <c r="OQU54" s="113"/>
      <c r="OQV54" s="113"/>
      <c r="OQW54" s="113"/>
      <c r="OQX54" s="113"/>
      <c r="OQY54" s="113"/>
      <c r="OQZ54" s="113"/>
      <c r="ORA54" s="113"/>
      <c r="ORB54" s="113"/>
      <c r="ORC54" s="113"/>
      <c r="ORD54" s="113"/>
      <c r="ORE54" s="113"/>
      <c r="ORF54" s="113"/>
      <c r="ORG54" s="113"/>
      <c r="ORH54" s="113"/>
      <c r="ORI54" s="113"/>
      <c r="ORJ54" s="113"/>
      <c r="ORK54" s="113"/>
      <c r="ORL54" s="113"/>
      <c r="ORM54" s="113"/>
      <c r="ORN54" s="113"/>
      <c r="ORO54" s="113"/>
      <c r="ORP54" s="113"/>
      <c r="ORQ54" s="113"/>
      <c r="ORR54" s="113"/>
      <c r="ORS54" s="113"/>
      <c r="ORT54" s="113"/>
      <c r="ORU54" s="113"/>
      <c r="ORV54" s="113"/>
      <c r="ORW54" s="113"/>
      <c r="ORX54" s="113"/>
      <c r="ORY54" s="113"/>
      <c r="ORZ54" s="113"/>
      <c r="OSA54" s="113"/>
      <c r="OSB54" s="113"/>
      <c r="OSC54" s="113"/>
      <c r="OSD54" s="113"/>
      <c r="OSE54" s="113"/>
      <c r="OSF54" s="113"/>
      <c r="OSG54" s="113"/>
      <c r="OSH54" s="113"/>
      <c r="OSI54" s="113"/>
      <c r="OSJ54" s="113"/>
      <c r="OSK54" s="113"/>
      <c r="OSL54" s="113"/>
      <c r="OSM54" s="113"/>
      <c r="OSN54" s="113"/>
      <c r="OSO54" s="113"/>
      <c r="OSP54" s="113"/>
      <c r="OSQ54" s="113"/>
      <c r="OSR54" s="113"/>
      <c r="OSS54" s="113"/>
      <c r="OST54" s="113"/>
      <c r="OSU54" s="113"/>
      <c r="OSV54" s="113"/>
      <c r="OSW54" s="113"/>
      <c r="OSX54" s="113"/>
      <c r="OSY54" s="113"/>
      <c r="OSZ54" s="113"/>
      <c r="OTA54" s="113"/>
      <c r="OTB54" s="113"/>
      <c r="OTC54" s="113"/>
      <c r="OTD54" s="113"/>
      <c r="OTE54" s="113"/>
      <c r="OTF54" s="113"/>
      <c r="OTG54" s="113"/>
      <c r="OTH54" s="113"/>
      <c r="OTI54" s="113"/>
      <c r="OTJ54" s="113"/>
      <c r="OTK54" s="113"/>
      <c r="OTL54" s="113"/>
      <c r="OTM54" s="113"/>
      <c r="OTN54" s="113"/>
      <c r="OTO54" s="113"/>
      <c r="OTP54" s="113"/>
      <c r="OTQ54" s="113"/>
      <c r="OTR54" s="113"/>
      <c r="OTS54" s="113"/>
      <c r="OTT54" s="113"/>
      <c r="OTU54" s="113"/>
      <c r="OTV54" s="113"/>
      <c r="OTW54" s="113"/>
      <c r="OTX54" s="113"/>
      <c r="OTY54" s="113"/>
      <c r="OTZ54" s="113"/>
      <c r="OUA54" s="113"/>
      <c r="OUB54" s="113"/>
      <c r="OUC54" s="113"/>
      <c r="OUD54" s="113"/>
      <c r="OUE54" s="113"/>
      <c r="OUF54" s="113"/>
      <c r="OUG54" s="113"/>
      <c r="OUH54" s="113"/>
      <c r="OUI54" s="113"/>
      <c r="OUJ54" s="113"/>
      <c r="OUK54" s="113"/>
      <c r="OUL54" s="113"/>
      <c r="OUM54" s="113"/>
      <c r="OUN54" s="113"/>
      <c r="OUO54" s="113"/>
      <c r="OUP54" s="113"/>
      <c r="OUQ54" s="113"/>
      <c r="OUR54" s="113"/>
      <c r="OUS54" s="113"/>
      <c r="OUT54" s="113"/>
      <c r="OUU54" s="113"/>
      <c r="OUV54" s="113"/>
      <c r="OUW54" s="113"/>
      <c r="OUX54" s="113"/>
      <c r="OUY54" s="113"/>
      <c r="OUZ54" s="113"/>
      <c r="OVA54" s="113"/>
      <c r="OVB54" s="113"/>
      <c r="OVC54" s="113"/>
      <c r="OVD54" s="113"/>
      <c r="OVE54" s="113"/>
      <c r="OVF54" s="113"/>
      <c r="OVG54" s="113"/>
      <c r="OVH54" s="113"/>
      <c r="OVI54" s="113"/>
      <c r="OVJ54" s="113"/>
      <c r="OVK54" s="113"/>
      <c r="OVL54" s="113"/>
      <c r="OVM54" s="113"/>
      <c r="OVN54" s="113"/>
      <c r="OVO54" s="113"/>
      <c r="OVP54" s="113"/>
      <c r="OVQ54" s="113"/>
      <c r="OVR54" s="113"/>
      <c r="OVS54" s="113"/>
      <c r="OVT54" s="113"/>
      <c r="OVU54" s="113"/>
      <c r="OVV54" s="113"/>
      <c r="OVW54" s="113"/>
      <c r="OVX54" s="113"/>
      <c r="OVY54" s="113"/>
      <c r="OVZ54" s="113"/>
      <c r="OWA54" s="113"/>
      <c r="OWB54" s="113"/>
      <c r="OWC54" s="113"/>
      <c r="OWD54" s="113"/>
      <c r="OWE54" s="113"/>
      <c r="OWF54" s="113"/>
      <c r="OWG54" s="113"/>
      <c r="OWH54" s="113"/>
      <c r="OWI54" s="113"/>
      <c r="OWJ54" s="113"/>
      <c r="OWK54" s="113"/>
      <c r="OWL54" s="113"/>
      <c r="OWM54" s="113"/>
      <c r="OWN54" s="113"/>
      <c r="OWO54" s="113"/>
      <c r="OWP54" s="113"/>
      <c r="OWQ54" s="113"/>
      <c r="OWR54" s="113"/>
      <c r="OWS54" s="113"/>
      <c r="OWT54" s="113"/>
      <c r="OWU54" s="113"/>
      <c r="OWV54" s="113"/>
      <c r="OWW54" s="113"/>
      <c r="OWX54" s="113"/>
      <c r="OWY54" s="113"/>
      <c r="OWZ54" s="113"/>
      <c r="OXA54" s="113"/>
      <c r="OXB54" s="113"/>
      <c r="OXC54" s="113"/>
      <c r="OXD54" s="113"/>
      <c r="OXE54" s="113"/>
      <c r="OXF54" s="113"/>
      <c r="OXG54" s="113"/>
      <c r="OXH54" s="113"/>
      <c r="OXI54" s="113"/>
      <c r="OXJ54" s="113"/>
      <c r="OXK54" s="113"/>
      <c r="OXL54" s="113"/>
      <c r="OXM54" s="113"/>
      <c r="OXN54" s="113"/>
      <c r="OXO54" s="113"/>
      <c r="OXP54" s="113"/>
      <c r="OXQ54" s="113"/>
      <c r="OXR54" s="113"/>
      <c r="OXS54" s="113"/>
      <c r="OXT54" s="113"/>
      <c r="OXU54" s="113"/>
      <c r="OXV54" s="113"/>
      <c r="OXW54" s="113"/>
      <c r="OXX54" s="113"/>
      <c r="OXY54" s="113"/>
      <c r="OXZ54" s="113"/>
      <c r="OYA54" s="113"/>
      <c r="OYB54" s="113"/>
      <c r="OYC54" s="113"/>
      <c r="OYD54" s="113"/>
      <c r="OYE54" s="113"/>
      <c r="OYF54" s="113"/>
      <c r="OYG54" s="113"/>
      <c r="OYH54" s="113"/>
      <c r="OYI54" s="113"/>
      <c r="OYJ54" s="113"/>
      <c r="OYK54" s="113"/>
      <c r="OYL54" s="113"/>
      <c r="OYM54" s="113"/>
      <c r="OYN54" s="113"/>
      <c r="OYO54" s="113"/>
      <c r="OYP54" s="113"/>
      <c r="OYQ54" s="113"/>
      <c r="OYR54" s="113"/>
      <c r="OYS54" s="113"/>
      <c r="OYT54" s="113"/>
      <c r="OYU54" s="113"/>
      <c r="OYV54" s="113"/>
      <c r="OYW54" s="113"/>
      <c r="OYX54" s="113"/>
      <c r="OYY54" s="113"/>
      <c r="OYZ54" s="113"/>
      <c r="OZA54" s="113"/>
      <c r="OZB54" s="113"/>
      <c r="OZC54" s="113"/>
      <c r="OZD54" s="113"/>
      <c r="OZE54" s="113"/>
      <c r="OZF54" s="113"/>
      <c r="OZG54" s="113"/>
      <c r="OZH54" s="113"/>
      <c r="OZI54" s="113"/>
      <c r="OZJ54" s="113"/>
      <c r="OZK54" s="113"/>
      <c r="OZL54" s="113"/>
      <c r="OZM54" s="113"/>
      <c r="OZN54" s="113"/>
      <c r="OZO54" s="113"/>
      <c r="OZP54" s="113"/>
      <c r="OZQ54" s="113"/>
      <c r="OZR54" s="113"/>
      <c r="OZS54" s="113"/>
      <c r="OZT54" s="113"/>
      <c r="OZU54" s="113"/>
      <c r="OZV54" s="113"/>
      <c r="OZW54" s="113"/>
      <c r="OZX54" s="113"/>
      <c r="OZY54" s="113"/>
      <c r="OZZ54" s="113"/>
      <c r="PAA54" s="113"/>
      <c r="PAB54" s="113"/>
      <c r="PAC54" s="113"/>
      <c r="PAD54" s="113"/>
      <c r="PAE54" s="113"/>
      <c r="PAF54" s="113"/>
      <c r="PAG54" s="113"/>
      <c r="PAH54" s="113"/>
      <c r="PAI54" s="113"/>
      <c r="PAJ54" s="113"/>
      <c r="PAK54" s="113"/>
      <c r="PAL54" s="113"/>
      <c r="PAM54" s="113"/>
      <c r="PAN54" s="113"/>
      <c r="PAO54" s="113"/>
      <c r="PAP54" s="113"/>
      <c r="PAQ54" s="113"/>
      <c r="PAR54" s="113"/>
      <c r="PAS54" s="113"/>
      <c r="PAT54" s="113"/>
      <c r="PAU54" s="113"/>
      <c r="PAV54" s="113"/>
      <c r="PAW54" s="113"/>
      <c r="PAX54" s="113"/>
      <c r="PAY54" s="113"/>
      <c r="PAZ54" s="113"/>
      <c r="PBA54" s="113"/>
      <c r="PBB54" s="113"/>
      <c r="PBC54" s="113"/>
      <c r="PBD54" s="113"/>
      <c r="PBE54" s="113"/>
      <c r="PBF54" s="113"/>
      <c r="PBG54" s="113"/>
      <c r="PBH54" s="113"/>
      <c r="PBI54" s="113"/>
      <c r="PBJ54" s="113"/>
      <c r="PBK54" s="113"/>
      <c r="PBL54" s="113"/>
      <c r="PBM54" s="113"/>
      <c r="PBN54" s="113"/>
      <c r="PBO54" s="113"/>
      <c r="PBP54" s="113"/>
      <c r="PBQ54" s="113"/>
      <c r="PBR54" s="113"/>
      <c r="PBS54" s="113"/>
      <c r="PBT54" s="113"/>
      <c r="PBU54" s="113"/>
      <c r="PBV54" s="113"/>
      <c r="PBW54" s="113"/>
      <c r="PBX54" s="113"/>
      <c r="PBY54" s="113"/>
      <c r="PBZ54" s="113"/>
      <c r="PCA54" s="113"/>
      <c r="PCB54" s="113"/>
      <c r="PCC54" s="113"/>
      <c r="PCD54" s="113"/>
      <c r="PCE54" s="113"/>
      <c r="PCF54" s="113"/>
      <c r="PCG54" s="113"/>
      <c r="PCH54" s="113"/>
      <c r="PCI54" s="113"/>
      <c r="PCJ54" s="113"/>
      <c r="PCK54" s="113"/>
      <c r="PCL54" s="113"/>
      <c r="PCM54" s="113"/>
      <c r="PCN54" s="113"/>
      <c r="PCO54" s="113"/>
      <c r="PCP54" s="113"/>
      <c r="PCQ54" s="113"/>
      <c r="PCR54" s="113"/>
      <c r="PCS54" s="113"/>
      <c r="PCT54" s="113"/>
      <c r="PCU54" s="113"/>
      <c r="PCV54" s="113"/>
      <c r="PCW54" s="113"/>
      <c r="PCX54" s="113"/>
      <c r="PCY54" s="113"/>
      <c r="PCZ54" s="113"/>
      <c r="PDA54" s="113"/>
      <c r="PDB54" s="113"/>
      <c r="PDC54" s="113"/>
      <c r="PDD54" s="113"/>
      <c r="PDE54" s="113"/>
      <c r="PDF54" s="113"/>
      <c r="PDG54" s="113"/>
      <c r="PDH54" s="113"/>
      <c r="PDI54" s="113"/>
      <c r="PDJ54" s="113"/>
      <c r="PDK54" s="113"/>
      <c r="PDL54" s="113"/>
      <c r="PDM54" s="113"/>
      <c r="PDN54" s="113"/>
      <c r="PDO54" s="113"/>
      <c r="PDP54" s="113"/>
      <c r="PDQ54" s="113"/>
      <c r="PDR54" s="113"/>
      <c r="PDS54" s="113"/>
      <c r="PDT54" s="113"/>
      <c r="PDU54" s="113"/>
      <c r="PDV54" s="113"/>
      <c r="PDW54" s="113"/>
      <c r="PDX54" s="113"/>
      <c r="PDY54" s="113"/>
      <c r="PDZ54" s="113"/>
      <c r="PEA54" s="113"/>
      <c r="PEB54" s="113"/>
      <c r="PEC54" s="113"/>
      <c r="PED54" s="113"/>
      <c r="PEE54" s="113"/>
      <c r="PEF54" s="113"/>
      <c r="PEG54" s="113"/>
      <c r="PEH54" s="113"/>
      <c r="PEI54" s="113"/>
      <c r="PEJ54" s="113"/>
      <c r="PEK54" s="113"/>
      <c r="PEL54" s="113"/>
      <c r="PEM54" s="113"/>
      <c r="PEN54" s="113"/>
      <c r="PEO54" s="113"/>
      <c r="PEP54" s="113"/>
      <c r="PEQ54" s="113"/>
      <c r="PER54" s="113"/>
      <c r="PES54" s="113"/>
      <c r="PET54" s="113"/>
      <c r="PEU54" s="113"/>
      <c r="PEV54" s="113"/>
      <c r="PEW54" s="113"/>
      <c r="PEX54" s="113"/>
      <c r="PEY54" s="113"/>
      <c r="PEZ54" s="113"/>
      <c r="PFA54" s="113"/>
      <c r="PFB54" s="113"/>
      <c r="PFC54" s="113"/>
      <c r="PFD54" s="113"/>
      <c r="PFE54" s="113"/>
      <c r="PFF54" s="113"/>
      <c r="PFG54" s="113"/>
      <c r="PFH54" s="113"/>
      <c r="PFI54" s="113"/>
      <c r="PFJ54" s="113"/>
      <c r="PFK54" s="113"/>
      <c r="PFL54" s="113"/>
      <c r="PFM54" s="113"/>
      <c r="PFN54" s="113"/>
      <c r="PFO54" s="113"/>
      <c r="PFP54" s="113"/>
      <c r="PFQ54" s="113"/>
      <c r="PFR54" s="113"/>
      <c r="PFS54" s="113"/>
      <c r="PFT54" s="113"/>
      <c r="PFU54" s="113"/>
      <c r="PFV54" s="113"/>
      <c r="PFW54" s="113"/>
      <c r="PFX54" s="113"/>
      <c r="PFY54" s="113"/>
      <c r="PFZ54" s="113"/>
      <c r="PGA54" s="113"/>
      <c r="PGB54" s="113"/>
      <c r="PGC54" s="113"/>
      <c r="PGD54" s="113"/>
      <c r="PGE54" s="113"/>
      <c r="PGF54" s="113"/>
      <c r="PGG54" s="113"/>
      <c r="PGH54" s="113"/>
      <c r="PGI54" s="113"/>
      <c r="PGJ54" s="113"/>
      <c r="PGK54" s="113"/>
      <c r="PGL54" s="113"/>
      <c r="PGM54" s="113"/>
      <c r="PGN54" s="113"/>
      <c r="PGO54" s="113"/>
      <c r="PGP54" s="113"/>
      <c r="PGQ54" s="113"/>
      <c r="PGR54" s="113"/>
      <c r="PGS54" s="113"/>
      <c r="PGT54" s="113"/>
      <c r="PGU54" s="113"/>
      <c r="PGV54" s="113"/>
      <c r="PGW54" s="113"/>
      <c r="PGX54" s="113"/>
      <c r="PGY54" s="113"/>
      <c r="PGZ54" s="113"/>
      <c r="PHA54" s="113"/>
      <c r="PHB54" s="113"/>
      <c r="PHC54" s="113"/>
      <c r="PHD54" s="113"/>
      <c r="PHE54" s="113"/>
      <c r="PHF54" s="113"/>
      <c r="PHG54" s="113"/>
      <c r="PHH54" s="113"/>
      <c r="PHI54" s="113"/>
      <c r="PHJ54" s="113"/>
      <c r="PHK54" s="113"/>
      <c r="PHL54" s="113"/>
      <c r="PHM54" s="113"/>
      <c r="PHN54" s="113"/>
      <c r="PHO54" s="113"/>
      <c r="PHP54" s="113"/>
      <c r="PHQ54" s="113"/>
      <c r="PHR54" s="113"/>
      <c r="PHS54" s="113"/>
      <c r="PHT54" s="113"/>
      <c r="PHU54" s="113"/>
      <c r="PHV54" s="113"/>
      <c r="PHW54" s="113"/>
      <c r="PHX54" s="113"/>
      <c r="PHY54" s="113"/>
      <c r="PHZ54" s="113"/>
      <c r="PIA54" s="113"/>
      <c r="PIB54" s="113"/>
      <c r="PIC54" s="113"/>
      <c r="PID54" s="113"/>
      <c r="PIE54" s="113"/>
      <c r="PIF54" s="113"/>
      <c r="PIG54" s="113"/>
      <c r="PIH54" s="113"/>
      <c r="PII54" s="113"/>
      <c r="PIJ54" s="113"/>
      <c r="PIK54" s="113"/>
      <c r="PIL54" s="113"/>
      <c r="PIM54" s="113"/>
      <c r="PIN54" s="113"/>
      <c r="PIO54" s="113"/>
      <c r="PIP54" s="113"/>
      <c r="PIQ54" s="113"/>
      <c r="PIR54" s="113"/>
      <c r="PIS54" s="113"/>
      <c r="PIT54" s="113"/>
      <c r="PIU54" s="113"/>
      <c r="PIV54" s="113"/>
      <c r="PIW54" s="113"/>
      <c r="PIX54" s="113"/>
      <c r="PIY54" s="113"/>
      <c r="PIZ54" s="113"/>
      <c r="PJA54" s="113"/>
      <c r="PJB54" s="113"/>
      <c r="PJC54" s="113"/>
      <c r="PJD54" s="113"/>
      <c r="PJE54" s="113"/>
      <c r="PJF54" s="113"/>
      <c r="PJG54" s="113"/>
      <c r="PJH54" s="113"/>
      <c r="PJI54" s="113"/>
      <c r="PJJ54" s="113"/>
      <c r="PJK54" s="113"/>
      <c r="PJL54" s="113"/>
      <c r="PJM54" s="113"/>
      <c r="PJN54" s="113"/>
      <c r="PJO54" s="113"/>
      <c r="PJP54" s="113"/>
      <c r="PJQ54" s="113"/>
      <c r="PJR54" s="113"/>
      <c r="PJS54" s="113"/>
      <c r="PJT54" s="113"/>
      <c r="PJU54" s="113"/>
      <c r="PJV54" s="113"/>
      <c r="PJW54" s="113"/>
      <c r="PJX54" s="113"/>
      <c r="PJY54" s="113"/>
      <c r="PJZ54" s="113"/>
      <c r="PKA54" s="113"/>
      <c r="PKB54" s="113"/>
      <c r="PKC54" s="113"/>
      <c r="PKD54" s="113"/>
      <c r="PKE54" s="113"/>
      <c r="PKF54" s="113"/>
      <c r="PKG54" s="113"/>
      <c r="PKH54" s="113"/>
      <c r="PKI54" s="113"/>
      <c r="PKJ54" s="113"/>
      <c r="PKK54" s="113"/>
      <c r="PKL54" s="113"/>
      <c r="PKM54" s="113"/>
      <c r="PKN54" s="113"/>
      <c r="PKO54" s="113"/>
      <c r="PKP54" s="113"/>
      <c r="PKQ54" s="113"/>
      <c r="PKR54" s="113"/>
      <c r="PKS54" s="113"/>
      <c r="PKT54" s="113"/>
      <c r="PKU54" s="113"/>
      <c r="PKV54" s="113"/>
      <c r="PKW54" s="113"/>
      <c r="PKX54" s="113"/>
      <c r="PKY54" s="113"/>
      <c r="PKZ54" s="113"/>
      <c r="PLA54" s="113"/>
      <c r="PLB54" s="113"/>
      <c r="PLC54" s="113"/>
      <c r="PLD54" s="113"/>
      <c r="PLE54" s="113"/>
      <c r="PLF54" s="113"/>
      <c r="PLG54" s="113"/>
      <c r="PLH54" s="113"/>
      <c r="PLI54" s="113"/>
      <c r="PLJ54" s="113"/>
      <c r="PLK54" s="113"/>
      <c r="PLL54" s="113"/>
      <c r="PLM54" s="113"/>
      <c r="PLN54" s="113"/>
      <c r="PLO54" s="113"/>
      <c r="PLP54" s="113"/>
      <c r="PLQ54" s="113"/>
      <c r="PLR54" s="113"/>
      <c r="PLS54" s="113"/>
      <c r="PLT54" s="113"/>
      <c r="PLU54" s="113"/>
      <c r="PLV54" s="113"/>
      <c r="PLW54" s="113"/>
      <c r="PLX54" s="113"/>
      <c r="PLY54" s="113"/>
      <c r="PLZ54" s="113"/>
      <c r="PMA54" s="113"/>
      <c r="PMB54" s="113"/>
      <c r="PMC54" s="113"/>
      <c r="PMD54" s="113"/>
      <c r="PME54" s="113"/>
      <c r="PMF54" s="113"/>
      <c r="PMG54" s="113"/>
      <c r="PMH54" s="113"/>
      <c r="PMI54" s="113"/>
      <c r="PMJ54" s="113"/>
      <c r="PMK54" s="113"/>
      <c r="PML54" s="113"/>
      <c r="PMM54" s="113"/>
      <c r="PMN54" s="113"/>
      <c r="PMO54" s="113"/>
      <c r="PMP54" s="113"/>
      <c r="PMQ54" s="113"/>
      <c r="PMR54" s="113"/>
      <c r="PMS54" s="113"/>
      <c r="PMT54" s="113"/>
      <c r="PMU54" s="113"/>
      <c r="PMV54" s="113"/>
      <c r="PMW54" s="113"/>
      <c r="PMX54" s="113"/>
      <c r="PMY54" s="113"/>
      <c r="PMZ54" s="113"/>
      <c r="PNA54" s="113"/>
      <c r="PNB54" s="113"/>
      <c r="PNC54" s="113"/>
      <c r="PND54" s="113"/>
      <c r="PNE54" s="113"/>
      <c r="PNF54" s="113"/>
      <c r="PNG54" s="113"/>
      <c r="PNH54" s="113"/>
      <c r="PNI54" s="113"/>
      <c r="PNJ54" s="113"/>
      <c r="PNK54" s="113"/>
      <c r="PNL54" s="113"/>
      <c r="PNM54" s="113"/>
      <c r="PNN54" s="113"/>
      <c r="PNO54" s="113"/>
      <c r="PNP54" s="113"/>
      <c r="PNQ54" s="113"/>
      <c r="PNR54" s="113"/>
      <c r="PNS54" s="113"/>
      <c r="PNT54" s="113"/>
      <c r="PNU54" s="113"/>
      <c r="PNV54" s="113"/>
      <c r="PNW54" s="113"/>
      <c r="PNX54" s="113"/>
      <c r="PNY54" s="113"/>
      <c r="PNZ54" s="113"/>
      <c r="POA54" s="113"/>
      <c r="POB54" s="113"/>
      <c r="POC54" s="113"/>
      <c r="POD54" s="113"/>
      <c r="POE54" s="113"/>
      <c r="POF54" s="113"/>
      <c r="POG54" s="113"/>
      <c r="POH54" s="113"/>
      <c r="POI54" s="113"/>
      <c r="POJ54" s="113"/>
      <c r="POK54" s="113"/>
      <c r="POL54" s="113"/>
      <c r="POM54" s="113"/>
      <c r="PON54" s="113"/>
      <c r="POO54" s="113"/>
      <c r="POP54" s="113"/>
      <c r="POQ54" s="113"/>
      <c r="POR54" s="113"/>
      <c r="POS54" s="113"/>
      <c r="POT54" s="113"/>
      <c r="POU54" s="113"/>
      <c r="POV54" s="113"/>
      <c r="POW54" s="113"/>
      <c r="POX54" s="113"/>
      <c r="POY54" s="113"/>
      <c r="POZ54" s="113"/>
      <c r="PPA54" s="113"/>
      <c r="PPB54" s="113"/>
      <c r="PPC54" s="113"/>
      <c r="PPD54" s="113"/>
      <c r="PPE54" s="113"/>
      <c r="PPF54" s="113"/>
      <c r="PPG54" s="113"/>
      <c r="PPH54" s="113"/>
      <c r="PPI54" s="113"/>
      <c r="PPJ54" s="113"/>
      <c r="PPK54" s="113"/>
      <c r="PPL54" s="113"/>
      <c r="PPM54" s="113"/>
      <c r="PPN54" s="113"/>
      <c r="PPO54" s="113"/>
      <c r="PPP54" s="113"/>
      <c r="PPQ54" s="113"/>
      <c r="PPR54" s="113"/>
      <c r="PPS54" s="113"/>
      <c r="PPT54" s="113"/>
      <c r="PPU54" s="113"/>
      <c r="PPV54" s="113"/>
      <c r="PPW54" s="113"/>
      <c r="PPX54" s="113"/>
      <c r="PPY54" s="113"/>
      <c r="PPZ54" s="113"/>
      <c r="PQA54" s="113"/>
      <c r="PQB54" s="113"/>
      <c r="PQC54" s="113"/>
      <c r="PQD54" s="113"/>
      <c r="PQE54" s="113"/>
      <c r="PQF54" s="113"/>
      <c r="PQG54" s="113"/>
      <c r="PQH54" s="113"/>
      <c r="PQI54" s="113"/>
      <c r="PQJ54" s="113"/>
      <c r="PQK54" s="113"/>
      <c r="PQL54" s="113"/>
      <c r="PQM54" s="113"/>
      <c r="PQN54" s="113"/>
      <c r="PQO54" s="113"/>
      <c r="PQP54" s="113"/>
      <c r="PQQ54" s="113"/>
      <c r="PQR54" s="113"/>
      <c r="PQS54" s="113"/>
      <c r="PQT54" s="113"/>
      <c r="PQU54" s="113"/>
      <c r="PQV54" s="113"/>
      <c r="PQW54" s="113"/>
      <c r="PQX54" s="113"/>
      <c r="PQY54" s="113"/>
      <c r="PQZ54" s="113"/>
      <c r="PRA54" s="113"/>
      <c r="PRB54" s="113"/>
      <c r="PRC54" s="113"/>
      <c r="PRD54" s="113"/>
      <c r="PRE54" s="113"/>
      <c r="PRF54" s="113"/>
      <c r="PRG54" s="113"/>
      <c r="PRH54" s="113"/>
      <c r="PRI54" s="113"/>
      <c r="PRJ54" s="113"/>
      <c r="PRK54" s="113"/>
      <c r="PRL54" s="113"/>
      <c r="PRM54" s="113"/>
      <c r="PRN54" s="113"/>
      <c r="PRO54" s="113"/>
      <c r="PRP54" s="113"/>
      <c r="PRQ54" s="113"/>
      <c r="PRR54" s="113"/>
      <c r="PRS54" s="113"/>
      <c r="PRT54" s="113"/>
      <c r="PRU54" s="113"/>
      <c r="PRV54" s="113"/>
      <c r="PRW54" s="113"/>
      <c r="PRX54" s="113"/>
      <c r="PRY54" s="113"/>
      <c r="PRZ54" s="113"/>
      <c r="PSA54" s="113"/>
      <c r="PSB54" s="113"/>
      <c r="PSC54" s="113"/>
      <c r="PSD54" s="113"/>
      <c r="PSE54" s="113"/>
      <c r="PSF54" s="113"/>
      <c r="PSG54" s="113"/>
      <c r="PSH54" s="113"/>
      <c r="PSI54" s="113"/>
      <c r="PSJ54" s="113"/>
      <c r="PSK54" s="113"/>
      <c r="PSL54" s="113"/>
      <c r="PSM54" s="113"/>
      <c r="PSN54" s="113"/>
      <c r="PSO54" s="113"/>
      <c r="PSP54" s="113"/>
      <c r="PSQ54" s="113"/>
      <c r="PSR54" s="113"/>
      <c r="PSS54" s="113"/>
      <c r="PST54" s="113"/>
      <c r="PSU54" s="113"/>
      <c r="PSV54" s="113"/>
      <c r="PSW54" s="113"/>
      <c r="PSX54" s="113"/>
      <c r="PSY54" s="113"/>
      <c r="PSZ54" s="113"/>
      <c r="PTA54" s="113"/>
      <c r="PTB54" s="113"/>
      <c r="PTC54" s="113"/>
      <c r="PTD54" s="113"/>
      <c r="PTE54" s="113"/>
      <c r="PTF54" s="113"/>
      <c r="PTG54" s="113"/>
      <c r="PTH54" s="113"/>
      <c r="PTI54" s="113"/>
      <c r="PTJ54" s="113"/>
      <c r="PTK54" s="113"/>
      <c r="PTL54" s="113"/>
      <c r="PTM54" s="113"/>
      <c r="PTN54" s="113"/>
      <c r="PTO54" s="113"/>
      <c r="PTP54" s="113"/>
      <c r="PTQ54" s="113"/>
      <c r="PTR54" s="113"/>
      <c r="PTS54" s="113"/>
      <c r="PTT54" s="113"/>
      <c r="PTU54" s="113"/>
      <c r="PTV54" s="113"/>
      <c r="PTW54" s="113"/>
      <c r="PTX54" s="113"/>
      <c r="PTY54" s="113"/>
      <c r="PTZ54" s="113"/>
      <c r="PUA54" s="113"/>
      <c r="PUB54" s="113"/>
      <c r="PUC54" s="113"/>
      <c r="PUD54" s="113"/>
      <c r="PUE54" s="113"/>
      <c r="PUF54" s="113"/>
      <c r="PUG54" s="113"/>
      <c r="PUH54" s="113"/>
      <c r="PUI54" s="113"/>
      <c r="PUJ54" s="113"/>
      <c r="PUK54" s="113"/>
      <c r="PUL54" s="113"/>
      <c r="PUM54" s="113"/>
      <c r="PUN54" s="113"/>
      <c r="PUO54" s="113"/>
      <c r="PUP54" s="113"/>
      <c r="PUQ54" s="113"/>
      <c r="PUR54" s="113"/>
      <c r="PUS54" s="113"/>
      <c r="PUT54" s="113"/>
      <c r="PUU54" s="113"/>
      <c r="PUV54" s="113"/>
      <c r="PUW54" s="113"/>
      <c r="PUX54" s="113"/>
      <c r="PUY54" s="113"/>
      <c r="PUZ54" s="113"/>
      <c r="PVA54" s="113"/>
      <c r="PVB54" s="113"/>
      <c r="PVC54" s="113"/>
      <c r="PVD54" s="113"/>
      <c r="PVE54" s="113"/>
      <c r="PVF54" s="113"/>
      <c r="PVG54" s="113"/>
      <c r="PVH54" s="113"/>
      <c r="PVI54" s="113"/>
      <c r="PVJ54" s="113"/>
      <c r="PVK54" s="113"/>
      <c r="PVL54" s="113"/>
      <c r="PVM54" s="113"/>
      <c r="PVN54" s="113"/>
      <c r="PVO54" s="113"/>
      <c r="PVP54" s="113"/>
      <c r="PVQ54" s="113"/>
      <c r="PVR54" s="113"/>
      <c r="PVS54" s="113"/>
      <c r="PVT54" s="113"/>
      <c r="PVU54" s="113"/>
      <c r="PVV54" s="113"/>
      <c r="PVW54" s="113"/>
      <c r="PVX54" s="113"/>
      <c r="PVY54" s="113"/>
      <c r="PVZ54" s="113"/>
      <c r="PWA54" s="113"/>
      <c r="PWB54" s="113"/>
      <c r="PWC54" s="113"/>
      <c r="PWD54" s="113"/>
      <c r="PWE54" s="113"/>
      <c r="PWF54" s="113"/>
      <c r="PWG54" s="113"/>
      <c r="PWH54" s="113"/>
      <c r="PWI54" s="113"/>
      <c r="PWJ54" s="113"/>
      <c r="PWK54" s="113"/>
      <c r="PWL54" s="113"/>
      <c r="PWM54" s="113"/>
      <c r="PWN54" s="113"/>
      <c r="PWO54" s="113"/>
      <c r="PWP54" s="113"/>
      <c r="PWQ54" s="113"/>
      <c r="PWR54" s="113"/>
      <c r="PWS54" s="113"/>
      <c r="PWT54" s="113"/>
      <c r="PWU54" s="113"/>
      <c r="PWV54" s="113"/>
      <c r="PWW54" s="113"/>
      <c r="PWX54" s="113"/>
      <c r="PWY54" s="113"/>
      <c r="PWZ54" s="113"/>
      <c r="PXA54" s="113"/>
      <c r="PXB54" s="113"/>
      <c r="PXC54" s="113"/>
      <c r="PXD54" s="113"/>
      <c r="PXE54" s="113"/>
      <c r="PXF54" s="113"/>
      <c r="PXG54" s="113"/>
      <c r="PXH54" s="113"/>
      <c r="PXI54" s="113"/>
      <c r="PXJ54" s="113"/>
      <c r="PXK54" s="113"/>
      <c r="PXL54" s="113"/>
      <c r="PXM54" s="113"/>
      <c r="PXN54" s="113"/>
      <c r="PXO54" s="113"/>
      <c r="PXP54" s="113"/>
      <c r="PXQ54" s="113"/>
      <c r="PXR54" s="113"/>
      <c r="PXS54" s="113"/>
      <c r="PXT54" s="113"/>
      <c r="PXU54" s="113"/>
      <c r="PXV54" s="113"/>
      <c r="PXW54" s="113"/>
      <c r="PXX54" s="113"/>
      <c r="PXY54" s="113"/>
      <c r="PXZ54" s="113"/>
      <c r="PYA54" s="113"/>
      <c r="PYB54" s="113"/>
      <c r="PYC54" s="113"/>
      <c r="PYD54" s="113"/>
      <c r="PYE54" s="113"/>
      <c r="PYF54" s="113"/>
      <c r="PYG54" s="113"/>
      <c r="PYH54" s="113"/>
      <c r="PYI54" s="113"/>
      <c r="PYJ54" s="113"/>
      <c r="PYK54" s="113"/>
      <c r="PYL54" s="113"/>
      <c r="PYM54" s="113"/>
      <c r="PYN54" s="113"/>
      <c r="PYO54" s="113"/>
      <c r="PYP54" s="113"/>
      <c r="PYQ54" s="113"/>
      <c r="PYR54" s="113"/>
      <c r="PYS54" s="113"/>
      <c r="PYT54" s="113"/>
      <c r="PYU54" s="113"/>
      <c r="PYV54" s="113"/>
      <c r="PYW54" s="113"/>
      <c r="PYX54" s="113"/>
      <c r="PYY54" s="113"/>
      <c r="PYZ54" s="113"/>
      <c r="PZA54" s="113"/>
      <c r="PZB54" s="113"/>
      <c r="PZC54" s="113"/>
      <c r="PZD54" s="113"/>
      <c r="PZE54" s="113"/>
      <c r="PZF54" s="113"/>
      <c r="PZG54" s="113"/>
      <c r="PZH54" s="113"/>
      <c r="PZI54" s="113"/>
      <c r="PZJ54" s="113"/>
      <c r="PZK54" s="113"/>
      <c r="PZL54" s="113"/>
      <c r="PZM54" s="113"/>
      <c r="PZN54" s="113"/>
      <c r="PZO54" s="113"/>
      <c r="PZP54" s="113"/>
      <c r="PZQ54" s="113"/>
      <c r="PZR54" s="113"/>
      <c r="PZS54" s="113"/>
      <c r="PZT54" s="113"/>
      <c r="PZU54" s="113"/>
      <c r="PZV54" s="113"/>
      <c r="PZW54" s="113"/>
      <c r="PZX54" s="113"/>
      <c r="PZY54" s="113"/>
      <c r="PZZ54" s="113"/>
      <c r="QAA54" s="113"/>
      <c r="QAB54" s="113"/>
      <c r="QAC54" s="113"/>
      <c r="QAD54" s="113"/>
      <c r="QAE54" s="113"/>
      <c r="QAF54" s="113"/>
      <c r="QAG54" s="113"/>
      <c r="QAH54" s="113"/>
      <c r="QAI54" s="113"/>
      <c r="QAJ54" s="113"/>
      <c r="QAK54" s="113"/>
      <c r="QAL54" s="113"/>
      <c r="QAM54" s="113"/>
      <c r="QAN54" s="113"/>
      <c r="QAO54" s="113"/>
      <c r="QAP54" s="113"/>
      <c r="QAQ54" s="113"/>
      <c r="QAR54" s="113"/>
      <c r="QAS54" s="113"/>
      <c r="QAT54" s="113"/>
      <c r="QAU54" s="113"/>
      <c r="QAV54" s="113"/>
      <c r="QAW54" s="113"/>
      <c r="QAX54" s="113"/>
      <c r="QAY54" s="113"/>
      <c r="QAZ54" s="113"/>
      <c r="QBA54" s="113"/>
      <c r="QBB54" s="113"/>
      <c r="QBC54" s="113"/>
      <c r="QBD54" s="113"/>
      <c r="QBE54" s="113"/>
      <c r="QBF54" s="113"/>
      <c r="QBG54" s="113"/>
      <c r="QBH54" s="113"/>
      <c r="QBI54" s="113"/>
      <c r="QBJ54" s="113"/>
      <c r="QBK54" s="113"/>
      <c r="QBL54" s="113"/>
      <c r="QBM54" s="113"/>
      <c r="QBN54" s="113"/>
      <c r="QBO54" s="113"/>
      <c r="QBP54" s="113"/>
      <c r="QBQ54" s="113"/>
      <c r="QBR54" s="113"/>
      <c r="QBS54" s="113"/>
      <c r="QBT54" s="113"/>
      <c r="QBU54" s="113"/>
      <c r="QBV54" s="113"/>
      <c r="QBW54" s="113"/>
      <c r="QBX54" s="113"/>
      <c r="QBY54" s="113"/>
      <c r="QBZ54" s="113"/>
      <c r="QCA54" s="113"/>
      <c r="QCB54" s="113"/>
      <c r="QCC54" s="113"/>
      <c r="QCD54" s="113"/>
      <c r="QCE54" s="113"/>
      <c r="QCF54" s="113"/>
      <c r="QCG54" s="113"/>
      <c r="QCH54" s="113"/>
      <c r="QCI54" s="113"/>
      <c r="QCJ54" s="113"/>
      <c r="QCK54" s="113"/>
      <c r="QCL54" s="113"/>
      <c r="QCM54" s="113"/>
      <c r="QCN54" s="113"/>
      <c r="QCO54" s="113"/>
      <c r="QCP54" s="113"/>
      <c r="QCQ54" s="113"/>
      <c r="QCR54" s="113"/>
      <c r="QCS54" s="113"/>
      <c r="QCT54" s="113"/>
      <c r="QCU54" s="113"/>
      <c r="QCV54" s="113"/>
      <c r="QCW54" s="113"/>
      <c r="QCX54" s="113"/>
      <c r="QCY54" s="113"/>
      <c r="QCZ54" s="113"/>
      <c r="QDA54" s="113"/>
      <c r="QDB54" s="113"/>
      <c r="QDC54" s="113"/>
      <c r="QDD54" s="113"/>
      <c r="QDE54" s="113"/>
      <c r="QDF54" s="113"/>
      <c r="QDG54" s="113"/>
      <c r="QDH54" s="113"/>
      <c r="QDI54" s="113"/>
      <c r="QDJ54" s="113"/>
      <c r="QDK54" s="113"/>
      <c r="QDL54" s="113"/>
      <c r="QDM54" s="113"/>
      <c r="QDN54" s="113"/>
      <c r="QDO54" s="113"/>
      <c r="QDP54" s="113"/>
      <c r="QDQ54" s="113"/>
      <c r="QDR54" s="113"/>
      <c r="QDS54" s="113"/>
      <c r="QDT54" s="113"/>
      <c r="QDU54" s="113"/>
      <c r="QDV54" s="113"/>
      <c r="QDW54" s="113"/>
      <c r="QDX54" s="113"/>
      <c r="QDY54" s="113"/>
      <c r="QDZ54" s="113"/>
      <c r="QEA54" s="113"/>
      <c r="QEB54" s="113"/>
      <c r="QEC54" s="113"/>
      <c r="QED54" s="113"/>
      <c r="QEE54" s="113"/>
      <c r="QEF54" s="113"/>
      <c r="QEG54" s="113"/>
      <c r="QEH54" s="113"/>
      <c r="QEI54" s="113"/>
      <c r="QEJ54" s="113"/>
      <c r="QEK54" s="113"/>
      <c r="QEL54" s="113"/>
      <c r="QEM54" s="113"/>
      <c r="QEN54" s="113"/>
      <c r="QEO54" s="113"/>
      <c r="QEP54" s="113"/>
      <c r="QEQ54" s="113"/>
      <c r="QER54" s="113"/>
      <c r="QES54" s="113"/>
      <c r="QET54" s="113"/>
      <c r="QEU54" s="113"/>
      <c r="QEV54" s="113"/>
      <c r="QEW54" s="113"/>
      <c r="QEX54" s="113"/>
      <c r="QEY54" s="113"/>
      <c r="QEZ54" s="113"/>
      <c r="QFA54" s="113"/>
      <c r="QFB54" s="113"/>
      <c r="QFC54" s="113"/>
      <c r="QFD54" s="113"/>
      <c r="QFE54" s="113"/>
      <c r="QFF54" s="113"/>
      <c r="QFG54" s="113"/>
      <c r="QFH54" s="113"/>
      <c r="QFI54" s="113"/>
      <c r="QFJ54" s="113"/>
      <c r="QFK54" s="113"/>
      <c r="QFL54" s="113"/>
      <c r="QFM54" s="113"/>
      <c r="QFN54" s="113"/>
      <c r="QFO54" s="113"/>
      <c r="QFP54" s="113"/>
      <c r="QFQ54" s="113"/>
      <c r="QFR54" s="113"/>
      <c r="QFS54" s="113"/>
      <c r="QFT54" s="113"/>
      <c r="QFU54" s="113"/>
      <c r="QFV54" s="113"/>
      <c r="QFW54" s="113"/>
      <c r="QFX54" s="113"/>
      <c r="QFY54" s="113"/>
      <c r="QFZ54" s="113"/>
      <c r="QGA54" s="113"/>
      <c r="QGB54" s="113"/>
      <c r="QGC54" s="113"/>
      <c r="QGD54" s="113"/>
      <c r="QGE54" s="113"/>
      <c r="QGF54" s="113"/>
      <c r="QGG54" s="113"/>
      <c r="QGH54" s="113"/>
      <c r="QGI54" s="113"/>
      <c r="QGJ54" s="113"/>
      <c r="QGK54" s="113"/>
      <c r="QGL54" s="113"/>
      <c r="QGM54" s="113"/>
      <c r="QGN54" s="113"/>
      <c r="QGO54" s="113"/>
      <c r="QGP54" s="113"/>
      <c r="QGQ54" s="113"/>
      <c r="QGR54" s="113"/>
      <c r="QGS54" s="113"/>
      <c r="QGT54" s="113"/>
      <c r="QGU54" s="113"/>
      <c r="QGV54" s="113"/>
      <c r="QGW54" s="113"/>
      <c r="QGX54" s="113"/>
      <c r="QGY54" s="113"/>
      <c r="QGZ54" s="113"/>
      <c r="QHA54" s="113"/>
      <c r="QHB54" s="113"/>
      <c r="QHC54" s="113"/>
      <c r="QHD54" s="113"/>
      <c r="QHE54" s="113"/>
      <c r="QHF54" s="113"/>
      <c r="QHG54" s="113"/>
      <c r="QHH54" s="113"/>
      <c r="QHI54" s="113"/>
      <c r="QHJ54" s="113"/>
      <c r="QHK54" s="113"/>
      <c r="QHL54" s="113"/>
      <c r="QHM54" s="113"/>
      <c r="QHN54" s="113"/>
      <c r="QHO54" s="113"/>
      <c r="QHP54" s="113"/>
      <c r="QHQ54" s="113"/>
      <c r="QHR54" s="113"/>
      <c r="QHS54" s="113"/>
      <c r="QHT54" s="113"/>
      <c r="QHU54" s="113"/>
      <c r="QHV54" s="113"/>
      <c r="QHW54" s="113"/>
      <c r="QHX54" s="113"/>
      <c r="QHY54" s="113"/>
      <c r="QHZ54" s="113"/>
      <c r="QIA54" s="113"/>
      <c r="QIB54" s="113"/>
      <c r="QIC54" s="113"/>
      <c r="QID54" s="113"/>
      <c r="QIE54" s="113"/>
      <c r="QIF54" s="113"/>
      <c r="QIG54" s="113"/>
      <c r="QIH54" s="113"/>
      <c r="QII54" s="113"/>
      <c r="QIJ54" s="113"/>
      <c r="QIK54" s="113"/>
      <c r="QIL54" s="113"/>
      <c r="QIM54" s="113"/>
      <c r="QIN54" s="113"/>
      <c r="QIO54" s="113"/>
      <c r="QIP54" s="113"/>
      <c r="QIQ54" s="113"/>
      <c r="QIR54" s="113"/>
      <c r="QIS54" s="113"/>
      <c r="QIT54" s="113"/>
      <c r="QIU54" s="113"/>
      <c r="QIV54" s="113"/>
      <c r="QIW54" s="113"/>
      <c r="QIX54" s="113"/>
      <c r="QIY54" s="113"/>
      <c r="QIZ54" s="113"/>
      <c r="QJA54" s="113"/>
      <c r="QJB54" s="113"/>
      <c r="QJC54" s="113"/>
      <c r="QJD54" s="113"/>
      <c r="QJE54" s="113"/>
      <c r="QJF54" s="113"/>
      <c r="QJG54" s="113"/>
      <c r="QJH54" s="113"/>
      <c r="QJI54" s="113"/>
      <c r="QJJ54" s="113"/>
      <c r="QJK54" s="113"/>
      <c r="QJL54" s="113"/>
      <c r="QJM54" s="113"/>
      <c r="QJN54" s="113"/>
      <c r="QJO54" s="113"/>
      <c r="QJP54" s="113"/>
      <c r="QJQ54" s="113"/>
      <c r="QJR54" s="113"/>
      <c r="QJS54" s="113"/>
      <c r="QJT54" s="113"/>
      <c r="QJU54" s="113"/>
      <c r="QJV54" s="113"/>
      <c r="QJW54" s="113"/>
      <c r="QJX54" s="113"/>
      <c r="QJY54" s="113"/>
      <c r="QJZ54" s="113"/>
      <c r="QKA54" s="113"/>
      <c r="QKB54" s="113"/>
      <c r="QKC54" s="113"/>
      <c r="QKD54" s="113"/>
      <c r="QKE54" s="113"/>
      <c r="QKF54" s="113"/>
      <c r="QKG54" s="113"/>
      <c r="QKH54" s="113"/>
      <c r="QKI54" s="113"/>
      <c r="QKJ54" s="113"/>
      <c r="QKK54" s="113"/>
      <c r="QKL54" s="113"/>
      <c r="QKM54" s="113"/>
      <c r="QKN54" s="113"/>
      <c r="QKO54" s="113"/>
      <c r="QKP54" s="113"/>
      <c r="QKQ54" s="113"/>
      <c r="QKR54" s="113"/>
      <c r="QKS54" s="113"/>
      <c r="QKT54" s="113"/>
      <c r="QKU54" s="113"/>
      <c r="QKV54" s="113"/>
      <c r="QKW54" s="113"/>
      <c r="QKX54" s="113"/>
      <c r="QKY54" s="113"/>
      <c r="QKZ54" s="113"/>
      <c r="QLA54" s="113"/>
      <c r="QLB54" s="113"/>
      <c r="QLC54" s="113"/>
      <c r="QLD54" s="113"/>
      <c r="QLE54" s="113"/>
      <c r="QLF54" s="113"/>
      <c r="QLG54" s="113"/>
      <c r="QLH54" s="113"/>
      <c r="QLI54" s="113"/>
      <c r="QLJ54" s="113"/>
      <c r="QLK54" s="113"/>
      <c r="QLL54" s="113"/>
      <c r="QLM54" s="113"/>
      <c r="QLN54" s="113"/>
      <c r="QLO54" s="113"/>
      <c r="QLP54" s="113"/>
      <c r="QLQ54" s="113"/>
      <c r="QLR54" s="113"/>
      <c r="QLS54" s="113"/>
      <c r="QLT54" s="113"/>
      <c r="QLU54" s="113"/>
      <c r="QLV54" s="113"/>
      <c r="QLW54" s="113"/>
      <c r="QLX54" s="113"/>
      <c r="QLY54" s="113"/>
      <c r="QLZ54" s="113"/>
      <c r="QMA54" s="113"/>
      <c r="QMB54" s="113"/>
      <c r="QMC54" s="113"/>
      <c r="QMD54" s="113"/>
      <c r="QME54" s="113"/>
      <c r="QMF54" s="113"/>
      <c r="QMG54" s="113"/>
      <c r="QMH54" s="113"/>
      <c r="QMI54" s="113"/>
      <c r="QMJ54" s="113"/>
      <c r="QMK54" s="113"/>
      <c r="QML54" s="113"/>
      <c r="QMM54" s="113"/>
      <c r="QMN54" s="113"/>
      <c r="QMO54" s="113"/>
      <c r="QMP54" s="113"/>
      <c r="QMQ54" s="113"/>
      <c r="QMR54" s="113"/>
      <c r="QMS54" s="113"/>
      <c r="QMT54" s="113"/>
      <c r="QMU54" s="113"/>
      <c r="QMV54" s="113"/>
      <c r="QMW54" s="113"/>
      <c r="QMX54" s="113"/>
      <c r="QMY54" s="113"/>
      <c r="QMZ54" s="113"/>
      <c r="QNA54" s="113"/>
      <c r="QNB54" s="113"/>
      <c r="QNC54" s="113"/>
      <c r="QND54" s="113"/>
      <c r="QNE54" s="113"/>
      <c r="QNF54" s="113"/>
      <c r="QNG54" s="113"/>
      <c r="QNH54" s="113"/>
      <c r="QNI54" s="113"/>
      <c r="QNJ54" s="113"/>
      <c r="QNK54" s="113"/>
      <c r="QNL54" s="113"/>
      <c r="QNM54" s="113"/>
      <c r="QNN54" s="113"/>
      <c r="QNO54" s="113"/>
      <c r="QNP54" s="113"/>
      <c r="QNQ54" s="113"/>
      <c r="QNR54" s="113"/>
      <c r="QNS54" s="113"/>
      <c r="QNT54" s="113"/>
      <c r="QNU54" s="113"/>
      <c r="QNV54" s="113"/>
      <c r="QNW54" s="113"/>
      <c r="QNX54" s="113"/>
      <c r="QNY54" s="113"/>
      <c r="QNZ54" s="113"/>
      <c r="QOA54" s="113"/>
      <c r="QOB54" s="113"/>
      <c r="QOC54" s="113"/>
      <c r="QOD54" s="113"/>
      <c r="QOE54" s="113"/>
      <c r="QOF54" s="113"/>
      <c r="QOG54" s="113"/>
      <c r="QOH54" s="113"/>
      <c r="QOI54" s="113"/>
      <c r="QOJ54" s="113"/>
      <c r="QOK54" s="113"/>
      <c r="QOL54" s="113"/>
      <c r="QOM54" s="113"/>
      <c r="QON54" s="113"/>
      <c r="QOO54" s="113"/>
      <c r="QOP54" s="113"/>
      <c r="QOQ54" s="113"/>
      <c r="QOR54" s="113"/>
      <c r="QOS54" s="113"/>
      <c r="QOT54" s="113"/>
      <c r="QOU54" s="113"/>
      <c r="QOV54" s="113"/>
      <c r="QOW54" s="113"/>
      <c r="QOX54" s="113"/>
      <c r="QOY54" s="113"/>
      <c r="QOZ54" s="113"/>
      <c r="QPA54" s="113"/>
      <c r="QPB54" s="113"/>
      <c r="QPC54" s="113"/>
      <c r="QPD54" s="113"/>
      <c r="QPE54" s="113"/>
      <c r="QPF54" s="113"/>
      <c r="QPG54" s="113"/>
      <c r="QPH54" s="113"/>
      <c r="QPI54" s="113"/>
      <c r="QPJ54" s="113"/>
      <c r="QPK54" s="113"/>
      <c r="QPL54" s="113"/>
      <c r="QPM54" s="113"/>
      <c r="QPN54" s="113"/>
      <c r="QPO54" s="113"/>
      <c r="QPP54" s="113"/>
      <c r="QPQ54" s="113"/>
      <c r="QPR54" s="113"/>
      <c r="QPS54" s="113"/>
      <c r="QPT54" s="113"/>
      <c r="QPU54" s="113"/>
      <c r="QPV54" s="113"/>
      <c r="QPW54" s="113"/>
      <c r="QPX54" s="113"/>
      <c r="QPY54" s="113"/>
      <c r="QPZ54" s="113"/>
      <c r="QQA54" s="113"/>
      <c r="QQB54" s="113"/>
      <c r="QQC54" s="113"/>
      <c r="QQD54" s="113"/>
      <c r="QQE54" s="113"/>
      <c r="QQF54" s="113"/>
      <c r="QQG54" s="113"/>
      <c r="QQH54" s="113"/>
      <c r="QQI54" s="113"/>
      <c r="QQJ54" s="113"/>
      <c r="QQK54" s="113"/>
      <c r="QQL54" s="113"/>
      <c r="QQM54" s="113"/>
      <c r="QQN54" s="113"/>
      <c r="QQO54" s="113"/>
      <c r="QQP54" s="113"/>
      <c r="QQQ54" s="113"/>
      <c r="QQR54" s="113"/>
      <c r="QQS54" s="113"/>
      <c r="QQT54" s="113"/>
      <c r="QQU54" s="113"/>
      <c r="QQV54" s="113"/>
      <c r="QQW54" s="113"/>
      <c r="QQX54" s="113"/>
      <c r="QQY54" s="113"/>
      <c r="QQZ54" s="113"/>
      <c r="QRA54" s="113"/>
      <c r="QRB54" s="113"/>
      <c r="QRC54" s="113"/>
      <c r="QRD54" s="113"/>
      <c r="QRE54" s="113"/>
      <c r="QRF54" s="113"/>
      <c r="QRG54" s="113"/>
      <c r="QRH54" s="113"/>
      <c r="QRI54" s="113"/>
      <c r="QRJ54" s="113"/>
      <c r="QRK54" s="113"/>
      <c r="QRL54" s="113"/>
      <c r="QRM54" s="113"/>
      <c r="QRN54" s="113"/>
      <c r="QRO54" s="113"/>
      <c r="QRP54" s="113"/>
      <c r="QRQ54" s="113"/>
      <c r="QRR54" s="113"/>
      <c r="QRS54" s="113"/>
      <c r="QRT54" s="113"/>
      <c r="QRU54" s="113"/>
      <c r="QRV54" s="113"/>
      <c r="QRW54" s="113"/>
      <c r="QRX54" s="113"/>
      <c r="QRY54" s="113"/>
      <c r="QRZ54" s="113"/>
      <c r="QSA54" s="113"/>
      <c r="QSB54" s="113"/>
      <c r="QSC54" s="113"/>
      <c r="QSD54" s="113"/>
      <c r="QSE54" s="113"/>
      <c r="QSF54" s="113"/>
      <c r="QSG54" s="113"/>
      <c r="QSH54" s="113"/>
      <c r="QSI54" s="113"/>
      <c r="QSJ54" s="113"/>
      <c r="QSK54" s="113"/>
      <c r="QSL54" s="113"/>
      <c r="QSM54" s="113"/>
      <c r="QSN54" s="113"/>
      <c r="QSO54" s="113"/>
      <c r="QSP54" s="113"/>
      <c r="QSQ54" s="113"/>
      <c r="QSR54" s="113"/>
      <c r="QSS54" s="113"/>
      <c r="QST54" s="113"/>
      <c r="QSU54" s="113"/>
      <c r="QSV54" s="113"/>
      <c r="QSW54" s="113"/>
      <c r="QSX54" s="113"/>
      <c r="QSY54" s="113"/>
      <c r="QSZ54" s="113"/>
      <c r="QTA54" s="113"/>
      <c r="QTB54" s="113"/>
      <c r="QTC54" s="113"/>
      <c r="QTD54" s="113"/>
      <c r="QTE54" s="113"/>
      <c r="QTF54" s="113"/>
      <c r="QTG54" s="113"/>
      <c r="QTH54" s="113"/>
      <c r="QTI54" s="113"/>
      <c r="QTJ54" s="113"/>
      <c r="QTK54" s="113"/>
      <c r="QTL54" s="113"/>
      <c r="QTM54" s="113"/>
      <c r="QTN54" s="113"/>
      <c r="QTO54" s="113"/>
      <c r="QTP54" s="113"/>
      <c r="QTQ54" s="113"/>
      <c r="QTR54" s="113"/>
      <c r="QTS54" s="113"/>
      <c r="QTT54" s="113"/>
      <c r="QTU54" s="113"/>
      <c r="QTV54" s="113"/>
      <c r="QTW54" s="113"/>
      <c r="QTX54" s="113"/>
      <c r="QTY54" s="113"/>
      <c r="QTZ54" s="113"/>
      <c r="QUA54" s="113"/>
      <c r="QUB54" s="113"/>
      <c r="QUC54" s="113"/>
      <c r="QUD54" s="113"/>
      <c r="QUE54" s="113"/>
      <c r="QUF54" s="113"/>
      <c r="QUG54" s="113"/>
      <c r="QUH54" s="113"/>
      <c r="QUI54" s="113"/>
      <c r="QUJ54" s="113"/>
      <c r="QUK54" s="113"/>
      <c r="QUL54" s="113"/>
      <c r="QUM54" s="113"/>
      <c r="QUN54" s="113"/>
      <c r="QUO54" s="113"/>
      <c r="QUP54" s="113"/>
      <c r="QUQ54" s="113"/>
      <c r="QUR54" s="113"/>
      <c r="QUS54" s="113"/>
      <c r="QUT54" s="113"/>
      <c r="QUU54" s="113"/>
      <c r="QUV54" s="113"/>
      <c r="QUW54" s="113"/>
      <c r="QUX54" s="113"/>
      <c r="QUY54" s="113"/>
      <c r="QUZ54" s="113"/>
      <c r="QVA54" s="113"/>
      <c r="QVB54" s="113"/>
      <c r="QVC54" s="113"/>
      <c r="QVD54" s="113"/>
      <c r="QVE54" s="113"/>
      <c r="QVF54" s="113"/>
      <c r="QVG54" s="113"/>
      <c r="QVH54" s="113"/>
      <c r="QVI54" s="113"/>
      <c r="QVJ54" s="113"/>
      <c r="QVK54" s="113"/>
      <c r="QVL54" s="113"/>
      <c r="QVM54" s="113"/>
      <c r="QVN54" s="113"/>
      <c r="QVO54" s="113"/>
      <c r="QVP54" s="113"/>
      <c r="QVQ54" s="113"/>
      <c r="QVR54" s="113"/>
      <c r="QVS54" s="113"/>
      <c r="QVT54" s="113"/>
      <c r="QVU54" s="113"/>
      <c r="QVV54" s="113"/>
      <c r="QVW54" s="113"/>
      <c r="QVX54" s="113"/>
      <c r="QVY54" s="113"/>
      <c r="QVZ54" s="113"/>
      <c r="QWA54" s="113"/>
      <c r="QWB54" s="113"/>
      <c r="QWC54" s="113"/>
      <c r="QWD54" s="113"/>
      <c r="QWE54" s="113"/>
      <c r="QWF54" s="113"/>
      <c r="QWG54" s="113"/>
      <c r="QWH54" s="113"/>
      <c r="QWI54" s="113"/>
      <c r="QWJ54" s="113"/>
      <c r="QWK54" s="113"/>
      <c r="QWL54" s="113"/>
      <c r="QWM54" s="113"/>
      <c r="QWN54" s="113"/>
      <c r="QWO54" s="113"/>
      <c r="QWP54" s="113"/>
      <c r="QWQ54" s="113"/>
      <c r="QWR54" s="113"/>
      <c r="QWS54" s="113"/>
      <c r="QWT54" s="113"/>
      <c r="QWU54" s="113"/>
      <c r="QWV54" s="113"/>
      <c r="QWW54" s="113"/>
      <c r="QWX54" s="113"/>
      <c r="QWY54" s="113"/>
      <c r="QWZ54" s="113"/>
      <c r="QXA54" s="113"/>
      <c r="QXB54" s="113"/>
      <c r="QXC54" s="113"/>
      <c r="QXD54" s="113"/>
      <c r="QXE54" s="113"/>
      <c r="QXF54" s="113"/>
      <c r="QXG54" s="113"/>
      <c r="QXH54" s="113"/>
      <c r="QXI54" s="113"/>
      <c r="QXJ54" s="113"/>
      <c r="QXK54" s="113"/>
      <c r="QXL54" s="113"/>
      <c r="QXM54" s="113"/>
      <c r="QXN54" s="113"/>
      <c r="QXO54" s="113"/>
      <c r="QXP54" s="113"/>
      <c r="QXQ54" s="113"/>
      <c r="QXR54" s="113"/>
      <c r="QXS54" s="113"/>
      <c r="QXT54" s="113"/>
      <c r="QXU54" s="113"/>
      <c r="QXV54" s="113"/>
      <c r="QXW54" s="113"/>
      <c r="QXX54" s="113"/>
      <c r="QXY54" s="113"/>
      <c r="QXZ54" s="113"/>
      <c r="QYA54" s="113"/>
      <c r="QYB54" s="113"/>
      <c r="QYC54" s="113"/>
      <c r="QYD54" s="113"/>
      <c r="QYE54" s="113"/>
      <c r="QYF54" s="113"/>
      <c r="QYG54" s="113"/>
      <c r="QYH54" s="113"/>
      <c r="QYI54" s="113"/>
      <c r="QYJ54" s="113"/>
      <c r="QYK54" s="113"/>
      <c r="QYL54" s="113"/>
      <c r="QYM54" s="113"/>
      <c r="QYN54" s="113"/>
      <c r="QYO54" s="113"/>
      <c r="QYP54" s="113"/>
      <c r="QYQ54" s="113"/>
      <c r="QYR54" s="113"/>
      <c r="QYS54" s="113"/>
      <c r="QYT54" s="113"/>
      <c r="QYU54" s="113"/>
      <c r="QYV54" s="113"/>
      <c r="QYW54" s="113"/>
      <c r="QYX54" s="113"/>
      <c r="QYY54" s="113"/>
      <c r="QYZ54" s="113"/>
      <c r="QZA54" s="113"/>
      <c r="QZB54" s="113"/>
      <c r="QZC54" s="113"/>
      <c r="QZD54" s="113"/>
      <c r="QZE54" s="113"/>
      <c r="QZF54" s="113"/>
      <c r="QZG54" s="113"/>
      <c r="QZH54" s="113"/>
      <c r="QZI54" s="113"/>
      <c r="QZJ54" s="113"/>
      <c r="QZK54" s="113"/>
      <c r="QZL54" s="113"/>
      <c r="QZM54" s="113"/>
      <c r="QZN54" s="113"/>
      <c r="QZO54" s="113"/>
      <c r="QZP54" s="113"/>
      <c r="QZQ54" s="113"/>
      <c r="QZR54" s="113"/>
      <c r="QZS54" s="113"/>
      <c r="QZT54" s="113"/>
      <c r="QZU54" s="113"/>
      <c r="QZV54" s="113"/>
      <c r="QZW54" s="113"/>
      <c r="QZX54" s="113"/>
      <c r="QZY54" s="113"/>
      <c r="QZZ54" s="113"/>
      <c r="RAA54" s="113"/>
      <c r="RAB54" s="113"/>
      <c r="RAC54" s="113"/>
      <c r="RAD54" s="113"/>
      <c r="RAE54" s="113"/>
      <c r="RAF54" s="113"/>
      <c r="RAG54" s="113"/>
      <c r="RAH54" s="113"/>
      <c r="RAI54" s="113"/>
      <c r="RAJ54" s="113"/>
      <c r="RAK54" s="113"/>
      <c r="RAL54" s="113"/>
      <c r="RAM54" s="113"/>
      <c r="RAN54" s="113"/>
      <c r="RAO54" s="113"/>
      <c r="RAP54" s="113"/>
      <c r="RAQ54" s="113"/>
      <c r="RAR54" s="113"/>
      <c r="RAS54" s="113"/>
      <c r="RAT54" s="113"/>
      <c r="RAU54" s="113"/>
      <c r="RAV54" s="113"/>
      <c r="RAW54" s="113"/>
      <c r="RAX54" s="113"/>
      <c r="RAY54" s="113"/>
      <c r="RAZ54" s="113"/>
      <c r="RBA54" s="113"/>
      <c r="RBB54" s="113"/>
      <c r="RBC54" s="113"/>
      <c r="RBD54" s="113"/>
      <c r="RBE54" s="113"/>
      <c r="RBF54" s="113"/>
      <c r="RBG54" s="113"/>
      <c r="RBH54" s="113"/>
      <c r="RBI54" s="113"/>
      <c r="RBJ54" s="113"/>
      <c r="RBK54" s="113"/>
      <c r="RBL54" s="113"/>
      <c r="RBM54" s="113"/>
      <c r="RBN54" s="113"/>
      <c r="RBO54" s="113"/>
      <c r="RBP54" s="113"/>
      <c r="RBQ54" s="113"/>
      <c r="RBR54" s="113"/>
      <c r="RBS54" s="113"/>
      <c r="RBT54" s="113"/>
      <c r="RBU54" s="113"/>
      <c r="RBV54" s="113"/>
      <c r="RBW54" s="113"/>
      <c r="RBX54" s="113"/>
      <c r="RBY54" s="113"/>
      <c r="RBZ54" s="113"/>
      <c r="RCA54" s="113"/>
      <c r="RCB54" s="113"/>
      <c r="RCC54" s="113"/>
      <c r="RCD54" s="113"/>
      <c r="RCE54" s="113"/>
      <c r="RCF54" s="113"/>
      <c r="RCG54" s="113"/>
      <c r="RCH54" s="113"/>
      <c r="RCI54" s="113"/>
      <c r="RCJ54" s="113"/>
      <c r="RCK54" s="113"/>
      <c r="RCL54" s="113"/>
      <c r="RCM54" s="113"/>
      <c r="RCN54" s="113"/>
      <c r="RCO54" s="113"/>
      <c r="RCP54" s="113"/>
      <c r="RCQ54" s="113"/>
      <c r="RCR54" s="113"/>
      <c r="RCS54" s="113"/>
      <c r="RCT54" s="113"/>
      <c r="RCU54" s="113"/>
      <c r="RCV54" s="113"/>
      <c r="RCW54" s="113"/>
      <c r="RCX54" s="113"/>
      <c r="RCY54" s="113"/>
      <c r="RCZ54" s="113"/>
      <c r="RDA54" s="113"/>
      <c r="RDB54" s="113"/>
      <c r="RDC54" s="113"/>
      <c r="RDD54" s="113"/>
      <c r="RDE54" s="113"/>
      <c r="RDF54" s="113"/>
      <c r="RDG54" s="113"/>
      <c r="RDH54" s="113"/>
      <c r="RDI54" s="113"/>
      <c r="RDJ54" s="113"/>
      <c r="RDK54" s="113"/>
      <c r="RDL54" s="113"/>
      <c r="RDM54" s="113"/>
      <c r="RDN54" s="113"/>
      <c r="RDO54" s="113"/>
      <c r="RDP54" s="113"/>
      <c r="RDQ54" s="113"/>
      <c r="RDR54" s="113"/>
      <c r="RDS54" s="113"/>
      <c r="RDT54" s="113"/>
      <c r="RDU54" s="113"/>
      <c r="RDV54" s="113"/>
      <c r="RDW54" s="113"/>
      <c r="RDX54" s="113"/>
      <c r="RDY54" s="113"/>
      <c r="RDZ54" s="113"/>
      <c r="REA54" s="113"/>
      <c r="REB54" s="113"/>
      <c r="REC54" s="113"/>
      <c r="RED54" s="113"/>
      <c r="REE54" s="113"/>
      <c r="REF54" s="113"/>
      <c r="REG54" s="113"/>
      <c r="REH54" s="113"/>
      <c r="REI54" s="113"/>
      <c r="REJ54" s="113"/>
      <c r="REK54" s="113"/>
      <c r="REL54" s="113"/>
      <c r="REM54" s="113"/>
      <c r="REN54" s="113"/>
      <c r="REO54" s="113"/>
      <c r="REP54" s="113"/>
      <c r="REQ54" s="113"/>
      <c r="RER54" s="113"/>
      <c r="RES54" s="113"/>
      <c r="RET54" s="113"/>
      <c r="REU54" s="113"/>
      <c r="REV54" s="113"/>
      <c r="REW54" s="113"/>
      <c r="REX54" s="113"/>
      <c r="REY54" s="113"/>
      <c r="REZ54" s="113"/>
      <c r="RFA54" s="113"/>
      <c r="RFB54" s="113"/>
      <c r="RFC54" s="113"/>
      <c r="RFD54" s="113"/>
      <c r="RFE54" s="113"/>
      <c r="RFF54" s="113"/>
      <c r="RFG54" s="113"/>
      <c r="RFH54" s="113"/>
      <c r="RFI54" s="113"/>
      <c r="RFJ54" s="113"/>
      <c r="RFK54" s="113"/>
      <c r="RFL54" s="113"/>
      <c r="RFM54" s="113"/>
      <c r="RFN54" s="113"/>
      <c r="RFO54" s="113"/>
      <c r="RFP54" s="113"/>
      <c r="RFQ54" s="113"/>
      <c r="RFR54" s="113"/>
      <c r="RFS54" s="113"/>
      <c r="RFT54" s="113"/>
      <c r="RFU54" s="113"/>
      <c r="RFV54" s="113"/>
      <c r="RFW54" s="113"/>
      <c r="RFX54" s="113"/>
      <c r="RFY54" s="113"/>
      <c r="RFZ54" s="113"/>
      <c r="RGA54" s="113"/>
      <c r="RGB54" s="113"/>
      <c r="RGC54" s="113"/>
      <c r="RGD54" s="113"/>
      <c r="RGE54" s="113"/>
      <c r="RGF54" s="113"/>
      <c r="RGG54" s="113"/>
      <c r="RGH54" s="113"/>
      <c r="RGI54" s="113"/>
      <c r="RGJ54" s="113"/>
      <c r="RGK54" s="113"/>
      <c r="RGL54" s="113"/>
      <c r="RGM54" s="113"/>
      <c r="RGN54" s="113"/>
      <c r="RGO54" s="113"/>
      <c r="RGP54" s="113"/>
      <c r="RGQ54" s="113"/>
      <c r="RGR54" s="113"/>
      <c r="RGS54" s="113"/>
      <c r="RGT54" s="113"/>
      <c r="RGU54" s="113"/>
      <c r="RGV54" s="113"/>
      <c r="RGW54" s="113"/>
      <c r="RGX54" s="113"/>
      <c r="RGY54" s="113"/>
      <c r="RGZ54" s="113"/>
      <c r="RHA54" s="113"/>
      <c r="RHB54" s="113"/>
      <c r="RHC54" s="113"/>
      <c r="RHD54" s="113"/>
      <c r="RHE54" s="113"/>
      <c r="RHF54" s="113"/>
      <c r="RHG54" s="113"/>
      <c r="RHH54" s="113"/>
      <c r="RHI54" s="113"/>
      <c r="RHJ54" s="113"/>
      <c r="RHK54" s="113"/>
      <c r="RHL54" s="113"/>
      <c r="RHM54" s="113"/>
      <c r="RHN54" s="113"/>
      <c r="RHO54" s="113"/>
      <c r="RHP54" s="113"/>
      <c r="RHQ54" s="113"/>
      <c r="RHR54" s="113"/>
      <c r="RHS54" s="113"/>
      <c r="RHT54" s="113"/>
      <c r="RHU54" s="113"/>
      <c r="RHV54" s="113"/>
      <c r="RHW54" s="113"/>
      <c r="RHX54" s="113"/>
      <c r="RHY54" s="113"/>
      <c r="RHZ54" s="113"/>
      <c r="RIA54" s="113"/>
      <c r="RIB54" s="113"/>
      <c r="RIC54" s="113"/>
      <c r="RID54" s="113"/>
      <c r="RIE54" s="113"/>
      <c r="RIF54" s="113"/>
      <c r="RIG54" s="113"/>
      <c r="RIH54" s="113"/>
      <c r="RII54" s="113"/>
      <c r="RIJ54" s="113"/>
      <c r="RIK54" s="113"/>
      <c r="RIL54" s="113"/>
      <c r="RIM54" s="113"/>
      <c r="RIN54" s="113"/>
      <c r="RIO54" s="113"/>
      <c r="RIP54" s="113"/>
      <c r="RIQ54" s="113"/>
      <c r="RIR54" s="113"/>
      <c r="RIS54" s="113"/>
      <c r="RIT54" s="113"/>
      <c r="RIU54" s="113"/>
      <c r="RIV54" s="113"/>
      <c r="RIW54" s="113"/>
      <c r="RIX54" s="113"/>
      <c r="RIY54" s="113"/>
      <c r="RIZ54" s="113"/>
      <c r="RJA54" s="113"/>
      <c r="RJB54" s="113"/>
      <c r="RJC54" s="113"/>
      <c r="RJD54" s="113"/>
      <c r="RJE54" s="113"/>
      <c r="RJF54" s="113"/>
      <c r="RJG54" s="113"/>
      <c r="RJH54" s="113"/>
      <c r="RJI54" s="113"/>
      <c r="RJJ54" s="113"/>
      <c r="RJK54" s="113"/>
      <c r="RJL54" s="113"/>
      <c r="RJM54" s="113"/>
      <c r="RJN54" s="113"/>
      <c r="RJO54" s="113"/>
      <c r="RJP54" s="113"/>
      <c r="RJQ54" s="113"/>
      <c r="RJR54" s="113"/>
      <c r="RJS54" s="113"/>
      <c r="RJT54" s="113"/>
      <c r="RJU54" s="113"/>
      <c r="RJV54" s="113"/>
      <c r="RJW54" s="113"/>
      <c r="RJX54" s="113"/>
      <c r="RJY54" s="113"/>
      <c r="RJZ54" s="113"/>
      <c r="RKA54" s="113"/>
      <c r="RKB54" s="113"/>
      <c r="RKC54" s="113"/>
      <c r="RKD54" s="113"/>
      <c r="RKE54" s="113"/>
      <c r="RKF54" s="113"/>
      <c r="RKG54" s="113"/>
      <c r="RKH54" s="113"/>
      <c r="RKI54" s="113"/>
      <c r="RKJ54" s="113"/>
      <c r="RKK54" s="113"/>
      <c r="RKL54" s="113"/>
      <c r="RKM54" s="113"/>
      <c r="RKN54" s="113"/>
      <c r="RKO54" s="113"/>
      <c r="RKP54" s="113"/>
      <c r="RKQ54" s="113"/>
      <c r="RKR54" s="113"/>
      <c r="RKS54" s="113"/>
      <c r="RKT54" s="113"/>
      <c r="RKU54" s="113"/>
      <c r="RKV54" s="113"/>
      <c r="RKW54" s="113"/>
      <c r="RKX54" s="113"/>
      <c r="RKY54" s="113"/>
      <c r="RKZ54" s="113"/>
      <c r="RLA54" s="113"/>
      <c r="RLB54" s="113"/>
      <c r="RLC54" s="113"/>
      <c r="RLD54" s="113"/>
      <c r="RLE54" s="113"/>
      <c r="RLF54" s="113"/>
      <c r="RLG54" s="113"/>
      <c r="RLH54" s="113"/>
      <c r="RLI54" s="113"/>
      <c r="RLJ54" s="113"/>
      <c r="RLK54" s="113"/>
      <c r="RLL54" s="113"/>
      <c r="RLM54" s="113"/>
      <c r="RLN54" s="113"/>
      <c r="RLO54" s="113"/>
      <c r="RLP54" s="113"/>
      <c r="RLQ54" s="113"/>
      <c r="RLR54" s="113"/>
      <c r="RLS54" s="113"/>
      <c r="RLT54" s="113"/>
      <c r="RLU54" s="113"/>
      <c r="RLV54" s="113"/>
      <c r="RLW54" s="113"/>
      <c r="RLX54" s="113"/>
      <c r="RLY54" s="113"/>
      <c r="RLZ54" s="113"/>
      <c r="RMA54" s="113"/>
      <c r="RMB54" s="113"/>
      <c r="RMC54" s="113"/>
      <c r="RMD54" s="113"/>
      <c r="RME54" s="113"/>
      <c r="RMF54" s="113"/>
      <c r="RMG54" s="113"/>
      <c r="RMH54" s="113"/>
      <c r="RMI54" s="113"/>
      <c r="RMJ54" s="113"/>
      <c r="RMK54" s="113"/>
      <c r="RML54" s="113"/>
      <c r="RMM54" s="113"/>
      <c r="RMN54" s="113"/>
      <c r="RMO54" s="113"/>
      <c r="RMP54" s="113"/>
      <c r="RMQ54" s="113"/>
      <c r="RMR54" s="113"/>
      <c r="RMS54" s="113"/>
      <c r="RMT54" s="113"/>
      <c r="RMU54" s="113"/>
      <c r="RMV54" s="113"/>
      <c r="RMW54" s="113"/>
      <c r="RMX54" s="113"/>
      <c r="RMY54" s="113"/>
      <c r="RMZ54" s="113"/>
      <c r="RNA54" s="113"/>
      <c r="RNB54" s="113"/>
      <c r="RNC54" s="113"/>
      <c r="RND54" s="113"/>
      <c r="RNE54" s="113"/>
      <c r="RNF54" s="113"/>
      <c r="RNG54" s="113"/>
      <c r="RNH54" s="113"/>
      <c r="RNI54" s="113"/>
      <c r="RNJ54" s="113"/>
      <c r="RNK54" s="113"/>
      <c r="RNL54" s="113"/>
      <c r="RNM54" s="113"/>
      <c r="RNN54" s="113"/>
      <c r="RNO54" s="113"/>
      <c r="RNP54" s="113"/>
      <c r="RNQ54" s="113"/>
      <c r="RNR54" s="113"/>
      <c r="RNS54" s="113"/>
      <c r="RNT54" s="113"/>
      <c r="RNU54" s="113"/>
      <c r="RNV54" s="113"/>
      <c r="RNW54" s="113"/>
      <c r="RNX54" s="113"/>
      <c r="RNY54" s="113"/>
      <c r="RNZ54" s="113"/>
      <c r="ROA54" s="113"/>
      <c r="ROB54" s="113"/>
      <c r="ROC54" s="113"/>
      <c r="ROD54" s="113"/>
      <c r="ROE54" s="113"/>
      <c r="ROF54" s="113"/>
      <c r="ROG54" s="113"/>
      <c r="ROH54" s="113"/>
      <c r="ROI54" s="113"/>
      <c r="ROJ54" s="113"/>
      <c r="ROK54" s="113"/>
      <c r="ROL54" s="113"/>
      <c r="ROM54" s="113"/>
      <c r="RON54" s="113"/>
      <c r="ROO54" s="113"/>
      <c r="ROP54" s="113"/>
      <c r="ROQ54" s="113"/>
      <c r="ROR54" s="113"/>
      <c r="ROS54" s="113"/>
      <c r="ROT54" s="113"/>
      <c r="ROU54" s="113"/>
      <c r="ROV54" s="113"/>
      <c r="ROW54" s="113"/>
      <c r="ROX54" s="113"/>
      <c r="ROY54" s="113"/>
      <c r="ROZ54" s="113"/>
      <c r="RPA54" s="113"/>
      <c r="RPB54" s="113"/>
      <c r="RPC54" s="113"/>
      <c r="RPD54" s="113"/>
      <c r="RPE54" s="113"/>
      <c r="RPF54" s="113"/>
      <c r="RPG54" s="113"/>
      <c r="RPH54" s="113"/>
      <c r="RPI54" s="113"/>
      <c r="RPJ54" s="113"/>
      <c r="RPK54" s="113"/>
      <c r="RPL54" s="113"/>
      <c r="RPM54" s="113"/>
      <c r="RPN54" s="113"/>
      <c r="RPO54" s="113"/>
      <c r="RPP54" s="113"/>
      <c r="RPQ54" s="113"/>
      <c r="RPR54" s="113"/>
      <c r="RPS54" s="113"/>
      <c r="RPT54" s="113"/>
      <c r="RPU54" s="113"/>
      <c r="RPV54" s="113"/>
      <c r="RPW54" s="113"/>
      <c r="RPX54" s="113"/>
      <c r="RPY54" s="113"/>
      <c r="RPZ54" s="113"/>
      <c r="RQA54" s="113"/>
      <c r="RQB54" s="113"/>
      <c r="RQC54" s="113"/>
      <c r="RQD54" s="113"/>
      <c r="RQE54" s="113"/>
      <c r="RQF54" s="113"/>
      <c r="RQG54" s="113"/>
      <c r="RQH54" s="113"/>
      <c r="RQI54" s="113"/>
      <c r="RQJ54" s="113"/>
      <c r="RQK54" s="113"/>
      <c r="RQL54" s="113"/>
      <c r="RQM54" s="113"/>
      <c r="RQN54" s="113"/>
      <c r="RQO54" s="113"/>
      <c r="RQP54" s="113"/>
      <c r="RQQ54" s="113"/>
      <c r="RQR54" s="113"/>
      <c r="RQS54" s="113"/>
      <c r="RQT54" s="113"/>
      <c r="RQU54" s="113"/>
      <c r="RQV54" s="113"/>
      <c r="RQW54" s="113"/>
      <c r="RQX54" s="113"/>
      <c r="RQY54" s="113"/>
      <c r="RQZ54" s="113"/>
      <c r="RRA54" s="113"/>
      <c r="RRB54" s="113"/>
      <c r="RRC54" s="113"/>
      <c r="RRD54" s="113"/>
      <c r="RRE54" s="113"/>
      <c r="RRF54" s="113"/>
      <c r="RRG54" s="113"/>
      <c r="RRH54" s="113"/>
      <c r="RRI54" s="113"/>
      <c r="RRJ54" s="113"/>
      <c r="RRK54" s="113"/>
      <c r="RRL54" s="113"/>
      <c r="RRM54" s="113"/>
      <c r="RRN54" s="113"/>
      <c r="RRO54" s="113"/>
      <c r="RRP54" s="113"/>
      <c r="RRQ54" s="113"/>
      <c r="RRR54" s="113"/>
      <c r="RRS54" s="113"/>
      <c r="RRT54" s="113"/>
      <c r="RRU54" s="113"/>
      <c r="RRV54" s="113"/>
      <c r="RRW54" s="113"/>
      <c r="RRX54" s="113"/>
      <c r="RRY54" s="113"/>
      <c r="RRZ54" s="113"/>
      <c r="RSA54" s="113"/>
      <c r="RSB54" s="113"/>
      <c r="RSC54" s="113"/>
      <c r="RSD54" s="113"/>
      <c r="RSE54" s="113"/>
      <c r="RSF54" s="113"/>
      <c r="RSG54" s="113"/>
      <c r="RSH54" s="113"/>
      <c r="RSI54" s="113"/>
      <c r="RSJ54" s="113"/>
      <c r="RSK54" s="113"/>
      <c r="RSL54" s="113"/>
      <c r="RSM54" s="113"/>
      <c r="RSN54" s="113"/>
      <c r="RSO54" s="113"/>
      <c r="RSP54" s="113"/>
      <c r="RSQ54" s="113"/>
      <c r="RSR54" s="113"/>
      <c r="RSS54" s="113"/>
      <c r="RST54" s="113"/>
      <c r="RSU54" s="113"/>
      <c r="RSV54" s="113"/>
      <c r="RSW54" s="113"/>
      <c r="RSX54" s="113"/>
      <c r="RSY54" s="113"/>
      <c r="RSZ54" s="113"/>
      <c r="RTA54" s="113"/>
      <c r="RTB54" s="113"/>
      <c r="RTC54" s="113"/>
      <c r="RTD54" s="113"/>
      <c r="RTE54" s="113"/>
      <c r="RTF54" s="113"/>
      <c r="RTG54" s="113"/>
      <c r="RTH54" s="113"/>
      <c r="RTI54" s="113"/>
      <c r="RTJ54" s="113"/>
      <c r="RTK54" s="113"/>
      <c r="RTL54" s="113"/>
      <c r="RTM54" s="113"/>
      <c r="RTN54" s="113"/>
      <c r="RTO54" s="113"/>
      <c r="RTP54" s="113"/>
      <c r="RTQ54" s="113"/>
      <c r="RTR54" s="113"/>
      <c r="RTS54" s="113"/>
      <c r="RTT54" s="113"/>
      <c r="RTU54" s="113"/>
      <c r="RTV54" s="113"/>
      <c r="RTW54" s="113"/>
      <c r="RTX54" s="113"/>
      <c r="RTY54" s="113"/>
      <c r="RTZ54" s="113"/>
      <c r="RUA54" s="113"/>
      <c r="RUB54" s="113"/>
      <c r="RUC54" s="113"/>
      <c r="RUD54" s="113"/>
      <c r="RUE54" s="113"/>
      <c r="RUF54" s="113"/>
      <c r="RUG54" s="113"/>
      <c r="RUH54" s="113"/>
      <c r="RUI54" s="113"/>
      <c r="RUJ54" s="113"/>
      <c r="RUK54" s="113"/>
      <c r="RUL54" s="113"/>
      <c r="RUM54" s="113"/>
      <c r="RUN54" s="113"/>
      <c r="RUO54" s="113"/>
      <c r="RUP54" s="113"/>
      <c r="RUQ54" s="113"/>
      <c r="RUR54" s="113"/>
      <c r="RUS54" s="113"/>
      <c r="RUT54" s="113"/>
      <c r="RUU54" s="113"/>
      <c r="RUV54" s="113"/>
      <c r="RUW54" s="113"/>
      <c r="RUX54" s="113"/>
      <c r="RUY54" s="113"/>
      <c r="RUZ54" s="113"/>
      <c r="RVA54" s="113"/>
      <c r="RVB54" s="113"/>
      <c r="RVC54" s="113"/>
      <c r="RVD54" s="113"/>
      <c r="RVE54" s="113"/>
      <c r="RVF54" s="113"/>
      <c r="RVG54" s="113"/>
      <c r="RVH54" s="113"/>
      <c r="RVI54" s="113"/>
      <c r="RVJ54" s="113"/>
      <c r="RVK54" s="113"/>
      <c r="RVL54" s="113"/>
      <c r="RVM54" s="113"/>
      <c r="RVN54" s="113"/>
      <c r="RVO54" s="113"/>
      <c r="RVP54" s="113"/>
      <c r="RVQ54" s="113"/>
      <c r="RVR54" s="113"/>
      <c r="RVS54" s="113"/>
      <c r="RVT54" s="113"/>
      <c r="RVU54" s="113"/>
      <c r="RVV54" s="113"/>
      <c r="RVW54" s="113"/>
      <c r="RVX54" s="113"/>
      <c r="RVY54" s="113"/>
      <c r="RVZ54" s="113"/>
      <c r="RWA54" s="113"/>
      <c r="RWB54" s="113"/>
      <c r="RWC54" s="113"/>
      <c r="RWD54" s="113"/>
      <c r="RWE54" s="113"/>
      <c r="RWF54" s="113"/>
      <c r="RWG54" s="113"/>
      <c r="RWH54" s="113"/>
      <c r="RWI54" s="113"/>
      <c r="RWJ54" s="113"/>
      <c r="RWK54" s="113"/>
      <c r="RWL54" s="113"/>
      <c r="RWM54" s="113"/>
      <c r="RWN54" s="113"/>
      <c r="RWO54" s="113"/>
      <c r="RWP54" s="113"/>
      <c r="RWQ54" s="113"/>
      <c r="RWR54" s="113"/>
      <c r="RWS54" s="113"/>
      <c r="RWT54" s="113"/>
      <c r="RWU54" s="113"/>
      <c r="RWV54" s="113"/>
      <c r="RWW54" s="113"/>
      <c r="RWX54" s="113"/>
      <c r="RWY54" s="113"/>
      <c r="RWZ54" s="113"/>
      <c r="RXA54" s="113"/>
      <c r="RXB54" s="113"/>
      <c r="RXC54" s="113"/>
      <c r="RXD54" s="113"/>
      <c r="RXE54" s="113"/>
      <c r="RXF54" s="113"/>
      <c r="RXG54" s="113"/>
      <c r="RXH54" s="113"/>
      <c r="RXI54" s="113"/>
      <c r="RXJ54" s="113"/>
      <c r="RXK54" s="113"/>
      <c r="RXL54" s="113"/>
      <c r="RXM54" s="113"/>
      <c r="RXN54" s="113"/>
      <c r="RXO54" s="113"/>
      <c r="RXP54" s="113"/>
      <c r="RXQ54" s="113"/>
      <c r="RXR54" s="113"/>
      <c r="RXS54" s="113"/>
      <c r="RXT54" s="113"/>
      <c r="RXU54" s="113"/>
      <c r="RXV54" s="113"/>
      <c r="RXW54" s="113"/>
      <c r="RXX54" s="113"/>
      <c r="RXY54" s="113"/>
      <c r="RXZ54" s="113"/>
      <c r="RYA54" s="113"/>
      <c r="RYB54" s="113"/>
      <c r="RYC54" s="113"/>
      <c r="RYD54" s="113"/>
      <c r="RYE54" s="113"/>
      <c r="RYF54" s="113"/>
      <c r="RYG54" s="113"/>
      <c r="RYH54" s="113"/>
      <c r="RYI54" s="113"/>
      <c r="RYJ54" s="113"/>
      <c r="RYK54" s="113"/>
      <c r="RYL54" s="113"/>
      <c r="RYM54" s="113"/>
      <c r="RYN54" s="113"/>
      <c r="RYO54" s="113"/>
      <c r="RYP54" s="113"/>
      <c r="RYQ54" s="113"/>
      <c r="RYR54" s="113"/>
      <c r="RYS54" s="113"/>
      <c r="RYT54" s="113"/>
      <c r="RYU54" s="113"/>
      <c r="RYV54" s="113"/>
      <c r="RYW54" s="113"/>
      <c r="RYX54" s="113"/>
      <c r="RYY54" s="113"/>
      <c r="RYZ54" s="113"/>
      <c r="RZA54" s="113"/>
      <c r="RZB54" s="113"/>
      <c r="RZC54" s="113"/>
      <c r="RZD54" s="113"/>
      <c r="RZE54" s="113"/>
      <c r="RZF54" s="113"/>
      <c r="RZG54" s="113"/>
      <c r="RZH54" s="113"/>
      <c r="RZI54" s="113"/>
      <c r="RZJ54" s="113"/>
      <c r="RZK54" s="113"/>
      <c r="RZL54" s="113"/>
      <c r="RZM54" s="113"/>
      <c r="RZN54" s="113"/>
      <c r="RZO54" s="113"/>
      <c r="RZP54" s="113"/>
      <c r="RZQ54" s="113"/>
      <c r="RZR54" s="113"/>
      <c r="RZS54" s="113"/>
      <c r="RZT54" s="113"/>
      <c r="RZU54" s="113"/>
      <c r="RZV54" s="113"/>
      <c r="RZW54" s="113"/>
      <c r="RZX54" s="113"/>
      <c r="RZY54" s="113"/>
      <c r="RZZ54" s="113"/>
      <c r="SAA54" s="113"/>
      <c r="SAB54" s="113"/>
      <c r="SAC54" s="113"/>
      <c r="SAD54" s="113"/>
      <c r="SAE54" s="113"/>
      <c r="SAF54" s="113"/>
      <c r="SAG54" s="113"/>
      <c r="SAH54" s="113"/>
      <c r="SAI54" s="113"/>
      <c r="SAJ54" s="113"/>
      <c r="SAK54" s="113"/>
      <c r="SAL54" s="113"/>
      <c r="SAM54" s="113"/>
      <c r="SAN54" s="113"/>
      <c r="SAO54" s="113"/>
      <c r="SAP54" s="113"/>
      <c r="SAQ54" s="113"/>
      <c r="SAR54" s="113"/>
      <c r="SAS54" s="113"/>
      <c r="SAT54" s="113"/>
      <c r="SAU54" s="113"/>
      <c r="SAV54" s="113"/>
      <c r="SAW54" s="113"/>
      <c r="SAX54" s="113"/>
      <c r="SAY54" s="113"/>
      <c r="SAZ54" s="113"/>
      <c r="SBA54" s="113"/>
      <c r="SBB54" s="113"/>
      <c r="SBC54" s="113"/>
      <c r="SBD54" s="113"/>
      <c r="SBE54" s="113"/>
      <c r="SBF54" s="113"/>
      <c r="SBG54" s="113"/>
      <c r="SBH54" s="113"/>
      <c r="SBI54" s="113"/>
      <c r="SBJ54" s="113"/>
      <c r="SBK54" s="113"/>
      <c r="SBL54" s="113"/>
      <c r="SBM54" s="113"/>
      <c r="SBN54" s="113"/>
      <c r="SBO54" s="113"/>
      <c r="SBP54" s="113"/>
      <c r="SBQ54" s="113"/>
      <c r="SBR54" s="113"/>
      <c r="SBS54" s="113"/>
      <c r="SBT54" s="113"/>
      <c r="SBU54" s="113"/>
      <c r="SBV54" s="113"/>
      <c r="SBW54" s="113"/>
      <c r="SBX54" s="113"/>
      <c r="SBY54" s="113"/>
      <c r="SBZ54" s="113"/>
      <c r="SCA54" s="113"/>
      <c r="SCB54" s="113"/>
      <c r="SCC54" s="113"/>
      <c r="SCD54" s="113"/>
      <c r="SCE54" s="113"/>
      <c r="SCF54" s="113"/>
      <c r="SCG54" s="113"/>
      <c r="SCH54" s="113"/>
      <c r="SCI54" s="113"/>
      <c r="SCJ54" s="113"/>
      <c r="SCK54" s="113"/>
      <c r="SCL54" s="113"/>
      <c r="SCM54" s="113"/>
      <c r="SCN54" s="113"/>
      <c r="SCO54" s="113"/>
      <c r="SCP54" s="113"/>
      <c r="SCQ54" s="113"/>
      <c r="SCR54" s="113"/>
      <c r="SCS54" s="113"/>
      <c r="SCT54" s="113"/>
      <c r="SCU54" s="113"/>
      <c r="SCV54" s="113"/>
      <c r="SCW54" s="113"/>
      <c r="SCX54" s="113"/>
      <c r="SCY54" s="113"/>
      <c r="SCZ54" s="113"/>
      <c r="SDA54" s="113"/>
      <c r="SDB54" s="113"/>
      <c r="SDC54" s="113"/>
      <c r="SDD54" s="113"/>
      <c r="SDE54" s="113"/>
      <c r="SDF54" s="113"/>
      <c r="SDG54" s="113"/>
      <c r="SDH54" s="113"/>
      <c r="SDI54" s="113"/>
      <c r="SDJ54" s="113"/>
      <c r="SDK54" s="113"/>
      <c r="SDL54" s="113"/>
      <c r="SDM54" s="113"/>
      <c r="SDN54" s="113"/>
      <c r="SDO54" s="113"/>
      <c r="SDP54" s="113"/>
      <c r="SDQ54" s="113"/>
      <c r="SDR54" s="113"/>
      <c r="SDS54" s="113"/>
      <c r="SDT54" s="113"/>
      <c r="SDU54" s="113"/>
      <c r="SDV54" s="113"/>
      <c r="SDW54" s="113"/>
      <c r="SDX54" s="113"/>
      <c r="SDY54" s="113"/>
      <c r="SDZ54" s="113"/>
      <c r="SEA54" s="113"/>
      <c r="SEB54" s="113"/>
      <c r="SEC54" s="113"/>
      <c r="SED54" s="113"/>
      <c r="SEE54" s="113"/>
      <c r="SEF54" s="113"/>
      <c r="SEG54" s="113"/>
      <c r="SEH54" s="113"/>
      <c r="SEI54" s="113"/>
      <c r="SEJ54" s="113"/>
      <c r="SEK54" s="113"/>
      <c r="SEL54" s="113"/>
      <c r="SEM54" s="113"/>
      <c r="SEN54" s="113"/>
      <c r="SEO54" s="113"/>
      <c r="SEP54" s="113"/>
      <c r="SEQ54" s="113"/>
      <c r="SER54" s="113"/>
      <c r="SES54" s="113"/>
      <c r="SET54" s="113"/>
      <c r="SEU54" s="113"/>
      <c r="SEV54" s="113"/>
      <c r="SEW54" s="113"/>
      <c r="SEX54" s="113"/>
      <c r="SEY54" s="113"/>
      <c r="SEZ54" s="113"/>
      <c r="SFA54" s="113"/>
      <c r="SFB54" s="113"/>
      <c r="SFC54" s="113"/>
      <c r="SFD54" s="113"/>
      <c r="SFE54" s="113"/>
      <c r="SFF54" s="113"/>
      <c r="SFG54" s="113"/>
      <c r="SFH54" s="113"/>
      <c r="SFI54" s="113"/>
      <c r="SFJ54" s="113"/>
      <c r="SFK54" s="113"/>
      <c r="SFL54" s="113"/>
      <c r="SFM54" s="113"/>
      <c r="SFN54" s="113"/>
      <c r="SFO54" s="113"/>
      <c r="SFP54" s="113"/>
      <c r="SFQ54" s="113"/>
      <c r="SFR54" s="113"/>
      <c r="SFS54" s="113"/>
      <c r="SFT54" s="113"/>
      <c r="SFU54" s="113"/>
      <c r="SFV54" s="113"/>
      <c r="SFW54" s="113"/>
      <c r="SFX54" s="113"/>
      <c r="SFY54" s="113"/>
      <c r="SFZ54" s="113"/>
      <c r="SGA54" s="113"/>
      <c r="SGB54" s="113"/>
      <c r="SGC54" s="113"/>
      <c r="SGD54" s="113"/>
      <c r="SGE54" s="113"/>
      <c r="SGF54" s="113"/>
      <c r="SGG54" s="113"/>
      <c r="SGH54" s="113"/>
      <c r="SGI54" s="113"/>
      <c r="SGJ54" s="113"/>
      <c r="SGK54" s="113"/>
      <c r="SGL54" s="113"/>
      <c r="SGM54" s="113"/>
      <c r="SGN54" s="113"/>
      <c r="SGO54" s="113"/>
      <c r="SGP54" s="113"/>
      <c r="SGQ54" s="113"/>
      <c r="SGR54" s="113"/>
      <c r="SGS54" s="113"/>
      <c r="SGT54" s="113"/>
      <c r="SGU54" s="113"/>
      <c r="SGV54" s="113"/>
      <c r="SGW54" s="113"/>
      <c r="SGX54" s="113"/>
      <c r="SGY54" s="113"/>
      <c r="SGZ54" s="113"/>
      <c r="SHA54" s="113"/>
      <c r="SHB54" s="113"/>
      <c r="SHC54" s="113"/>
      <c r="SHD54" s="113"/>
      <c r="SHE54" s="113"/>
      <c r="SHF54" s="113"/>
      <c r="SHG54" s="113"/>
      <c r="SHH54" s="113"/>
      <c r="SHI54" s="113"/>
      <c r="SHJ54" s="113"/>
      <c r="SHK54" s="113"/>
      <c r="SHL54" s="113"/>
      <c r="SHM54" s="113"/>
      <c r="SHN54" s="113"/>
      <c r="SHO54" s="113"/>
      <c r="SHP54" s="113"/>
      <c r="SHQ54" s="113"/>
      <c r="SHR54" s="113"/>
      <c r="SHS54" s="113"/>
      <c r="SHT54" s="113"/>
      <c r="SHU54" s="113"/>
      <c r="SHV54" s="113"/>
      <c r="SHW54" s="113"/>
      <c r="SHX54" s="113"/>
      <c r="SHY54" s="113"/>
      <c r="SHZ54" s="113"/>
      <c r="SIA54" s="113"/>
      <c r="SIB54" s="113"/>
      <c r="SIC54" s="113"/>
      <c r="SID54" s="113"/>
      <c r="SIE54" s="113"/>
      <c r="SIF54" s="113"/>
      <c r="SIG54" s="113"/>
      <c r="SIH54" s="113"/>
      <c r="SII54" s="113"/>
      <c r="SIJ54" s="113"/>
      <c r="SIK54" s="113"/>
      <c r="SIL54" s="113"/>
      <c r="SIM54" s="113"/>
      <c r="SIN54" s="113"/>
      <c r="SIO54" s="113"/>
      <c r="SIP54" s="113"/>
      <c r="SIQ54" s="113"/>
      <c r="SIR54" s="113"/>
      <c r="SIS54" s="113"/>
      <c r="SIT54" s="113"/>
      <c r="SIU54" s="113"/>
      <c r="SIV54" s="113"/>
      <c r="SIW54" s="113"/>
      <c r="SIX54" s="113"/>
      <c r="SIY54" s="113"/>
      <c r="SIZ54" s="113"/>
      <c r="SJA54" s="113"/>
      <c r="SJB54" s="113"/>
      <c r="SJC54" s="113"/>
      <c r="SJD54" s="113"/>
      <c r="SJE54" s="113"/>
      <c r="SJF54" s="113"/>
      <c r="SJG54" s="113"/>
      <c r="SJH54" s="113"/>
      <c r="SJI54" s="113"/>
      <c r="SJJ54" s="113"/>
      <c r="SJK54" s="113"/>
      <c r="SJL54" s="113"/>
      <c r="SJM54" s="113"/>
      <c r="SJN54" s="113"/>
      <c r="SJO54" s="113"/>
      <c r="SJP54" s="113"/>
      <c r="SJQ54" s="113"/>
      <c r="SJR54" s="113"/>
      <c r="SJS54" s="113"/>
      <c r="SJT54" s="113"/>
      <c r="SJU54" s="113"/>
      <c r="SJV54" s="113"/>
      <c r="SJW54" s="113"/>
      <c r="SJX54" s="113"/>
      <c r="SJY54" s="113"/>
      <c r="SJZ54" s="113"/>
      <c r="SKA54" s="113"/>
      <c r="SKB54" s="113"/>
      <c r="SKC54" s="113"/>
      <c r="SKD54" s="113"/>
      <c r="SKE54" s="113"/>
      <c r="SKF54" s="113"/>
      <c r="SKG54" s="113"/>
      <c r="SKH54" s="113"/>
      <c r="SKI54" s="113"/>
      <c r="SKJ54" s="113"/>
      <c r="SKK54" s="113"/>
      <c r="SKL54" s="113"/>
      <c r="SKM54" s="113"/>
      <c r="SKN54" s="113"/>
      <c r="SKO54" s="113"/>
      <c r="SKP54" s="113"/>
      <c r="SKQ54" s="113"/>
      <c r="SKR54" s="113"/>
      <c r="SKS54" s="113"/>
      <c r="SKT54" s="113"/>
      <c r="SKU54" s="113"/>
      <c r="SKV54" s="113"/>
      <c r="SKW54" s="113"/>
      <c r="SKX54" s="113"/>
      <c r="SKY54" s="113"/>
      <c r="SKZ54" s="113"/>
      <c r="SLA54" s="113"/>
      <c r="SLB54" s="113"/>
      <c r="SLC54" s="113"/>
      <c r="SLD54" s="113"/>
      <c r="SLE54" s="113"/>
      <c r="SLF54" s="113"/>
      <c r="SLG54" s="113"/>
      <c r="SLH54" s="113"/>
      <c r="SLI54" s="113"/>
      <c r="SLJ54" s="113"/>
      <c r="SLK54" s="113"/>
      <c r="SLL54" s="113"/>
      <c r="SLM54" s="113"/>
      <c r="SLN54" s="113"/>
      <c r="SLO54" s="113"/>
      <c r="SLP54" s="113"/>
      <c r="SLQ54" s="113"/>
      <c r="SLR54" s="113"/>
      <c r="SLS54" s="113"/>
      <c r="SLT54" s="113"/>
      <c r="SLU54" s="113"/>
      <c r="SLV54" s="113"/>
      <c r="SLW54" s="113"/>
      <c r="SLX54" s="113"/>
      <c r="SLY54" s="113"/>
      <c r="SLZ54" s="113"/>
      <c r="SMA54" s="113"/>
      <c r="SMB54" s="113"/>
      <c r="SMC54" s="113"/>
      <c r="SMD54" s="113"/>
      <c r="SME54" s="113"/>
      <c r="SMF54" s="113"/>
      <c r="SMG54" s="113"/>
      <c r="SMH54" s="113"/>
      <c r="SMI54" s="113"/>
      <c r="SMJ54" s="113"/>
      <c r="SMK54" s="113"/>
      <c r="SML54" s="113"/>
      <c r="SMM54" s="113"/>
      <c r="SMN54" s="113"/>
      <c r="SMO54" s="113"/>
      <c r="SMP54" s="113"/>
      <c r="SMQ54" s="113"/>
      <c r="SMR54" s="113"/>
      <c r="SMS54" s="113"/>
      <c r="SMT54" s="113"/>
      <c r="SMU54" s="113"/>
      <c r="SMV54" s="113"/>
      <c r="SMW54" s="113"/>
      <c r="SMX54" s="113"/>
      <c r="SMY54" s="113"/>
      <c r="SMZ54" s="113"/>
      <c r="SNA54" s="113"/>
      <c r="SNB54" s="113"/>
      <c r="SNC54" s="113"/>
      <c r="SND54" s="113"/>
      <c r="SNE54" s="113"/>
      <c r="SNF54" s="113"/>
      <c r="SNG54" s="113"/>
      <c r="SNH54" s="113"/>
      <c r="SNI54" s="113"/>
      <c r="SNJ54" s="113"/>
      <c r="SNK54" s="113"/>
      <c r="SNL54" s="113"/>
      <c r="SNM54" s="113"/>
      <c r="SNN54" s="113"/>
      <c r="SNO54" s="113"/>
      <c r="SNP54" s="113"/>
      <c r="SNQ54" s="113"/>
      <c r="SNR54" s="113"/>
      <c r="SNS54" s="113"/>
      <c r="SNT54" s="113"/>
      <c r="SNU54" s="113"/>
      <c r="SNV54" s="113"/>
      <c r="SNW54" s="113"/>
      <c r="SNX54" s="113"/>
      <c r="SNY54" s="113"/>
      <c r="SNZ54" s="113"/>
      <c r="SOA54" s="113"/>
      <c r="SOB54" s="113"/>
      <c r="SOC54" s="113"/>
      <c r="SOD54" s="113"/>
      <c r="SOE54" s="113"/>
      <c r="SOF54" s="113"/>
      <c r="SOG54" s="113"/>
      <c r="SOH54" s="113"/>
      <c r="SOI54" s="113"/>
      <c r="SOJ54" s="113"/>
      <c r="SOK54" s="113"/>
      <c r="SOL54" s="113"/>
      <c r="SOM54" s="113"/>
      <c r="SON54" s="113"/>
      <c r="SOO54" s="113"/>
      <c r="SOP54" s="113"/>
      <c r="SOQ54" s="113"/>
      <c r="SOR54" s="113"/>
      <c r="SOS54" s="113"/>
      <c r="SOT54" s="113"/>
      <c r="SOU54" s="113"/>
      <c r="SOV54" s="113"/>
      <c r="SOW54" s="113"/>
      <c r="SOX54" s="113"/>
      <c r="SOY54" s="113"/>
      <c r="SOZ54" s="113"/>
      <c r="SPA54" s="113"/>
      <c r="SPB54" s="113"/>
      <c r="SPC54" s="113"/>
      <c r="SPD54" s="113"/>
      <c r="SPE54" s="113"/>
      <c r="SPF54" s="113"/>
      <c r="SPG54" s="113"/>
      <c r="SPH54" s="113"/>
      <c r="SPI54" s="113"/>
      <c r="SPJ54" s="113"/>
      <c r="SPK54" s="113"/>
      <c r="SPL54" s="113"/>
      <c r="SPM54" s="113"/>
      <c r="SPN54" s="113"/>
      <c r="SPO54" s="113"/>
      <c r="SPP54" s="113"/>
      <c r="SPQ54" s="113"/>
      <c r="SPR54" s="113"/>
      <c r="SPS54" s="113"/>
      <c r="SPT54" s="113"/>
      <c r="SPU54" s="113"/>
      <c r="SPV54" s="113"/>
      <c r="SPW54" s="113"/>
      <c r="SPX54" s="113"/>
      <c r="SPY54" s="113"/>
      <c r="SPZ54" s="113"/>
      <c r="SQA54" s="113"/>
      <c r="SQB54" s="113"/>
      <c r="SQC54" s="113"/>
      <c r="SQD54" s="113"/>
      <c r="SQE54" s="113"/>
      <c r="SQF54" s="113"/>
      <c r="SQG54" s="113"/>
      <c r="SQH54" s="113"/>
      <c r="SQI54" s="113"/>
      <c r="SQJ54" s="113"/>
      <c r="SQK54" s="113"/>
      <c r="SQL54" s="113"/>
      <c r="SQM54" s="113"/>
      <c r="SQN54" s="113"/>
      <c r="SQO54" s="113"/>
      <c r="SQP54" s="113"/>
      <c r="SQQ54" s="113"/>
      <c r="SQR54" s="113"/>
      <c r="SQS54" s="113"/>
      <c r="SQT54" s="113"/>
      <c r="SQU54" s="113"/>
      <c r="SQV54" s="113"/>
      <c r="SQW54" s="113"/>
      <c r="SQX54" s="113"/>
      <c r="SQY54" s="113"/>
      <c r="SQZ54" s="113"/>
      <c r="SRA54" s="113"/>
      <c r="SRB54" s="113"/>
      <c r="SRC54" s="113"/>
      <c r="SRD54" s="113"/>
      <c r="SRE54" s="113"/>
      <c r="SRF54" s="113"/>
      <c r="SRG54" s="113"/>
      <c r="SRH54" s="113"/>
      <c r="SRI54" s="113"/>
      <c r="SRJ54" s="113"/>
      <c r="SRK54" s="113"/>
      <c r="SRL54" s="113"/>
      <c r="SRM54" s="113"/>
      <c r="SRN54" s="113"/>
      <c r="SRO54" s="113"/>
      <c r="SRP54" s="113"/>
      <c r="SRQ54" s="113"/>
      <c r="SRR54" s="113"/>
      <c r="SRS54" s="113"/>
      <c r="SRT54" s="113"/>
      <c r="SRU54" s="113"/>
      <c r="SRV54" s="113"/>
      <c r="SRW54" s="113"/>
      <c r="SRX54" s="113"/>
      <c r="SRY54" s="113"/>
      <c r="SRZ54" s="113"/>
      <c r="SSA54" s="113"/>
      <c r="SSB54" s="113"/>
      <c r="SSC54" s="113"/>
      <c r="SSD54" s="113"/>
      <c r="SSE54" s="113"/>
      <c r="SSF54" s="113"/>
      <c r="SSG54" s="113"/>
      <c r="SSH54" s="113"/>
      <c r="SSI54" s="113"/>
      <c r="SSJ54" s="113"/>
      <c r="SSK54" s="113"/>
      <c r="SSL54" s="113"/>
      <c r="SSM54" s="113"/>
      <c r="SSN54" s="113"/>
      <c r="SSO54" s="113"/>
      <c r="SSP54" s="113"/>
      <c r="SSQ54" s="113"/>
      <c r="SSR54" s="113"/>
      <c r="SSS54" s="113"/>
      <c r="SST54" s="113"/>
      <c r="SSU54" s="113"/>
      <c r="SSV54" s="113"/>
      <c r="SSW54" s="113"/>
      <c r="SSX54" s="113"/>
      <c r="SSY54" s="113"/>
      <c r="SSZ54" s="113"/>
      <c r="STA54" s="113"/>
      <c r="STB54" s="113"/>
      <c r="STC54" s="113"/>
      <c r="STD54" s="113"/>
      <c r="STE54" s="113"/>
      <c r="STF54" s="113"/>
      <c r="STG54" s="113"/>
      <c r="STH54" s="113"/>
      <c r="STI54" s="113"/>
      <c r="STJ54" s="113"/>
      <c r="STK54" s="113"/>
      <c r="STL54" s="113"/>
      <c r="STM54" s="113"/>
      <c r="STN54" s="113"/>
      <c r="STO54" s="113"/>
      <c r="STP54" s="113"/>
      <c r="STQ54" s="113"/>
      <c r="STR54" s="113"/>
      <c r="STS54" s="113"/>
      <c r="STT54" s="113"/>
      <c r="STU54" s="113"/>
      <c r="STV54" s="113"/>
      <c r="STW54" s="113"/>
      <c r="STX54" s="113"/>
      <c r="STY54" s="113"/>
      <c r="STZ54" s="113"/>
      <c r="SUA54" s="113"/>
      <c r="SUB54" s="113"/>
      <c r="SUC54" s="113"/>
      <c r="SUD54" s="113"/>
      <c r="SUE54" s="113"/>
      <c r="SUF54" s="113"/>
      <c r="SUG54" s="113"/>
      <c r="SUH54" s="113"/>
      <c r="SUI54" s="113"/>
      <c r="SUJ54" s="113"/>
      <c r="SUK54" s="113"/>
      <c r="SUL54" s="113"/>
      <c r="SUM54" s="113"/>
      <c r="SUN54" s="113"/>
      <c r="SUO54" s="113"/>
      <c r="SUP54" s="113"/>
      <c r="SUQ54" s="113"/>
      <c r="SUR54" s="113"/>
      <c r="SUS54" s="113"/>
      <c r="SUT54" s="113"/>
      <c r="SUU54" s="113"/>
      <c r="SUV54" s="113"/>
      <c r="SUW54" s="113"/>
      <c r="SUX54" s="113"/>
      <c r="SUY54" s="113"/>
      <c r="SUZ54" s="113"/>
      <c r="SVA54" s="113"/>
      <c r="SVB54" s="113"/>
      <c r="SVC54" s="113"/>
      <c r="SVD54" s="113"/>
      <c r="SVE54" s="113"/>
      <c r="SVF54" s="113"/>
      <c r="SVG54" s="113"/>
      <c r="SVH54" s="113"/>
      <c r="SVI54" s="113"/>
      <c r="SVJ54" s="113"/>
      <c r="SVK54" s="113"/>
      <c r="SVL54" s="113"/>
      <c r="SVM54" s="113"/>
      <c r="SVN54" s="113"/>
      <c r="SVO54" s="113"/>
      <c r="SVP54" s="113"/>
      <c r="SVQ54" s="113"/>
      <c r="SVR54" s="113"/>
      <c r="SVS54" s="113"/>
      <c r="SVT54" s="113"/>
      <c r="SVU54" s="113"/>
      <c r="SVV54" s="113"/>
      <c r="SVW54" s="113"/>
      <c r="SVX54" s="113"/>
      <c r="SVY54" s="113"/>
      <c r="SVZ54" s="113"/>
      <c r="SWA54" s="113"/>
      <c r="SWB54" s="113"/>
      <c r="SWC54" s="113"/>
      <c r="SWD54" s="113"/>
      <c r="SWE54" s="113"/>
      <c r="SWF54" s="113"/>
      <c r="SWG54" s="113"/>
      <c r="SWH54" s="113"/>
      <c r="SWI54" s="113"/>
      <c r="SWJ54" s="113"/>
      <c r="SWK54" s="113"/>
      <c r="SWL54" s="113"/>
      <c r="SWM54" s="113"/>
      <c r="SWN54" s="113"/>
      <c r="SWO54" s="113"/>
      <c r="SWP54" s="113"/>
      <c r="SWQ54" s="113"/>
      <c r="SWR54" s="113"/>
      <c r="SWS54" s="113"/>
      <c r="SWT54" s="113"/>
      <c r="SWU54" s="113"/>
      <c r="SWV54" s="113"/>
      <c r="SWW54" s="113"/>
      <c r="SWX54" s="113"/>
      <c r="SWY54" s="113"/>
      <c r="SWZ54" s="113"/>
      <c r="SXA54" s="113"/>
      <c r="SXB54" s="113"/>
      <c r="SXC54" s="113"/>
      <c r="SXD54" s="113"/>
      <c r="SXE54" s="113"/>
      <c r="SXF54" s="113"/>
      <c r="SXG54" s="113"/>
      <c r="SXH54" s="113"/>
      <c r="SXI54" s="113"/>
      <c r="SXJ54" s="113"/>
      <c r="SXK54" s="113"/>
      <c r="SXL54" s="113"/>
      <c r="SXM54" s="113"/>
      <c r="SXN54" s="113"/>
      <c r="SXO54" s="113"/>
      <c r="SXP54" s="113"/>
      <c r="SXQ54" s="113"/>
      <c r="SXR54" s="113"/>
      <c r="SXS54" s="113"/>
      <c r="SXT54" s="113"/>
      <c r="SXU54" s="113"/>
      <c r="SXV54" s="113"/>
      <c r="SXW54" s="113"/>
      <c r="SXX54" s="113"/>
      <c r="SXY54" s="113"/>
      <c r="SXZ54" s="113"/>
      <c r="SYA54" s="113"/>
      <c r="SYB54" s="113"/>
      <c r="SYC54" s="113"/>
      <c r="SYD54" s="113"/>
      <c r="SYE54" s="113"/>
      <c r="SYF54" s="113"/>
      <c r="SYG54" s="113"/>
      <c r="SYH54" s="113"/>
      <c r="SYI54" s="113"/>
      <c r="SYJ54" s="113"/>
      <c r="SYK54" s="113"/>
      <c r="SYL54" s="113"/>
      <c r="SYM54" s="113"/>
      <c r="SYN54" s="113"/>
      <c r="SYO54" s="113"/>
      <c r="SYP54" s="113"/>
      <c r="SYQ54" s="113"/>
      <c r="SYR54" s="113"/>
      <c r="SYS54" s="113"/>
      <c r="SYT54" s="113"/>
      <c r="SYU54" s="113"/>
      <c r="SYV54" s="113"/>
      <c r="SYW54" s="113"/>
      <c r="SYX54" s="113"/>
      <c r="SYY54" s="113"/>
      <c r="SYZ54" s="113"/>
      <c r="SZA54" s="113"/>
      <c r="SZB54" s="113"/>
      <c r="SZC54" s="113"/>
      <c r="SZD54" s="113"/>
      <c r="SZE54" s="113"/>
      <c r="SZF54" s="113"/>
      <c r="SZG54" s="113"/>
      <c r="SZH54" s="113"/>
      <c r="SZI54" s="113"/>
      <c r="SZJ54" s="113"/>
      <c r="SZK54" s="113"/>
      <c r="SZL54" s="113"/>
      <c r="SZM54" s="113"/>
      <c r="SZN54" s="113"/>
      <c r="SZO54" s="113"/>
      <c r="SZP54" s="113"/>
      <c r="SZQ54" s="113"/>
      <c r="SZR54" s="113"/>
      <c r="SZS54" s="113"/>
      <c r="SZT54" s="113"/>
      <c r="SZU54" s="113"/>
      <c r="SZV54" s="113"/>
      <c r="SZW54" s="113"/>
      <c r="SZX54" s="113"/>
      <c r="SZY54" s="113"/>
      <c r="SZZ54" s="113"/>
      <c r="TAA54" s="113"/>
      <c r="TAB54" s="113"/>
      <c r="TAC54" s="113"/>
      <c r="TAD54" s="113"/>
      <c r="TAE54" s="113"/>
      <c r="TAF54" s="113"/>
      <c r="TAG54" s="113"/>
      <c r="TAH54" s="113"/>
      <c r="TAI54" s="113"/>
      <c r="TAJ54" s="113"/>
      <c r="TAK54" s="113"/>
      <c r="TAL54" s="113"/>
      <c r="TAM54" s="113"/>
      <c r="TAN54" s="113"/>
      <c r="TAO54" s="113"/>
      <c r="TAP54" s="113"/>
      <c r="TAQ54" s="113"/>
      <c r="TAR54" s="113"/>
      <c r="TAS54" s="113"/>
      <c r="TAT54" s="113"/>
      <c r="TAU54" s="113"/>
      <c r="TAV54" s="113"/>
      <c r="TAW54" s="113"/>
      <c r="TAX54" s="113"/>
      <c r="TAY54" s="113"/>
      <c r="TAZ54" s="113"/>
      <c r="TBA54" s="113"/>
      <c r="TBB54" s="113"/>
      <c r="TBC54" s="113"/>
      <c r="TBD54" s="113"/>
      <c r="TBE54" s="113"/>
      <c r="TBF54" s="113"/>
      <c r="TBG54" s="113"/>
      <c r="TBH54" s="113"/>
      <c r="TBI54" s="113"/>
      <c r="TBJ54" s="113"/>
      <c r="TBK54" s="113"/>
      <c r="TBL54" s="113"/>
      <c r="TBM54" s="113"/>
      <c r="TBN54" s="113"/>
      <c r="TBO54" s="113"/>
      <c r="TBP54" s="113"/>
      <c r="TBQ54" s="113"/>
      <c r="TBR54" s="113"/>
      <c r="TBS54" s="113"/>
      <c r="TBT54" s="113"/>
      <c r="TBU54" s="113"/>
      <c r="TBV54" s="113"/>
      <c r="TBW54" s="113"/>
      <c r="TBX54" s="113"/>
      <c r="TBY54" s="113"/>
      <c r="TBZ54" s="113"/>
      <c r="TCA54" s="113"/>
      <c r="TCB54" s="113"/>
      <c r="TCC54" s="113"/>
      <c r="TCD54" s="113"/>
      <c r="TCE54" s="113"/>
      <c r="TCF54" s="113"/>
      <c r="TCG54" s="113"/>
      <c r="TCH54" s="113"/>
      <c r="TCI54" s="113"/>
      <c r="TCJ54" s="113"/>
      <c r="TCK54" s="113"/>
      <c r="TCL54" s="113"/>
      <c r="TCM54" s="113"/>
      <c r="TCN54" s="113"/>
      <c r="TCO54" s="113"/>
      <c r="TCP54" s="113"/>
      <c r="TCQ54" s="113"/>
      <c r="TCR54" s="113"/>
      <c r="TCS54" s="113"/>
      <c r="TCT54" s="113"/>
      <c r="TCU54" s="113"/>
      <c r="TCV54" s="113"/>
      <c r="TCW54" s="113"/>
      <c r="TCX54" s="113"/>
      <c r="TCY54" s="113"/>
      <c r="TCZ54" s="113"/>
      <c r="TDA54" s="113"/>
      <c r="TDB54" s="113"/>
      <c r="TDC54" s="113"/>
      <c r="TDD54" s="113"/>
      <c r="TDE54" s="113"/>
      <c r="TDF54" s="113"/>
      <c r="TDG54" s="113"/>
      <c r="TDH54" s="113"/>
      <c r="TDI54" s="113"/>
      <c r="TDJ54" s="113"/>
      <c r="TDK54" s="113"/>
      <c r="TDL54" s="113"/>
      <c r="TDM54" s="113"/>
      <c r="TDN54" s="113"/>
      <c r="TDO54" s="113"/>
      <c r="TDP54" s="113"/>
      <c r="TDQ54" s="113"/>
      <c r="TDR54" s="113"/>
      <c r="TDS54" s="113"/>
      <c r="TDT54" s="113"/>
      <c r="TDU54" s="113"/>
      <c r="TDV54" s="113"/>
      <c r="TDW54" s="113"/>
      <c r="TDX54" s="113"/>
      <c r="TDY54" s="113"/>
      <c r="TDZ54" s="113"/>
      <c r="TEA54" s="113"/>
      <c r="TEB54" s="113"/>
      <c r="TEC54" s="113"/>
      <c r="TED54" s="113"/>
      <c r="TEE54" s="113"/>
      <c r="TEF54" s="113"/>
      <c r="TEG54" s="113"/>
      <c r="TEH54" s="113"/>
      <c r="TEI54" s="113"/>
      <c r="TEJ54" s="113"/>
      <c r="TEK54" s="113"/>
      <c r="TEL54" s="113"/>
      <c r="TEM54" s="113"/>
      <c r="TEN54" s="113"/>
      <c r="TEO54" s="113"/>
      <c r="TEP54" s="113"/>
      <c r="TEQ54" s="113"/>
      <c r="TER54" s="113"/>
      <c r="TES54" s="113"/>
      <c r="TET54" s="113"/>
      <c r="TEU54" s="113"/>
      <c r="TEV54" s="113"/>
      <c r="TEW54" s="113"/>
      <c r="TEX54" s="113"/>
      <c r="TEY54" s="113"/>
      <c r="TEZ54" s="113"/>
      <c r="TFA54" s="113"/>
      <c r="TFB54" s="113"/>
      <c r="TFC54" s="113"/>
      <c r="TFD54" s="113"/>
      <c r="TFE54" s="113"/>
      <c r="TFF54" s="113"/>
      <c r="TFG54" s="113"/>
      <c r="TFH54" s="113"/>
      <c r="TFI54" s="113"/>
      <c r="TFJ54" s="113"/>
      <c r="TFK54" s="113"/>
      <c r="TFL54" s="113"/>
      <c r="TFM54" s="113"/>
      <c r="TFN54" s="113"/>
      <c r="TFO54" s="113"/>
      <c r="TFP54" s="113"/>
      <c r="TFQ54" s="113"/>
      <c r="TFR54" s="113"/>
      <c r="TFS54" s="113"/>
      <c r="TFT54" s="113"/>
      <c r="TFU54" s="113"/>
      <c r="TFV54" s="113"/>
      <c r="TFW54" s="113"/>
      <c r="TFX54" s="113"/>
      <c r="TFY54" s="113"/>
      <c r="TFZ54" s="113"/>
      <c r="TGA54" s="113"/>
      <c r="TGB54" s="113"/>
      <c r="TGC54" s="113"/>
      <c r="TGD54" s="113"/>
      <c r="TGE54" s="113"/>
      <c r="TGF54" s="113"/>
      <c r="TGG54" s="113"/>
      <c r="TGH54" s="113"/>
      <c r="TGI54" s="113"/>
      <c r="TGJ54" s="113"/>
      <c r="TGK54" s="113"/>
      <c r="TGL54" s="113"/>
      <c r="TGM54" s="113"/>
      <c r="TGN54" s="113"/>
      <c r="TGO54" s="113"/>
      <c r="TGP54" s="113"/>
      <c r="TGQ54" s="113"/>
      <c r="TGR54" s="113"/>
      <c r="TGS54" s="113"/>
      <c r="TGT54" s="113"/>
      <c r="TGU54" s="113"/>
      <c r="TGV54" s="113"/>
      <c r="TGW54" s="113"/>
      <c r="TGX54" s="113"/>
      <c r="TGY54" s="113"/>
      <c r="TGZ54" s="113"/>
      <c r="THA54" s="113"/>
      <c r="THB54" s="113"/>
      <c r="THC54" s="113"/>
      <c r="THD54" s="113"/>
      <c r="THE54" s="113"/>
      <c r="THF54" s="113"/>
      <c r="THG54" s="113"/>
      <c r="THH54" s="113"/>
      <c r="THI54" s="113"/>
      <c r="THJ54" s="113"/>
      <c r="THK54" s="113"/>
      <c r="THL54" s="113"/>
      <c r="THM54" s="113"/>
      <c r="THN54" s="113"/>
      <c r="THO54" s="113"/>
      <c r="THP54" s="113"/>
      <c r="THQ54" s="113"/>
      <c r="THR54" s="113"/>
      <c r="THS54" s="113"/>
      <c r="THT54" s="113"/>
      <c r="THU54" s="113"/>
      <c r="THV54" s="113"/>
      <c r="THW54" s="113"/>
      <c r="THX54" s="113"/>
      <c r="THY54" s="113"/>
      <c r="THZ54" s="113"/>
      <c r="TIA54" s="113"/>
      <c r="TIB54" s="113"/>
      <c r="TIC54" s="113"/>
      <c r="TID54" s="113"/>
      <c r="TIE54" s="113"/>
      <c r="TIF54" s="113"/>
      <c r="TIG54" s="113"/>
      <c r="TIH54" s="113"/>
      <c r="TII54" s="113"/>
      <c r="TIJ54" s="113"/>
      <c r="TIK54" s="113"/>
      <c r="TIL54" s="113"/>
      <c r="TIM54" s="113"/>
      <c r="TIN54" s="113"/>
      <c r="TIO54" s="113"/>
      <c r="TIP54" s="113"/>
      <c r="TIQ54" s="113"/>
      <c r="TIR54" s="113"/>
      <c r="TIS54" s="113"/>
      <c r="TIT54" s="113"/>
      <c r="TIU54" s="113"/>
      <c r="TIV54" s="113"/>
      <c r="TIW54" s="113"/>
      <c r="TIX54" s="113"/>
      <c r="TIY54" s="113"/>
      <c r="TIZ54" s="113"/>
      <c r="TJA54" s="113"/>
      <c r="TJB54" s="113"/>
      <c r="TJC54" s="113"/>
      <c r="TJD54" s="113"/>
      <c r="TJE54" s="113"/>
      <c r="TJF54" s="113"/>
      <c r="TJG54" s="113"/>
      <c r="TJH54" s="113"/>
      <c r="TJI54" s="113"/>
      <c r="TJJ54" s="113"/>
      <c r="TJK54" s="113"/>
      <c r="TJL54" s="113"/>
      <c r="TJM54" s="113"/>
      <c r="TJN54" s="113"/>
      <c r="TJO54" s="113"/>
      <c r="TJP54" s="113"/>
      <c r="TJQ54" s="113"/>
      <c r="TJR54" s="113"/>
      <c r="TJS54" s="113"/>
      <c r="TJT54" s="113"/>
      <c r="TJU54" s="113"/>
      <c r="TJV54" s="113"/>
      <c r="TJW54" s="113"/>
      <c r="TJX54" s="113"/>
      <c r="TJY54" s="113"/>
      <c r="TJZ54" s="113"/>
      <c r="TKA54" s="113"/>
      <c r="TKB54" s="113"/>
      <c r="TKC54" s="113"/>
      <c r="TKD54" s="113"/>
      <c r="TKE54" s="113"/>
      <c r="TKF54" s="113"/>
      <c r="TKG54" s="113"/>
      <c r="TKH54" s="113"/>
      <c r="TKI54" s="113"/>
      <c r="TKJ54" s="113"/>
      <c r="TKK54" s="113"/>
      <c r="TKL54" s="113"/>
      <c r="TKM54" s="113"/>
      <c r="TKN54" s="113"/>
      <c r="TKO54" s="113"/>
      <c r="TKP54" s="113"/>
      <c r="TKQ54" s="113"/>
      <c r="TKR54" s="113"/>
      <c r="TKS54" s="113"/>
      <c r="TKT54" s="113"/>
      <c r="TKU54" s="113"/>
      <c r="TKV54" s="113"/>
      <c r="TKW54" s="113"/>
      <c r="TKX54" s="113"/>
      <c r="TKY54" s="113"/>
      <c r="TKZ54" s="113"/>
      <c r="TLA54" s="113"/>
      <c r="TLB54" s="113"/>
      <c r="TLC54" s="113"/>
      <c r="TLD54" s="113"/>
      <c r="TLE54" s="113"/>
      <c r="TLF54" s="113"/>
      <c r="TLG54" s="113"/>
      <c r="TLH54" s="113"/>
      <c r="TLI54" s="113"/>
      <c r="TLJ54" s="113"/>
      <c r="TLK54" s="113"/>
      <c r="TLL54" s="113"/>
      <c r="TLM54" s="113"/>
      <c r="TLN54" s="113"/>
      <c r="TLO54" s="113"/>
      <c r="TLP54" s="113"/>
      <c r="TLQ54" s="113"/>
      <c r="TLR54" s="113"/>
      <c r="TLS54" s="113"/>
      <c r="TLT54" s="113"/>
      <c r="TLU54" s="113"/>
      <c r="TLV54" s="113"/>
      <c r="TLW54" s="113"/>
      <c r="TLX54" s="113"/>
      <c r="TLY54" s="113"/>
      <c r="TLZ54" s="113"/>
      <c r="TMA54" s="113"/>
      <c r="TMB54" s="113"/>
      <c r="TMC54" s="113"/>
      <c r="TMD54" s="113"/>
      <c r="TME54" s="113"/>
      <c r="TMF54" s="113"/>
      <c r="TMG54" s="113"/>
      <c r="TMH54" s="113"/>
      <c r="TMI54" s="113"/>
      <c r="TMJ54" s="113"/>
      <c r="TMK54" s="113"/>
      <c r="TML54" s="113"/>
      <c r="TMM54" s="113"/>
      <c r="TMN54" s="113"/>
      <c r="TMO54" s="113"/>
      <c r="TMP54" s="113"/>
      <c r="TMQ54" s="113"/>
      <c r="TMR54" s="113"/>
      <c r="TMS54" s="113"/>
      <c r="TMT54" s="113"/>
      <c r="TMU54" s="113"/>
      <c r="TMV54" s="113"/>
      <c r="TMW54" s="113"/>
      <c r="TMX54" s="113"/>
      <c r="TMY54" s="113"/>
      <c r="TMZ54" s="113"/>
      <c r="TNA54" s="113"/>
      <c r="TNB54" s="113"/>
      <c r="TNC54" s="113"/>
      <c r="TND54" s="113"/>
      <c r="TNE54" s="113"/>
      <c r="TNF54" s="113"/>
      <c r="TNG54" s="113"/>
      <c r="TNH54" s="113"/>
      <c r="TNI54" s="113"/>
      <c r="TNJ54" s="113"/>
      <c r="TNK54" s="113"/>
      <c r="TNL54" s="113"/>
      <c r="TNM54" s="113"/>
      <c r="TNN54" s="113"/>
      <c r="TNO54" s="113"/>
      <c r="TNP54" s="113"/>
      <c r="TNQ54" s="113"/>
      <c r="TNR54" s="113"/>
      <c r="TNS54" s="113"/>
      <c r="TNT54" s="113"/>
      <c r="TNU54" s="113"/>
      <c r="TNV54" s="113"/>
      <c r="TNW54" s="113"/>
      <c r="TNX54" s="113"/>
      <c r="TNY54" s="113"/>
      <c r="TNZ54" s="113"/>
      <c r="TOA54" s="113"/>
      <c r="TOB54" s="113"/>
      <c r="TOC54" s="113"/>
      <c r="TOD54" s="113"/>
      <c r="TOE54" s="113"/>
      <c r="TOF54" s="113"/>
      <c r="TOG54" s="113"/>
      <c r="TOH54" s="113"/>
      <c r="TOI54" s="113"/>
      <c r="TOJ54" s="113"/>
      <c r="TOK54" s="113"/>
      <c r="TOL54" s="113"/>
      <c r="TOM54" s="113"/>
      <c r="TON54" s="113"/>
      <c r="TOO54" s="113"/>
      <c r="TOP54" s="113"/>
      <c r="TOQ54" s="113"/>
      <c r="TOR54" s="113"/>
      <c r="TOS54" s="113"/>
      <c r="TOT54" s="113"/>
      <c r="TOU54" s="113"/>
      <c r="TOV54" s="113"/>
      <c r="TOW54" s="113"/>
      <c r="TOX54" s="113"/>
      <c r="TOY54" s="113"/>
      <c r="TOZ54" s="113"/>
      <c r="TPA54" s="113"/>
      <c r="TPB54" s="113"/>
      <c r="TPC54" s="113"/>
      <c r="TPD54" s="113"/>
      <c r="TPE54" s="113"/>
      <c r="TPF54" s="113"/>
      <c r="TPG54" s="113"/>
      <c r="TPH54" s="113"/>
      <c r="TPI54" s="113"/>
      <c r="TPJ54" s="113"/>
      <c r="TPK54" s="113"/>
      <c r="TPL54" s="113"/>
      <c r="TPM54" s="113"/>
      <c r="TPN54" s="113"/>
      <c r="TPO54" s="113"/>
      <c r="TPP54" s="113"/>
      <c r="TPQ54" s="113"/>
      <c r="TPR54" s="113"/>
      <c r="TPS54" s="113"/>
      <c r="TPT54" s="113"/>
      <c r="TPU54" s="113"/>
      <c r="TPV54" s="113"/>
      <c r="TPW54" s="113"/>
      <c r="TPX54" s="113"/>
      <c r="TPY54" s="113"/>
      <c r="TPZ54" s="113"/>
      <c r="TQA54" s="113"/>
      <c r="TQB54" s="113"/>
      <c r="TQC54" s="113"/>
      <c r="TQD54" s="113"/>
      <c r="TQE54" s="113"/>
      <c r="TQF54" s="113"/>
      <c r="TQG54" s="113"/>
      <c r="TQH54" s="113"/>
      <c r="TQI54" s="113"/>
      <c r="TQJ54" s="113"/>
      <c r="TQK54" s="113"/>
      <c r="TQL54" s="113"/>
      <c r="TQM54" s="113"/>
      <c r="TQN54" s="113"/>
      <c r="TQO54" s="113"/>
      <c r="TQP54" s="113"/>
      <c r="TQQ54" s="113"/>
      <c r="TQR54" s="113"/>
      <c r="TQS54" s="113"/>
      <c r="TQT54" s="113"/>
      <c r="TQU54" s="113"/>
      <c r="TQV54" s="113"/>
      <c r="TQW54" s="113"/>
      <c r="TQX54" s="113"/>
      <c r="TQY54" s="113"/>
      <c r="TQZ54" s="113"/>
      <c r="TRA54" s="113"/>
      <c r="TRB54" s="113"/>
      <c r="TRC54" s="113"/>
      <c r="TRD54" s="113"/>
      <c r="TRE54" s="113"/>
      <c r="TRF54" s="113"/>
      <c r="TRG54" s="113"/>
      <c r="TRH54" s="113"/>
      <c r="TRI54" s="113"/>
      <c r="TRJ54" s="113"/>
      <c r="TRK54" s="113"/>
      <c r="TRL54" s="113"/>
      <c r="TRM54" s="113"/>
      <c r="TRN54" s="113"/>
      <c r="TRO54" s="113"/>
      <c r="TRP54" s="113"/>
      <c r="TRQ54" s="113"/>
      <c r="TRR54" s="113"/>
      <c r="TRS54" s="113"/>
      <c r="TRT54" s="113"/>
      <c r="TRU54" s="113"/>
      <c r="TRV54" s="113"/>
      <c r="TRW54" s="113"/>
      <c r="TRX54" s="113"/>
      <c r="TRY54" s="113"/>
      <c r="TRZ54" s="113"/>
      <c r="TSA54" s="113"/>
      <c r="TSB54" s="113"/>
      <c r="TSC54" s="113"/>
      <c r="TSD54" s="113"/>
      <c r="TSE54" s="113"/>
      <c r="TSF54" s="113"/>
      <c r="TSG54" s="113"/>
      <c r="TSH54" s="113"/>
      <c r="TSI54" s="113"/>
      <c r="TSJ54" s="113"/>
      <c r="TSK54" s="113"/>
      <c r="TSL54" s="113"/>
      <c r="TSM54" s="113"/>
      <c r="TSN54" s="113"/>
      <c r="TSO54" s="113"/>
      <c r="TSP54" s="113"/>
      <c r="TSQ54" s="113"/>
      <c r="TSR54" s="113"/>
      <c r="TSS54" s="113"/>
      <c r="TST54" s="113"/>
      <c r="TSU54" s="113"/>
      <c r="TSV54" s="113"/>
      <c r="TSW54" s="113"/>
      <c r="TSX54" s="113"/>
      <c r="TSY54" s="113"/>
      <c r="TSZ54" s="113"/>
      <c r="TTA54" s="113"/>
      <c r="TTB54" s="113"/>
      <c r="TTC54" s="113"/>
      <c r="TTD54" s="113"/>
      <c r="TTE54" s="113"/>
      <c r="TTF54" s="113"/>
      <c r="TTG54" s="113"/>
      <c r="TTH54" s="113"/>
      <c r="TTI54" s="113"/>
      <c r="TTJ54" s="113"/>
      <c r="TTK54" s="113"/>
      <c r="TTL54" s="113"/>
      <c r="TTM54" s="113"/>
      <c r="TTN54" s="113"/>
      <c r="TTO54" s="113"/>
      <c r="TTP54" s="113"/>
      <c r="TTQ54" s="113"/>
      <c r="TTR54" s="113"/>
      <c r="TTS54" s="113"/>
      <c r="TTT54" s="113"/>
      <c r="TTU54" s="113"/>
      <c r="TTV54" s="113"/>
      <c r="TTW54" s="113"/>
      <c r="TTX54" s="113"/>
      <c r="TTY54" s="113"/>
      <c r="TTZ54" s="113"/>
      <c r="TUA54" s="113"/>
      <c r="TUB54" s="113"/>
      <c r="TUC54" s="113"/>
      <c r="TUD54" s="113"/>
      <c r="TUE54" s="113"/>
      <c r="TUF54" s="113"/>
      <c r="TUG54" s="113"/>
      <c r="TUH54" s="113"/>
      <c r="TUI54" s="113"/>
      <c r="TUJ54" s="113"/>
      <c r="TUK54" s="113"/>
      <c r="TUL54" s="113"/>
      <c r="TUM54" s="113"/>
      <c r="TUN54" s="113"/>
      <c r="TUO54" s="113"/>
      <c r="TUP54" s="113"/>
      <c r="TUQ54" s="113"/>
      <c r="TUR54" s="113"/>
      <c r="TUS54" s="113"/>
      <c r="TUT54" s="113"/>
      <c r="TUU54" s="113"/>
      <c r="TUV54" s="113"/>
      <c r="TUW54" s="113"/>
      <c r="TUX54" s="113"/>
      <c r="TUY54" s="113"/>
      <c r="TUZ54" s="113"/>
      <c r="TVA54" s="113"/>
      <c r="TVB54" s="113"/>
      <c r="TVC54" s="113"/>
      <c r="TVD54" s="113"/>
      <c r="TVE54" s="113"/>
      <c r="TVF54" s="113"/>
      <c r="TVG54" s="113"/>
      <c r="TVH54" s="113"/>
      <c r="TVI54" s="113"/>
      <c r="TVJ54" s="113"/>
      <c r="TVK54" s="113"/>
      <c r="TVL54" s="113"/>
      <c r="TVM54" s="113"/>
      <c r="TVN54" s="113"/>
      <c r="TVO54" s="113"/>
      <c r="TVP54" s="113"/>
      <c r="TVQ54" s="113"/>
      <c r="TVR54" s="113"/>
      <c r="TVS54" s="113"/>
      <c r="TVT54" s="113"/>
      <c r="TVU54" s="113"/>
      <c r="TVV54" s="113"/>
      <c r="TVW54" s="113"/>
      <c r="TVX54" s="113"/>
      <c r="TVY54" s="113"/>
      <c r="TVZ54" s="113"/>
      <c r="TWA54" s="113"/>
      <c r="TWB54" s="113"/>
      <c r="TWC54" s="113"/>
      <c r="TWD54" s="113"/>
      <c r="TWE54" s="113"/>
      <c r="TWF54" s="113"/>
      <c r="TWG54" s="113"/>
      <c r="TWH54" s="113"/>
      <c r="TWI54" s="113"/>
      <c r="TWJ54" s="113"/>
      <c r="TWK54" s="113"/>
      <c r="TWL54" s="113"/>
      <c r="TWM54" s="113"/>
      <c r="TWN54" s="113"/>
      <c r="TWO54" s="113"/>
      <c r="TWP54" s="113"/>
      <c r="TWQ54" s="113"/>
      <c r="TWR54" s="113"/>
      <c r="TWS54" s="113"/>
      <c r="TWT54" s="113"/>
      <c r="TWU54" s="113"/>
      <c r="TWV54" s="113"/>
      <c r="TWW54" s="113"/>
      <c r="TWX54" s="113"/>
      <c r="TWY54" s="113"/>
      <c r="TWZ54" s="113"/>
      <c r="TXA54" s="113"/>
      <c r="TXB54" s="113"/>
      <c r="TXC54" s="113"/>
      <c r="TXD54" s="113"/>
      <c r="TXE54" s="113"/>
      <c r="TXF54" s="113"/>
      <c r="TXG54" s="113"/>
      <c r="TXH54" s="113"/>
      <c r="TXI54" s="113"/>
      <c r="TXJ54" s="113"/>
      <c r="TXK54" s="113"/>
      <c r="TXL54" s="113"/>
      <c r="TXM54" s="113"/>
      <c r="TXN54" s="113"/>
      <c r="TXO54" s="113"/>
      <c r="TXP54" s="113"/>
      <c r="TXQ54" s="113"/>
      <c r="TXR54" s="113"/>
      <c r="TXS54" s="113"/>
      <c r="TXT54" s="113"/>
      <c r="TXU54" s="113"/>
      <c r="TXV54" s="113"/>
      <c r="TXW54" s="113"/>
      <c r="TXX54" s="113"/>
      <c r="TXY54" s="113"/>
      <c r="TXZ54" s="113"/>
      <c r="TYA54" s="113"/>
      <c r="TYB54" s="113"/>
      <c r="TYC54" s="113"/>
      <c r="TYD54" s="113"/>
      <c r="TYE54" s="113"/>
      <c r="TYF54" s="113"/>
      <c r="TYG54" s="113"/>
      <c r="TYH54" s="113"/>
      <c r="TYI54" s="113"/>
      <c r="TYJ54" s="113"/>
      <c r="TYK54" s="113"/>
      <c r="TYL54" s="113"/>
      <c r="TYM54" s="113"/>
      <c r="TYN54" s="113"/>
      <c r="TYO54" s="113"/>
      <c r="TYP54" s="113"/>
      <c r="TYQ54" s="113"/>
      <c r="TYR54" s="113"/>
      <c r="TYS54" s="113"/>
      <c r="TYT54" s="113"/>
      <c r="TYU54" s="113"/>
      <c r="TYV54" s="113"/>
      <c r="TYW54" s="113"/>
      <c r="TYX54" s="113"/>
      <c r="TYY54" s="113"/>
      <c r="TYZ54" s="113"/>
      <c r="TZA54" s="113"/>
      <c r="TZB54" s="113"/>
      <c r="TZC54" s="113"/>
      <c r="TZD54" s="113"/>
      <c r="TZE54" s="113"/>
      <c r="TZF54" s="113"/>
      <c r="TZG54" s="113"/>
      <c r="TZH54" s="113"/>
      <c r="TZI54" s="113"/>
      <c r="TZJ54" s="113"/>
      <c r="TZK54" s="113"/>
      <c r="TZL54" s="113"/>
      <c r="TZM54" s="113"/>
      <c r="TZN54" s="113"/>
      <c r="TZO54" s="113"/>
      <c r="TZP54" s="113"/>
      <c r="TZQ54" s="113"/>
      <c r="TZR54" s="113"/>
      <c r="TZS54" s="113"/>
      <c r="TZT54" s="113"/>
      <c r="TZU54" s="113"/>
      <c r="TZV54" s="113"/>
      <c r="TZW54" s="113"/>
      <c r="TZX54" s="113"/>
      <c r="TZY54" s="113"/>
      <c r="TZZ54" s="113"/>
      <c r="UAA54" s="113"/>
      <c r="UAB54" s="113"/>
      <c r="UAC54" s="113"/>
      <c r="UAD54" s="113"/>
      <c r="UAE54" s="113"/>
      <c r="UAF54" s="113"/>
      <c r="UAG54" s="113"/>
      <c r="UAH54" s="113"/>
      <c r="UAI54" s="113"/>
      <c r="UAJ54" s="113"/>
      <c r="UAK54" s="113"/>
      <c r="UAL54" s="113"/>
      <c r="UAM54" s="113"/>
      <c r="UAN54" s="113"/>
      <c r="UAO54" s="113"/>
      <c r="UAP54" s="113"/>
      <c r="UAQ54" s="113"/>
      <c r="UAR54" s="113"/>
      <c r="UAS54" s="113"/>
      <c r="UAT54" s="113"/>
      <c r="UAU54" s="113"/>
      <c r="UAV54" s="113"/>
      <c r="UAW54" s="113"/>
      <c r="UAX54" s="113"/>
      <c r="UAY54" s="113"/>
      <c r="UAZ54" s="113"/>
      <c r="UBA54" s="113"/>
      <c r="UBB54" s="113"/>
      <c r="UBC54" s="113"/>
      <c r="UBD54" s="113"/>
      <c r="UBE54" s="113"/>
      <c r="UBF54" s="113"/>
      <c r="UBG54" s="113"/>
      <c r="UBH54" s="113"/>
      <c r="UBI54" s="113"/>
      <c r="UBJ54" s="113"/>
      <c r="UBK54" s="113"/>
      <c r="UBL54" s="113"/>
      <c r="UBM54" s="113"/>
      <c r="UBN54" s="113"/>
      <c r="UBO54" s="113"/>
      <c r="UBP54" s="113"/>
      <c r="UBQ54" s="113"/>
      <c r="UBR54" s="113"/>
      <c r="UBS54" s="113"/>
      <c r="UBT54" s="113"/>
      <c r="UBU54" s="113"/>
      <c r="UBV54" s="113"/>
      <c r="UBW54" s="113"/>
      <c r="UBX54" s="113"/>
      <c r="UBY54" s="113"/>
      <c r="UBZ54" s="113"/>
      <c r="UCA54" s="113"/>
      <c r="UCB54" s="113"/>
      <c r="UCC54" s="113"/>
      <c r="UCD54" s="113"/>
      <c r="UCE54" s="113"/>
      <c r="UCF54" s="113"/>
      <c r="UCG54" s="113"/>
      <c r="UCH54" s="113"/>
      <c r="UCI54" s="113"/>
      <c r="UCJ54" s="113"/>
      <c r="UCK54" s="113"/>
      <c r="UCL54" s="113"/>
      <c r="UCM54" s="113"/>
      <c r="UCN54" s="113"/>
      <c r="UCO54" s="113"/>
      <c r="UCP54" s="113"/>
      <c r="UCQ54" s="113"/>
      <c r="UCR54" s="113"/>
      <c r="UCS54" s="113"/>
      <c r="UCT54" s="113"/>
      <c r="UCU54" s="113"/>
      <c r="UCV54" s="113"/>
      <c r="UCW54" s="113"/>
      <c r="UCX54" s="113"/>
      <c r="UCY54" s="113"/>
      <c r="UCZ54" s="113"/>
      <c r="UDA54" s="113"/>
      <c r="UDB54" s="113"/>
      <c r="UDC54" s="113"/>
      <c r="UDD54" s="113"/>
      <c r="UDE54" s="113"/>
      <c r="UDF54" s="113"/>
      <c r="UDG54" s="113"/>
      <c r="UDH54" s="113"/>
      <c r="UDI54" s="113"/>
      <c r="UDJ54" s="113"/>
      <c r="UDK54" s="113"/>
      <c r="UDL54" s="113"/>
      <c r="UDM54" s="113"/>
      <c r="UDN54" s="113"/>
      <c r="UDO54" s="113"/>
      <c r="UDP54" s="113"/>
      <c r="UDQ54" s="113"/>
      <c r="UDR54" s="113"/>
      <c r="UDS54" s="113"/>
      <c r="UDT54" s="113"/>
      <c r="UDU54" s="113"/>
      <c r="UDV54" s="113"/>
      <c r="UDW54" s="113"/>
      <c r="UDX54" s="113"/>
      <c r="UDY54" s="113"/>
      <c r="UDZ54" s="113"/>
      <c r="UEA54" s="113"/>
      <c r="UEB54" s="113"/>
      <c r="UEC54" s="113"/>
      <c r="UED54" s="113"/>
      <c r="UEE54" s="113"/>
      <c r="UEF54" s="113"/>
      <c r="UEG54" s="113"/>
      <c r="UEH54" s="113"/>
      <c r="UEI54" s="113"/>
      <c r="UEJ54" s="113"/>
      <c r="UEK54" s="113"/>
      <c r="UEL54" s="113"/>
      <c r="UEM54" s="113"/>
      <c r="UEN54" s="113"/>
      <c r="UEO54" s="113"/>
      <c r="UEP54" s="113"/>
      <c r="UEQ54" s="113"/>
      <c r="UER54" s="113"/>
      <c r="UES54" s="113"/>
      <c r="UET54" s="113"/>
      <c r="UEU54" s="113"/>
      <c r="UEV54" s="113"/>
      <c r="UEW54" s="113"/>
      <c r="UEX54" s="113"/>
      <c r="UEY54" s="113"/>
      <c r="UEZ54" s="113"/>
      <c r="UFA54" s="113"/>
      <c r="UFB54" s="113"/>
      <c r="UFC54" s="113"/>
      <c r="UFD54" s="113"/>
      <c r="UFE54" s="113"/>
      <c r="UFF54" s="113"/>
      <c r="UFG54" s="113"/>
      <c r="UFH54" s="113"/>
      <c r="UFI54" s="113"/>
      <c r="UFJ54" s="113"/>
      <c r="UFK54" s="113"/>
      <c r="UFL54" s="113"/>
      <c r="UFM54" s="113"/>
      <c r="UFN54" s="113"/>
      <c r="UFO54" s="113"/>
      <c r="UFP54" s="113"/>
      <c r="UFQ54" s="113"/>
      <c r="UFR54" s="113"/>
      <c r="UFS54" s="113"/>
      <c r="UFT54" s="113"/>
      <c r="UFU54" s="113"/>
      <c r="UFV54" s="113"/>
      <c r="UFW54" s="113"/>
      <c r="UFX54" s="113"/>
      <c r="UFY54" s="113"/>
      <c r="UFZ54" s="113"/>
      <c r="UGA54" s="113"/>
      <c r="UGB54" s="113"/>
      <c r="UGC54" s="113"/>
      <c r="UGD54" s="113"/>
      <c r="UGE54" s="113"/>
      <c r="UGF54" s="113"/>
      <c r="UGG54" s="113"/>
      <c r="UGH54" s="113"/>
      <c r="UGI54" s="113"/>
      <c r="UGJ54" s="113"/>
      <c r="UGK54" s="113"/>
      <c r="UGL54" s="113"/>
      <c r="UGM54" s="113"/>
      <c r="UGN54" s="113"/>
      <c r="UGO54" s="113"/>
      <c r="UGP54" s="113"/>
      <c r="UGQ54" s="113"/>
      <c r="UGR54" s="113"/>
      <c r="UGS54" s="113"/>
      <c r="UGT54" s="113"/>
      <c r="UGU54" s="113"/>
      <c r="UGV54" s="113"/>
      <c r="UGW54" s="113"/>
      <c r="UGX54" s="113"/>
      <c r="UGY54" s="113"/>
      <c r="UGZ54" s="113"/>
      <c r="UHA54" s="113"/>
      <c r="UHB54" s="113"/>
      <c r="UHC54" s="113"/>
      <c r="UHD54" s="113"/>
      <c r="UHE54" s="113"/>
      <c r="UHF54" s="113"/>
      <c r="UHG54" s="113"/>
      <c r="UHH54" s="113"/>
      <c r="UHI54" s="113"/>
      <c r="UHJ54" s="113"/>
      <c r="UHK54" s="113"/>
      <c r="UHL54" s="113"/>
      <c r="UHM54" s="113"/>
      <c r="UHN54" s="113"/>
      <c r="UHO54" s="113"/>
      <c r="UHP54" s="113"/>
      <c r="UHQ54" s="113"/>
      <c r="UHR54" s="113"/>
      <c r="UHS54" s="113"/>
      <c r="UHT54" s="113"/>
      <c r="UHU54" s="113"/>
      <c r="UHV54" s="113"/>
      <c r="UHW54" s="113"/>
      <c r="UHX54" s="113"/>
      <c r="UHY54" s="113"/>
      <c r="UHZ54" s="113"/>
      <c r="UIA54" s="113"/>
      <c r="UIB54" s="113"/>
      <c r="UIC54" s="113"/>
      <c r="UID54" s="113"/>
      <c r="UIE54" s="113"/>
      <c r="UIF54" s="113"/>
      <c r="UIG54" s="113"/>
      <c r="UIH54" s="113"/>
      <c r="UII54" s="113"/>
      <c r="UIJ54" s="113"/>
      <c r="UIK54" s="113"/>
      <c r="UIL54" s="113"/>
      <c r="UIM54" s="113"/>
      <c r="UIN54" s="113"/>
      <c r="UIO54" s="113"/>
      <c r="UIP54" s="113"/>
      <c r="UIQ54" s="113"/>
      <c r="UIR54" s="113"/>
      <c r="UIS54" s="113"/>
      <c r="UIT54" s="113"/>
      <c r="UIU54" s="113"/>
      <c r="UIV54" s="113"/>
      <c r="UIW54" s="113"/>
      <c r="UIX54" s="113"/>
      <c r="UIY54" s="113"/>
      <c r="UIZ54" s="113"/>
      <c r="UJA54" s="113"/>
      <c r="UJB54" s="113"/>
      <c r="UJC54" s="113"/>
      <c r="UJD54" s="113"/>
      <c r="UJE54" s="113"/>
      <c r="UJF54" s="113"/>
      <c r="UJG54" s="113"/>
      <c r="UJH54" s="113"/>
      <c r="UJI54" s="113"/>
      <c r="UJJ54" s="113"/>
      <c r="UJK54" s="113"/>
      <c r="UJL54" s="113"/>
      <c r="UJM54" s="113"/>
      <c r="UJN54" s="113"/>
      <c r="UJO54" s="113"/>
      <c r="UJP54" s="113"/>
      <c r="UJQ54" s="113"/>
      <c r="UJR54" s="113"/>
      <c r="UJS54" s="113"/>
      <c r="UJT54" s="113"/>
      <c r="UJU54" s="113"/>
      <c r="UJV54" s="113"/>
      <c r="UJW54" s="113"/>
      <c r="UJX54" s="113"/>
      <c r="UJY54" s="113"/>
      <c r="UJZ54" s="113"/>
      <c r="UKA54" s="113"/>
      <c r="UKB54" s="113"/>
      <c r="UKC54" s="113"/>
      <c r="UKD54" s="113"/>
      <c r="UKE54" s="113"/>
      <c r="UKF54" s="113"/>
      <c r="UKG54" s="113"/>
      <c r="UKH54" s="113"/>
      <c r="UKI54" s="113"/>
      <c r="UKJ54" s="113"/>
      <c r="UKK54" s="113"/>
      <c r="UKL54" s="113"/>
      <c r="UKM54" s="113"/>
      <c r="UKN54" s="113"/>
      <c r="UKO54" s="113"/>
      <c r="UKP54" s="113"/>
      <c r="UKQ54" s="113"/>
      <c r="UKR54" s="113"/>
      <c r="UKS54" s="113"/>
      <c r="UKT54" s="113"/>
      <c r="UKU54" s="113"/>
      <c r="UKV54" s="113"/>
      <c r="UKW54" s="113"/>
      <c r="UKX54" s="113"/>
      <c r="UKY54" s="113"/>
      <c r="UKZ54" s="113"/>
      <c r="ULA54" s="113"/>
      <c r="ULB54" s="113"/>
      <c r="ULC54" s="113"/>
      <c r="ULD54" s="113"/>
      <c r="ULE54" s="113"/>
      <c r="ULF54" s="113"/>
      <c r="ULG54" s="113"/>
      <c r="ULH54" s="113"/>
      <c r="ULI54" s="113"/>
      <c r="ULJ54" s="113"/>
      <c r="ULK54" s="113"/>
      <c r="ULL54" s="113"/>
      <c r="ULM54" s="113"/>
      <c r="ULN54" s="113"/>
      <c r="ULO54" s="113"/>
      <c r="ULP54" s="113"/>
      <c r="ULQ54" s="113"/>
      <c r="ULR54" s="113"/>
      <c r="ULS54" s="113"/>
      <c r="ULT54" s="113"/>
      <c r="ULU54" s="113"/>
      <c r="ULV54" s="113"/>
      <c r="ULW54" s="113"/>
      <c r="ULX54" s="113"/>
      <c r="ULY54" s="113"/>
      <c r="ULZ54" s="113"/>
      <c r="UMA54" s="113"/>
      <c r="UMB54" s="113"/>
      <c r="UMC54" s="113"/>
      <c r="UMD54" s="113"/>
      <c r="UME54" s="113"/>
      <c r="UMF54" s="113"/>
      <c r="UMG54" s="113"/>
      <c r="UMH54" s="113"/>
      <c r="UMI54" s="113"/>
      <c r="UMJ54" s="113"/>
      <c r="UMK54" s="113"/>
      <c r="UML54" s="113"/>
      <c r="UMM54" s="113"/>
      <c r="UMN54" s="113"/>
      <c r="UMO54" s="113"/>
      <c r="UMP54" s="113"/>
      <c r="UMQ54" s="113"/>
      <c r="UMR54" s="113"/>
      <c r="UMS54" s="113"/>
      <c r="UMT54" s="113"/>
      <c r="UMU54" s="113"/>
      <c r="UMV54" s="113"/>
      <c r="UMW54" s="113"/>
      <c r="UMX54" s="113"/>
      <c r="UMY54" s="113"/>
      <c r="UMZ54" s="113"/>
      <c r="UNA54" s="113"/>
      <c r="UNB54" s="113"/>
      <c r="UNC54" s="113"/>
      <c r="UND54" s="113"/>
      <c r="UNE54" s="113"/>
      <c r="UNF54" s="113"/>
      <c r="UNG54" s="113"/>
      <c r="UNH54" s="113"/>
      <c r="UNI54" s="113"/>
      <c r="UNJ54" s="113"/>
      <c r="UNK54" s="113"/>
      <c r="UNL54" s="113"/>
      <c r="UNM54" s="113"/>
      <c r="UNN54" s="113"/>
      <c r="UNO54" s="113"/>
      <c r="UNP54" s="113"/>
      <c r="UNQ54" s="113"/>
      <c r="UNR54" s="113"/>
      <c r="UNS54" s="113"/>
      <c r="UNT54" s="113"/>
      <c r="UNU54" s="113"/>
      <c r="UNV54" s="113"/>
      <c r="UNW54" s="113"/>
      <c r="UNX54" s="113"/>
      <c r="UNY54" s="113"/>
      <c r="UNZ54" s="113"/>
      <c r="UOA54" s="113"/>
      <c r="UOB54" s="113"/>
      <c r="UOC54" s="113"/>
      <c r="UOD54" s="113"/>
      <c r="UOE54" s="113"/>
      <c r="UOF54" s="113"/>
      <c r="UOG54" s="113"/>
      <c r="UOH54" s="113"/>
      <c r="UOI54" s="113"/>
      <c r="UOJ54" s="113"/>
      <c r="UOK54" s="113"/>
      <c r="UOL54" s="113"/>
      <c r="UOM54" s="113"/>
      <c r="UON54" s="113"/>
      <c r="UOO54" s="113"/>
      <c r="UOP54" s="113"/>
      <c r="UOQ54" s="113"/>
      <c r="UOR54" s="113"/>
      <c r="UOS54" s="113"/>
      <c r="UOT54" s="113"/>
      <c r="UOU54" s="113"/>
      <c r="UOV54" s="113"/>
      <c r="UOW54" s="113"/>
      <c r="UOX54" s="113"/>
      <c r="UOY54" s="113"/>
      <c r="UOZ54" s="113"/>
      <c r="UPA54" s="113"/>
      <c r="UPB54" s="113"/>
      <c r="UPC54" s="113"/>
      <c r="UPD54" s="113"/>
      <c r="UPE54" s="113"/>
      <c r="UPF54" s="113"/>
      <c r="UPG54" s="113"/>
      <c r="UPH54" s="113"/>
      <c r="UPI54" s="113"/>
      <c r="UPJ54" s="113"/>
      <c r="UPK54" s="113"/>
      <c r="UPL54" s="113"/>
      <c r="UPM54" s="113"/>
      <c r="UPN54" s="113"/>
      <c r="UPO54" s="113"/>
      <c r="UPP54" s="113"/>
      <c r="UPQ54" s="113"/>
      <c r="UPR54" s="113"/>
      <c r="UPS54" s="113"/>
      <c r="UPT54" s="113"/>
      <c r="UPU54" s="113"/>
      <c r="UPV54" s="113"/>
      <c r="UPW54" s="113"/>
      <c r="UPX54" s="113"/>
      <c r="UPY54" s="113"/>
      <c r="UPZ54" s="113"/>
      <c r="UQA54" s="113"/>
      <c r="UQB54" s="113"/>
      <c r="UQC54" s="113"/>
      <c r="UQD54" s="113"/>
      <c r="UQE54" s="113"/>
      <c r="UQF54" s="113"/>
      <c r="UQG54" s="113"/>
      <c r="UQH54" s="113"/>
      <c r="UQI54" s="113"/>
      <c r="UQJ54" s="113"/>
      <c r="UQK54" s="113"/>
      <c r="UQL54" s="113"/>
      <c r="UQM54" s="113"/>
      <c r="UQN54" s="113"/>
      <c r="UQO54" s="113"/>
      <c r="UQP54" s="113"/>
      <c r="UQQ54" s="113"/>
      <c r="UQR54" s="113"/>
      <c r="UQS54" s="113"/>
      <c r="UQT54" s="113"/>
      <c r="UQU54" s="113"/>
      <c r="UQV54" s="113"/>
      <c r="UQW54" s="113"/>
      <c r="UQX54" s="113"/>
      <c r="UQY54" s="113"/>
      <c r="UQZ54" s="113"/>
      <c r="URA54" s="113"/>
      <c r="URB54" s="113"/>
      <c r="URC54" s="113"/>
      <c r="URD54" s="113"/>
      <c r="URE54" s="113"/>
      <c r="URF54" s="113"/>
      <c r="URG54" s="113"/>
      <c r="URH54" s="113"/>
      <c r="URI54" s="113"/>
      <c r="URJ54" s="113"/>
      <c r="URK54" s="113"/>
      <c r="URL54" s="113"/>
      <c r="URM54" s="113"/>
      <c r="URN54" s="113"/>
      <c r="URO54" s="113"/>
      <c r="URP54" s="113"/>
      <c r="URQ54" s="113"/>
      <c r="URR54" s="113"/>
      <c r="URS54" s="113"/>
      <c r="URT54" s="113"/>
      <c r="URU54" s="113"/>
      <c r="URV54" s="113"/>
      <c r="URW54" s="113"/>
      <c r="URX54" s="113"/>
      <c r="URY54" s="113"/>
      <c r="URZ54" s="113"/>
      <c r="USA54" s="113"/>
      <c r="USB54" s="113"/>
      <c r="USC54" s="113"/>
      <c r="USD54" s="113"/>
      <c r="USE54" s="113"/>
      <c r="USF54" s="113"/>
      <c r="USG54" s="113"/>
      <c r="USH54" s="113"/>
      <c r="USI54" s="113"/>
      <c r="USJ54" s="113"/>
      <c r="USK54" s="113"/>
      <c r="USL54" s="113"/>
      <c r="USM54" s="113"/>
      <c r="USN54" s="113"/>
      <c r="USO54" s="113"/>
      <c r="USP54" s="113"/>
      <c r="USQ54" s="113"/>
      <c r="USR54" s="113"/>
      <c r="USS54" s="113"/>
      <c r="UST54" s="113"/>
      <c r="USU54" s="113"/>
      <c r="USV54" s="113"/>
      <c r="USW54" s="113"/>
      <c r="USX54" s="113"/>
      <c r="USY54" s="113"/>
      <c r="USZ54" s="113"/>
      <c r="UTA54" s="113"/>
      <c r="UTB54" s="113"/>
      <c r="UTC54" s="113"/>
      <c r="UTD54" s="113"/>
      <c r="UTE54" s="113"/>
      <c r="UTF54" s="113"/>
      <c r="UTG54" s="113"/>
      <c r="UTH54" s="113"/>
      <c r="UTI54" s="113"/>
      <c r="UTJ54" s="113"/>
      <c r="UTK54" s="113"/>
      <c r="UTL54" s="113"/>
      <c r="UTM54" s="113"/>
      <c r="UTN54" s="113"/>
      <c r="UTO54" s="113"/>
      <c r="UTP54" s="113"/>
      <c r="UTQ54" s="113"/>
      <c r="UTR54" s="113"/>
      <c r="UTS54" s="113"/>
      <c r="UTT54" s="113"/>
      <c r="UTU54" s="113"/>
      <c r="UTV54" s="113"/>
      <c r="UTW54" s="113"/>
      <c r="UTX54" s="113"/>
      <c r="UTY54" s="113"/>
      <c r="UTZ54" s="113"/>
      <c r="UUA54" s="113"/>
      <c r="UUB54" s="113"/>
      <c r="UUC54" s="113"/>
      <c r="UUD54" s="113"/>
      <c r="UUE54" s="113"/>
      <c r="UUF54" s="113"/>
      <c r="UUG54" s="113"/>
      <c r="UUH54" s="113"/>
      <c r="UUI54" s="113"/>
      <c r="UUJ54" s="113"/>
      <c r="UUK54" s="113"/>
      <c r="UUL54" s="113"/>
      <c r="UUM54" s="113"/>
      <c r="UUN54" s="113"/>
      <c r="UUO54" s="113"/>
      <c r="UUP54" s="113"/>
      <c r="UUQ54" s="113"/>
      <c r="UUR54" s="113"/>
      <c r="UUS54" s="113"/>
      <c r="UUT54" s="113"/>
      <c r="UUU54" s="113"/>
      <c r="UUV54" s="113"/>
      <c r="UUW54" s="113"/>
      <c r="UUX54" s="113"/>
      <c r="UUY54" s="113"/>
      <c r="UUZ54" s="113"/>
      <c r="UVA54" s="113"/>
      <c r="UVB54" s="113"/>
      <c r="UVC54" s="113"/>
      <c r="UVD54" s="113"/>
      <c r="UVE54" s="113"/>
      <c r="UVF54" s="113"/>
      <c r="UVG54" s="113"/>
      <c r="UVH54" s="113"/>
      <c r="UVI54" s="113"/>
      <c r="UVJ54" s="113"/>
      <c r="UVK54" s="113"/>
      <c r="UVL54" s="113"/>
      <c r="UVM54" s="113"/>
      <c r="UVN54" s="113"/>
      <c r="UVO54" s="113"/>
      <c r="UVP54" s="113"/>
      <c r="UVQ54" s="113"/>
      <c r="UVR54" s="113"/>
      <c r="UVS54" s="113"/>
      <c r="UVT54" s="113"/>
      <c r="UVU54" s="113"/>
      <c r="UVV54" s="113"/>
      <c r="UVW54" s="113"/>
      <c r="UVX54" s="113"/>
      <c r="UVY54" s="113"/>
      <c r="UVZ54" s="113"/>
      <c r="UWA54" s="113"/>
      <c r="UWB54" s="113"/>
      <c r="UWC54" s="113"/>
      <c r="UWD54" s="113"/>
      <c r="UWE54" s="113"/>
      <c r="UWF54" s="113"/>
      <c r="UWG54" s="113"/>
      <c r="UWH54" s="113"/>
      <c r="UWI54" s="113"/>
      <c r="UWJ54" s="113"/>
      <c r="UWK54" s="113"/>
      <c r="UWL54" s="113"/>
      <c r="UWM54" s="113"/>
      <c r="UWN54" s="113"/>
      <c r="UWO54" s="113"/>
      <c r="UWP54" s="113"/>
      <c r="UWQ54" s="113"/>
      <c r="UWR54" s="113"/>
      <c r="UWS54" s="113"/>
      <c r="UWT54" s="113"/>
      <c r="UWU54" s="113"/>
      <c r="UWV54" s="113"/>
      <c r="UWW54" s="113"/>
      <c r="UWX54" s="113"/>
      <c r="UWY54" s="113"/>
      <c r="UWZ54" s="113"/>
      <c r="UXA54" s="113"/>
      <c r="UXB54" s="113"/>
      <c r="UXC54" s="113"/>
      <c r="UXD54" s="113"/>
      <c r="UXE54" s="113"/>
      <c r="UXF54" s="113"/>
      <c r="UXG54" s="113"/>
      <c r="UXH54" s="113"/>
      <c r="UXI54" s="113"/>
      <c r="UXJ54" s="113"/>
      <c r="UXK54" s="113"/>
      <c r="UXL54" s="113"/>
      <c r="UXM54" s="113"/>
      <c r="UXN54" s="113"/>
      <c r="UXO54" s="113"/>
      <c r="UXP54" s="113"/>
      <c r="UXQ54" s="113"/>
      <c r="UXR54" s="113"/>
      <c r="UXS54" s="113"/>
      <c r="UXT54" s="113"/>
      <c r="UXU54" s="113"/>
      <c r="UXV54" s="113"/>
      <c r="UXW54" s="113"/>
      <c r="UXX54" s="113"/>
      <c r="UXY54" s="113"/>
      <c r="UXZ54" s="113"/>
      <c r="UYA54" s="113"/>
      <c r="UYB54" s="113"/>
      <c r="UYC54" s="113"/>
      <c r="UYD54" s="113"/>
      <c r="UYE54" s="113"/>
      <c r="UYF54" s="113"/>
      <c r="UYG54" s="113"/>
      <c r="UYH54" s="113"/>
      <c r="UYI54" s="113"/>
      <c r="UYJ54" s="113"/>
      <c r="UYK54" s="113"/>
      <c r="UYL54" s="113"/>
      <c r="UYM54" s="113"/>
      <c r="UYN54" s="113"/>
      <c r="UYO54" s="113"/>
      <c r="UYP54" s="113"/>
      <c r="UYQ54" s="113"/>
      <c r="UYR54" s="113"/>
      <c r="UYS54" s="113"/>
      <c r="UYT54" s="113"/>
      <c r="UYU54" s="113"/>
      <c r="UYV54" s="113"/>
      <c r="UYW54" s="113"/>
      <c r="UYX54" s="113"/>
      <c r="UYY54" s="113"/>
      <c r="UYZ54" s="113"/>
      <c r="UZA54" s="113"/>
      <c r="UZB54" s="113"/>
      <c r="UZC54" s="113"/>
      <c r="UZD54" s="113"/>
      <c r="UZE54" s="113"/>
      <c r="UZF54" s="113"/>
      <c r="UZG54" s="113"/>
      <c r="UZH54" s="113"/>
      <c r="UZI54" s="113"/>
      <c r="UZJ54" s="113"/>
      <c r="UZK54" s="113"/>
      <c r="UZL54" s="113"/>
      <c r="UZM54" s="113"/>
      <c r="UZN54" s="113"/>
      <c r="UZO54" s="113"/>
      <c r="UZP54" s="113"/>
      <c r="UZQ54" s="113"/>
      <c r="UZR54" s="113"/>
      <c r="UZS54" s="113"/>
      <c r="UZT54" s="113"/>
      <c r="UZU54" s="113"/>
      <c r="UZV54" s="113"/>
      <c r="UZW54" s="113"/>
      <c r="UZX54" s="113"/>
      <c r="UZY54" s="113"/>
      <c r="UZZ54" s="113"/>
      <c r="VAA54" s="113"/>
      <c r="VAB54" s="113"/>
      <c r="VAC54" s="113"/>
      <c r="VAD54" s="113"/>
      <c r="VAE54" s="113"/>
      <c r="VAF54" s="113"/>
      <c r="VAG54" s="113"/>
      <c r="VAH54" s="113"/>
      <c r="VAI54" s="113"/>
      <c r="VAJ54" s="113"/>
      <c r="VAK54" s="113"/>
      <c r="VAL54" s="113"/>
      <c r="VAM54" s="113"/>
      <c r="VAN54" s="113"/>
      <c r="VAO54" s="113"/>
      <c r="VAP54" s="113"/>
      <c r="VAQ54" s="113"/>
      <c r="VAR54" s="113"/>
      <c r="VAS54" s="113"/>
      <c r="VAT54" s="113"/>
      <c r="VAU54" s="113"/>
      <c r="VAV54" s="113"/>
      <c r="VAW54" s="113"/>
      <c r="VAX54" s="113"/>
      <c r="VAY54" s="113"/>
      <c r="VAZ54" s="113"/>
      <c r="VBA54" s="113"/>
      <c r="VBB54" s="113"/>
      <c r="VBC54" s="113"/>
      <c r="VBD54" s="113"/>
      <c r="VBE54" s="113"/>
      <c r="VBF54" s="113"/>
      <c r="VBG54" s="113"/>
      <c r="VBH54" s="113"/>
      <c r="VBI54" s="113"/>
      <c r="VBJ54" s="113"/>
      <c r="VBK54" s="113"/>
      <c r="VBL54" s="113"/>
      <c r="VBM54" s="113"/>
      <c r="VBN54" s="113"/>
      <c r="VBO54" s="113"/>
      <c r="VBP54" s="113"/>
      <c r="VBQ54" s="113"/>
      <c r="VBR54" s="113"/>
      <c r="VBS54" s="113"/>
      <c r="VBT54" s="113"/>
      <c r="VBU54" s="113"/>
      <c r="VBV54" s="113"/>
      <c r="VBW54" s="113"/>
      <c r="VBX54" s="113"/>
      <c r="VBY54" s="113"/>
      <c r="VBZ54" s="113"/>
      <c r="VCA54" s="113"/>
      <c r="VCB54" s="113"/>
      <c r="VCC54" s="113"/>
      <c r="VCD54" s="113"/>
      <c r="VCE54" s="113"/>
      <c r="VCF54" s="113"/>
      <c r="VCG54" s="113"/>
      <c r="VCH54" s="113"/>
      <c r="VCI54" s="113"/>
      <c r="VCJ54" s="113"/>
      <c r="VCK54" s="113"/>
      <c r="VCL54" s="113"/>
      <c r="VCM54" s="113"/>
      <c r="VCN54" s="113"/>
      <c r="VCO54" s="113"/>
      <c r="VCP54" s="113"/>
      <c r="VCQ54" s="113"/>
      <c r="VCR54" s="113"/>
      <c r="VCS54" s="113"/>
      <c r="VCT54" s="113"/>
      <c r="VCU54" s="113"/>
      <c r="VCV54" s="113"/>
      <c r="VCW54" s="113"/>
      <c r="VCX54" s="113"/>
      <c r="VCY54" s="113"/>
      <c r="VCZ54" s="113"/>
      <c r="VDA54" s="113"/>
      <c r="VDB54" s="113"/>
      <c r="VDC54" s="113"/>
      <c r="VDD54" s="113"/>
      <c r="VDE54" s="113"/>
      <c r="VDF54" s="113"/>
      <c r="VDG54" s="113"/>
      <c r="VDH54" s="113"/>
      <c r="VDI54" s="113"/>
      <c r="VDJ54" s="113"/>
      <c r="VDK54" s="113"/>
      <c r="VDL54" s="113"/>
      <c r="VDM54" s="113"/>
      <c r="VDN54" s="113"/>
      <c r="VDO54" s="113"/>
      <c r="VDP54" s="113"/>
      <c r="VDQ54" s="113"/>
      <c r="VDR54" s="113"/>
      <c r="VDS54" s="113"/>
      <c r="VDT54" s="113"/>
      <c r="VDU54" s="113"/>
      <c r="VDV54" s="113"/>
      <c r="VDW54" s="113"/>
      <c r="VDX54" s="113"/>
      <c r="VDY54" s="113"/>
      <c r="VDZ54" s="113"/>
      <c r="VEA54" s="113"/>
      <c r="VEB54" s="113"/>
      <c r="VEC54" s="113"/>
      <c r="VED54" s="113"/>
      <c r="VEE54" s="113"/>
      <c r="VEF54" s="113"/>
      <c r="VEG54" s="113"/>
      <c r="VEH54" s="113"/>
      <c r="VEI54" s="113"/>
      <c r="VEJ54" s="113"/>
      <c r="VEK54" s="113"/>
      <c r="VEL54" s="113"/>
      <c r="VEM54" s="113"/>
      <c r="VEN54" s="113"/>
      <c r="VEO54" s="113"/>
      <c r="VEP54" s="113"/>
      <c r="VEQ54" s="113"/>
      <c r="VER54" s="113"/>
      <c r="VES54" s="113"/>
      <c r="VET54" s="113"/>
      <c r="VEU54" s="113"/>
      <c r="VEV54" s="113"/>
      <c r="VEW54" s="113"/>
      <c r="VEX54" s="113"/>
      <c r="VEY54" s="113"/>
      <c r="VEZ54" s="113"/>
      <c r="VFA54" s="113"/>
      <c r="VFB54" s="113"/>
      <c r="VFC54" s="113"/>
      <c r="VFD54" s="113"/>
      <c r="VFE54" s="113"/>
      <c r="VFF54" s="113"/>
      <c r="VFG54" s="113"/>
      <c r="VFH54" s="113"/>
      <c r="VFI54" s="113"/>
      <c r="VFJ54" s="113"/>
      <c r="VFK54" s="113"/>
      <c r="VFL54" s="113"/>
      <c r="VFM54" s="113"/>
      <c r="VFN54" s="113"/>
      <c r="VFO54" s="113"/>
      <c r="VFP54" s="113"/>
      <c r="VFQ54" s="113"/>
      <c r="VFR54" s="113"/>
      <c r="VFS54" s="113"/>
      <c r="VFT54" s="113"/>
      <c r="VFU54" s="113"/>
      <c r="VFV54" s="113"/>
      <c r="VFW54" s="113"/>
      <c r="VFX54" s="113"/>
      <c r="VFY54" s="113"/>
      <c r="VFZ54" s="113"/>
      <c r="VGA54" s="113"/>
      <c r="VGB54" s="113"/>
      <c r="VGC54" s="113"/>
      <c r="VGD54" s="113"/>
      <c r="VGE54" s="113"/>
      <c r="VGF54" s="113"/>
      <c r="VGG54" s="113"/>
      <c r="VGH54" s="113"/>
      <c r="VGI54" s="113"/>
      <c r="VGJ54" s="113"/>
      <c r="VGK54" s="113"/>
      <c r="VGL54" s="113"/>
      <c r="VGM54" s="113"/>
      <c r="VGN54" s="113"/>
      <c r="VGO54" s="113"/>
      <c r="VGP54" s="113"/>
      <c r="VGQ54" s="113"/>
      <c r="VGR54" s="113"/>
      <c r="VGS54" s="113"/>
      <c r="VGT54" s="113"/>
      <c r="VGU54" s="113"/>
      <c r="VGV54" s="113"/>
      <c r="VGW54" s="113"/>
      <c r="VGX54" s="113"/>
      <c r="VGY54" s="113"/>
      <c r="VGZ54" s="113"/>
      <c r="VHA54" s="113"/>
      <c r="VHB54" s="113"/>
      <c r="VHC54" s="113"/>
      <c r="VHD54" s="113"/>
      <c r="VHE54" s="113"/>
      <c r="VHF54" s="113"/>
      <c r="VHG54" s="113"/>
      <c r="VHH54" s="113"/>
      <c r="VHI54" s="113"/>
      <c r="VHJ54" s="113"/>
      <c r="VHK54" s="113"/>
      <c r="VHL54" s="113"/>
      <c r="VHM54" s="113"/>
      <c r="VHN54" s="113"/>
      <c r="VHO54" s="113"/>
      <c r="VHP54" s="113"/>
      <c r="VHQ54" s="113"/>
      <c r="VHR54" s="113"/>
      <c r="VHS54" s="113"/>
      <c r="VHT54" s="113"/>
      <c r="VHU54" s="113"/>
      <c r="VHV54" s="113"/>
      <c r="VHW54" s="113"/>
      <c r="VHX54" s="113"/>
      <c r="VHY54" s="113"/>
      <c r="VHZ54" s="113"/>
      <c r="VIA54" s="113"/>
      <c r="VIB54" s="113"/>
      <c r="VIC54" s="113"/>
      <c r="VID54" s="113"/>
      <c r="VIE54" s="113"/>
      <c r="VIF54" s="113"/>
      <c r="VIG54" s="113"/>
      <c r="VIH54" s="113"/>
      <c r="VII54" s="113"/>
      <c r="VIJ54" s="113"/>
      <c r="VIK54" s="113"/>
      <c r="VIL54" s="113"/>
      <c r="VIM54" s="113"/>
      <c r="VIN54" s="113"/>
      <c r="VIO54" s="113"/>
      <c r="VIP54" s="113"/>
      <c r="VIQ54" s="113"/>
      <c r="VIR54" s="113"/>
      <c r="VIS54" s="113"/>
      <c r="VIT54" s="113"/>
      <c r="VIU54" s="113"/>
      <c r="VIV54" s="113"/>
      <c r="VIW54" s="113"/>
      <c r="VIX54" s="113"/>
      <c r="VIY54" s="113"/>
      <c r="VIZ54" s="113"/>
      <c r="VJA54" s="113"/>
      <c r="VJB54" s="113"/>
      <c r="VJC54" s="113"/>
      <c r="VJD54" s="113"/>
      <c r="VJE54" s="113"/>
      <c r="VJF54" s="113"/>
      <c r="VJG54" s="113"/>
      <c r="VJH54" s="113"/>
      <c r="VJI54" s="113"/>
      <c r="VJJ54" s="113"/>
      <c r="VJK54" s="113"/>
      <c r="VJL54" s="113"/>
      <c r="VJM54" s="113"/>
      <c r="VJN54" s="113"/>
      <c r="VJO54" s="113"/>
      <c r="VJP54" s="113"/>
      <c r="VJQ54" s="113"/>
      <c r="VJR54" s="113"/>
      <c r="VJS54" s="113"/>
      <c r="VJT54" s="113"/>
      <c r="VJU54" s="113"/>
      <c r="VJV54" s="113"/>
      <c r="VJW54" s="113"/>
      <c r="VJX54" s="113"/>
      <c r="VJY54" s="113"/>
      <c r="VJZ54" s="113"/>
      <c r="VKA54" s="113"/>
      <c r="VKB54" s="113"/>
      <c r="VKC54" s="113"/>
      <c r="VKD54" s="113"/>
      <c r="VKE54" s="113"/>
      <c r="VKF54" s="113"/>
      <c r="VKG54" s="113"/>
      <c r="VKH54" s="113"/>
      <c r="VKI54" s="113"/>
      <c r="VKJ54" s="113"/>
      <c r="VKK54" s="113"/>
      <c r="VKL54" s="113"/>
      <c r="VKM54" s="113"/>
      <c r="VKN54" s="113"/>
      <c r="VKO54" s="113"/>
      <c r="VKP54" s="113"/>
      <c r="VKQ54" s="113"/>
      <c r="VKR54" s="113"/>
      <c r="VKS54" s="113"/>
      <c r="VKT54" s="113"/>
      <c r="VKU54" s="113"/>
      <c r="VKV54" s="113"/>
      <c r="VKW54" s="113"/>
      <c r="VKX54" s="113"/>
      <c r="VKY54" s="113"/>
      <c r="VKZ54" s="113"/>
      <c r="VLA54" s="113"/>
      <c r="VLB54" s="113"/>
      <c r="VLC54" s="113"/>
      <c r="VLD54" s="113"/>
      <c r="VLE54" s="113"/>
      <c r="VLF54" s="113"/>
      <c r="VLG54" s="113"/>
      <c r="VLH54" s="113"/>
      <c r="VLI54" s="113"/>
      <c r="VLJ54" s="113"/>
      <c r="VLK54" s="113"/>
      <c r="VLL54" s="113"/>
      <c r="VLM54" s="113"/>
      <c r="VLN54" s="113"/>
      <c r="VLO54" s="113"/>
      <c r="VLP54" s="113"/>
      <c r="VLQ54" s="113"/>
      <c r="VLR54" s="113"/>
      <c r="VLS54" s="113"/>
      <c r="VLT54" s="113"/>
      <c r="VLU54" s="113"/>
      <c r="VLV54" s="113"/>
      <c r="VLW54" s="113"/>
      <c r="VLX54" s="113"/>
      <c r="VLY54" s="113"/>
      <c r="VLZ54" s="113"/>
      <c r="VMA54" s="113"/>
      <c r="VMB54" s="113"/>
      <c r="VMC54" s="113"/>
      <c r="VMD54" s="113"/>
      <c r="VME54" s="113"/>
      <c r="VMF54" s="113"/>
      <c r="VMG54" s="113"/>
      <c r="VMH54" s="113"/>
      <c r="VMI54" s="113"/>
      <c r="VMJ54" s="113"/>
      <c r="VMK54" s="113"/>
      <c r="VML54" s="113"/>
      <c r="VMM54" s="113"/>
      <c r="VMN54" s="113"/>
      <c r="VMO54" s="113"/>
      <c r="VMP54" s="113"/>
      <c r="VMQ54" s="113"/>
      <c r="VMR54" s="113"/>
      <c r="VMS54" s="113"/>
      <c r="VMT54" s="113"/>
      <c r="VMU54" s="113"/>
      <c r="VMV54" s="113"/>
      <c r="VMW54" s="113"/>
      <c r="VMX54" s="113"/>
      <c r="VMY54" s="113"/>
      <c r="VMZ54" s="113"/>
      <c r="VNA54" s="113"/>
      <c r="VNB54" s="113"/>
      <c r="VNC54" s="113"/>
      <c r="VND54" s="113"/>
      <c r="VNE54" s="113"/>
      <c r="VNF54" s="113"/>
      <c r="VNG54" s="113"/>
      <c r="VNH54" s="113"/>
      <c r="VNI54" s="113"/>
      <c r="VNJ54" s="113"/>
      <c r="VNK54" s="113"/>
      <c r="VNL54" s="113"/>
      <c r="VNM54" s="113"/>
      <c r="VNN54" s="113"/>
      <c r="VNO54" s="113"/>
      <c r="VNP54" s="113"/>
      <c r="VNQ54" s="113"/>
      <c r="VNR54" s="113"/>
      <c r="VNS54" s="113"/>
      <c r="VNT54" s="113"/>
      <c r="VNU54" s="113"/>
      <c r="VNV54" s="113"/>
      <c r="VNW54" s="113"/>
      <c r="VNX54" s="113"/>
      <c r="VNY54" s="113"/>
      <c r="VNZ54" s="113"/>
      <c r="VOA54" s="113"/>
      <c r="VOB54" s="113"/>
      <c r="VOC54" s="113"/>
      <c r="VOD54" s="113"/>
      <c r="VOE54" s="113"/>
      <c r="VOF54" s="113"/>
      <c r="VOG54" s="113"/>
      <c r="VOH54" s="113"/>
      <c r="VOI54" s="113"/>
      <c r="VOJ54" s="113"/>
      <c r="VOK54" s="113"/>
      <c r="VOL54" s="113"/>
      <c r="VOM54" s="113"/>
      <c r="VON54" s="113"/>
      <c r="VOO54" s="113"/>
      <c r="VOP54" s="113"/>
      <c r="VOQ54" s="113"/>
      <c r="VOR54" s="113"/>
      <c r="VOS54" s="113"/>
      <c r="VOT54" s="113"/>
      <c r="VOU54" s="113"/>
      <c r="VOV54" s="113"/>
      <c r="VOW54" s="113"/>
      <c r="VOX54" s="113"/>
      <c r="VOY54" s="113"/>
      <c r="VOZ54" s="113"/>
      <c r="VPA54" s="113"/>
      <c r="VPB54" s="113"/>
      <c r="VPC54" s="113"/>
      <c r="VPD54" s="113"/>
      <c r="VPE54" s="113"/>
      <c r="VPF54" s="113"/>
      <c r="VPG54" s="113"/>
      <c r="VPH54" s="113"/>
      <c r="VPI54" s="113"/>
      <c r="VPJ54" s="113"/>
      <c r="VPK54" s="113"/>
      <c r="VPL54" s="113"/>
      <c r="VPM54" s="113"/>
      <c r="VPN54" s="113"/>
      <c r="VPO54" s="113"/>
      <c r="VPP54" s="113"/>
      <c r="VPQ54" s="113"/>
      <c r="VPR54" s="113"/>
      <c r="VPS54" s="113"/>
      <c r="VPT54" s="113"/>
      <c r="VPU54" s="113"/>
      <c r="VPV54" s="113"/>
      <c r="VPW54" s="113"/>
      <c r="VPX54" s="113"/>
      <c r="VPY54" s="113"/>
      <c r="VPZ54" s="113"/>
      <c r="VQA54" s="113"/>
      <c r="VQB54" s="113"/>
      <c r="VQC54" s="113"/>
      <c r="VQD54" s="113"/>
      <c r="VQE54" s="113"/>
      <c r="VQF54" s="113"/>
      <c r="VQG54" s="113"/>
      <c r="VQH54" s="113"/>
      <c r="VQI54" s="113"/>
      <c r="VQJ54" s="113"/>
      <c r="VQK54" s="113"/>
      <c r="VQL54" s="113"/>
      <c r="VQM54" s="113"/>
      <c r="VQN54" s="113"/>
      <c r="VQO54" s="113"/>
      <c r="VQP54" s="113"/>
      <c r="VQQ54" s="113"/>
      <c r="VQR54" s="113"/>
      <c r="VQS54" s="113"/>
      <c r="VQT54" s="113"/>
      <c r="VQU54" s="113"/>
      <c r="VQV54" s="113"/>
      <c r="VQW54" s="113"/>
      <c r="VQX54" s="113"/>
      <c r="VQY54" s="113"/>
      <c r="VQZ54" s="113"/>
      <c r="VRA54" s="113"/>
      <c r="VRB54" s="113"/>
      <c r="VRC54" s="113"/>
      <c r="VRD54" s="113"/>
      <c r="VRE54" s="113"/>
      <c r="VRF54" s="113"/>
      <c r="VRG54" s="113"/>
      <c r="VRH54" s="113"/>
      <c r="VRI54" s="113"/>
      <c r="VRJ54" s="113"/>
      <c r="VRK54" s="113"/>
      <c r="VRL54" s="113"/>
      <c r="VRM54" s="113"/>
      <c r="VRN54" s="113"/>
      <c r="VRO54" s="113"/>
      <c r="VRP54" s="113"/>
      <c r="VRQ54" s="113"/>
      <c r="VRR54" s="113"/>
      <c r="VRS54" s="113"/>
      <c r="VRT54" s="113"/>
      <c r="VRU54" s="113"/>
      <c r="VRV54" s="113"/>
      <c r="VRW54" s="113"/>
      <c r="VRX54" s="113"/>
      <c r="VRY54" s="113"/>
      <c r="VRZ54" s="113"/>
      <c r="VSA54" s="113"/>
      <c r="VSB54" s="113"/>
      <c r="VSC54" s="113"/>
      <c r="VSD54" s="113"/>
      <c r="VSE54" s="113"/>
      <c r="VSF54" s="113"/>
      <c r="VSG54" s="113"/>
      <c r="VSH54" s="113"/>
      <c r="VSI54" s="113"/>
      <c r="VSJ54" s="113"/>
      <c r="VSK54" s="113"/>
      <c r="VSL54" s="113"/>
      <c r="VSM54" s="113"/>
      <c r="VSN54" s="113"/>
      <c r="VSO54" s="113"/>
      <c r="VSP54" s="113"/>
      <c r="VSQ54" s="113"/>
      <c r="VSR54" s="113"/>
      <c r="VSS54" s="113"/>
      <c r="VST54" s="113"/>
      <c r="VSU54" s="113"/>
      <c r="VSV54" s="113"/>
      <c r="VSW54" s="113"/>
      <c r="VSX54" s="113"/>
      <c r="VSY54" s="113"/>
      <c r="VSZ54" s="113"/>
      <c r="VTA54" s="113"/>
      <c r="VTB54" s="113"/>
      <c r="VTC54" s="113"/>
      <c r="VTD54" s="113"/>
      <c r="VTE54" s="113"/>
      <c r="VTF54" s="113"/>
      <c r="VTG54" s="113"/>
      <c r="VTH54" s="113"/>
      <c r="VTI54" s="113"/>
      <c r="VTJ54" s="113"/>
      <c r="VTK54" s="113"/>
      <c r="VTL54" s="113"/>
      <c r="VTM54" s="113"/>
      <c r="VTN54" s="113"/>
      <c r="VTO54" s="113"/>
      <c r="VTP54" s="113"/>
      <c r="VTQ54" s="113"/>
      <c r="VTR54" s="113"/>
      <c r="VTS54" s="113"/>
      <c r="VTT54" s="113"/>
      <c r="VTU54" s="113"/>
      <c r="VTV54" s="113"/>
      <c r="VTW54" s="113"/>
      <c r="VTX54" s="113"/>
      <c r="VTY54" s="113"/>
      <c r="VTZ54" s="113"/>
      <c r="VUA54" s="113"/>
      <c r="VUB54" s="113"/>
      <c r="VUC54" s="113"/>
      <c r="VUD54" s="113"/>
      <c r="VUE54" s="113"/>
      <c r="VUF54" s="113"/>
      <c r="VUG54" s="113"/>
      <c r="VUH54" s="113"/>
      <c r="VUI54" s="113"/>
      <c r="VUJ54" s="113"/>
      <c r="VUK54" s="113"/>
      <c r="VUL54" s="113"/>
      <c r="VUM54" s="113"/>
      <c r="VUN54" s="113"/>
      <c r="VUO54" s="113"/>
      <c r="VUP54" s="113"/>
      <c r="VUQ54" s="113"/>
      <c r="VUR54" s="113"/>
      <c r="VUS54" s="113"/>
      <c r="VUT54" s="113"/>
      <c r="VUU54" s="113"/>
      <c r="VUV54" s="113"/>
      <c r="VUW54" s="113"/>
      <c r="VUX54" s="113"/>
      <c r="VUY54" s="113"/>
      <c r="VUZ54" s="113"/>
      <c r="VVA54" s="113"/>
      <c r="VVB54" s="113"/>
      <c r="VVC54" s="113"/>
      <c r="VVD54" s="113"/>
      <c r="VVE54" s="113"/>
      <c r="VVF54" s="113"/>
      <c r="VVG54" s="113"/>
      <c r="VVH54" s="113"/>
      <c r="VVI54" s="113"/>
      <c r="VVJ54" s="113"/>
      <c r="VVK54" s="113"/>
      <c r="VVL54" s="113"/>
      <c r="VVM54" s="113"/>
      <c r="VVN54" s="113"/>
      <c r="VVO54" s="113"/>
      <c r="VVP54" s="113"/>
      <c r="VVQ54" s="113"/>
      <c r="VVR54" s="113"/>
      <c r="VVS54" s="113"/>
      <c r="VVT54" s="113"/>
      <c r="VVU54" s="113"/>
      <c r="VVV54" s="113"/>
      <c r="VVW54" s="113"/>
      <c r="VVX54" s="113"/>
      <c r="VVY54" s="113"/>
      <c r="VVZ54" s="113"/>
      <c r="VWA54" s="113"/>
      <c r="VWB54" s="113"/>
      <c r="VWC54" s="113"/>
      <c r="VWD54" s="113"/>
      <c r="VWE54" s="113"/>
      <c r="VWF54" s="113"/>
      <c r="VWG54" s="113"/>
      <c r="VWH54" s="113"/>
      <c r="VWI54" s="113"/>
      <c r="VWJ54" s="113"/>
      <c r="VWK54" s="113"/>
      <c r="VWL54" s="113"/>
      <c r="VWM54" s="113"/>
      <c r="VWN54" s="113"/>
      <c r="VWO54" s="113"/>
      <c r="VWP54" s="113"/>
      <c r="VWQ54" s="113"/>
      <c r="VWR54" s="113"/>
      <c r="VWS54" s="113"/>
      <c r="VWT54" s="113"/>
      <c r="VWU54" s="113"/>
      <c r="VWV54" s="113"/>
      <c r="VWW54" s="113"/>
      <c r="VWX54" s="113"/>
      <c r="VWY54" s="113"/>
      <c r="VWZ54" s="113"/>
      <c r="VXA54" s="113"/>
      <c r="VXB54" s="113"/>
      <c r="VXC54" s="113"/>
      <c r="VXD54" s="113"/>
      <c r="VXE54" s="113"/>
      <c r="VXF54" s="113"/>
      <c r="VXG54" s="113"/>
      <c r="VXH54" s="113"/>
      <c r="VXI54" s="113"/>
      <c r="VXJ54" s="113"/>
      <c r="VXK54" s="113"/>
      <c r="VXL54" s="113"/>
      <c r="VXM54" s="113"/>
      <c r="VXN54" s="113"/>
      <c r="VXO54" s="113"/>
      <c r="VXP54" s="113"/>
      <c r="VXQ54" s="113"/>
      <c r="VXR54" s="113"/>
      <c r="VXS54" s="113"/>
      <c r="VXT54" s="113"/>
      <c r="VXU54" s="113"/>
      <c r="VXV54" s="113"/>
      <c r="VXW54" s="113"/>
      <c r="VXX54" s="113"/>
      <c r="VXY54" s="113"/>
      <c r="VXZ54" s="113"/>
      <c r="VYA54" s="113"/>
      <c r="VYB54" s="113"/>
      <c r="VYC54" s="113"/>
      <c r="VYD54" s="113"/>
      <c r="VYE54" s="113"/>
      <c r="VYF54" s="113"/>
      <c r="VYG54" s="113"/>
      <c r="VYH54" s="113"/>
      <c r="VYI54" s="113"/>
      <c r="VYJ54" s="113"/>
      <c r="VYK54" s="113"/>
      <c r="VYL54" s="113"/>
      <c r="VYM54" s="113"/>
      <c r="VYN54" s="113"/>
      <c r="VYO54" s="113"/>
      <c r="VYP54" s="113"/>
      <c r="VYQ54" s="113"/>
      <c r="VYR54" s="113"/>
      <c r="VYS54" s="113"/>
      <c r="VYT54" s="113"/>
      <c r="VYU54" s="113"/>
      <c r="VYV54" s="113"/>
      <c r="VYW54" s="113"/>
      <c r="VYX54" s="113"/>
      <c r="VYY54" s="113"/>
      <c r="VYZ54" s="113"/>
      <c r="VZA54" s="113"/>
      <c r="VZB54" s="113"/>
      <c r="VZC54" s="113"/>
      <c r="VZD54" s="113"/>
      <c r="VZE54" s="113"/>
      <c r="VZF54" s="113"/>
      <c r="VZG54" s="113"/>
      <c r="VZH54" s="113"/>
      <c r="VZI54" s="113"/>
      <c r="VZJ54" s="113"/>
      <c r="VZK54" s="113"/>
      <c r="VZL54" s="113"/>
      <c r="VZM54" s="113"/>
      <c r="VZN54" s="113"/>
      <c r="VZO54" s="113"/>
      <c r="VZP54" s="113"/>
      <c r="VZQ54" s="113"/>
      <c r="VZR54" s="113"/>
      <c r="VZS54" s="113"/>
      <c r="VZT54" s="113"/>
      <c r="VZU54" s="113"/>
      <c r="VZV54" s="113"/>
      <c r="VZW54" s="113"/>
      <c r="VZX54" s="113"/>
      <c r="VZY54" s="113"/>
      <c r="VZZ54" s="113"/>
      <c r="WAA54" s="113"/>
      <c r="WAB54" s="113"/>
      <c r="WAC54" s="113"/>
      <c r="WAD54" s="113"/>
      <c r="WAE54" s="113"/>
      <c r="WAF54" s="113"/>
      <c r="WAG54" s="113"/>
      <c r="WAH54" s="113"/>
      <c r="WAI54" s="113"/>
      <c r="WAJ54" s="113"/>
      <c r="WAK54" s="113"/>
      <c r="WAL54" s="113"/>
      <c r="WAM54" s="113"/>
      <c r="WAN54" s="113"/>
      <c r="WAO54" s="113"/>
      <c r="WAP54" s="113"/>
      <c r="WAQ54" s="113"/>
      <c r="WAR54" s="113"/>
      <c r="WAS54" s="113"/>
      <c r="WAT54" s="113"/>
      <c r="WAU54" s="113"/>
      <c r="WAV54" s="113"/>
      <c r="WAW54" s="113"/>
      <c r="WAX54" s="113"/>
      <c r="WAY54" s="113"/>
      <c r="WAZ54" s="113"/>
      <c r="WBA54" s="113"/>
      <c r="WBB54" s="113"/>
      <c r="WBC54" s="113"/>
      <c r="WBD54" s="113"/>
      <c r="WBE54" s="113"/>
      <c r="WBF54" s="113"/>
      <c r="WBG54" s="113"/>
      <c r="WBH54" s="113"/>
      <c r="WBI54" s="113"/>
      <c r="WBJ54" s="113"/>
      <c r="WBK54" s="113"/>
      <c r="WBL54" s="113"/>
      <c r="WBM54" s="113"/>
      <c r="WBN54" s="113"/>
      <c r="WBO54" s="113"/>
      <c r="WBP54" s="113"/>
      <c r="WBQ54" s="113"/>
      <c r="WBR54" s="113"/>
      <c r="WBS54" s="113"/>
      <c r="WBT54" s="113"/>
      <c r="WBU54" s="113"/>
      <c r="WBV54" s="113"/>
      <c r="WBW54" s="113"/>
      <c r="WBX54" s="113"/>
      <c r="WBY54" s="113"/>
      <c r="WBZ54" s="113"/>
      <c r="WCA54" s="113"/>
      <c r="WCB54" s="113"/>
      <c r="WCC54" s="113"/>
      <c r="WCD54" s="113"/>
      <c r="WCE54" s="113"/>
      <c r="WCF54" s="113"/>
      <c r="WCG54" s="113"/>
      <c r="WCH54" s="113"/>
      <c r="WCI54" s="113"/>
      <c r="WCJ54" s="113"/>
      <c r="WCK54" s="113"/>
      <c r="WCL54" s="113"/>
      <c r="WCM54" s="113"/>
      <c r="WCN54" s="113"/>
      <c r="WCO54" s="113"/>
      <c r="WCP54" s="113"/>
      <c r="WCQ54" s="113"/>
      <c r="WCR54" s="113"/>
      <c r="WCS54" s="113"/>
      <c r="WCT54" s="113"/>
      <c r="WCU54" s="113"/>
      <c r="WCV54" s="113"/>
      <c r="WCW54" s="113"/>
      <c r="WCX54" s="113"/>
      <c r="WCY54" s="113"/>
      <c r="WCZ54" s="113"/>
      <c r="WDA54" s="113"/>
      <c r="WDB54" s="113"/>
      <c r="WDC54" s="113"/>
      <c r="WDD54" s="113"/>
      <c r="WDE54" s="113"/>
      <c r="WDF54" s="113"/>
      <c r="WDG54" s="113"/>
      <c r="WDH54" s="113"/>
      <c r="WDI54" s="113"/>
      <c r="WDJ54" s="113"/>
      <c r="WDK54" s="113"/>
      <c r="WDL54" s="113"/>
      <c r="WDM54" s="113"/>
      <c r="WDN54" s="113"/>
      <c r="WDO54" s="113"/>
      <c r="WDP54" s="113"/>
      <c r="WDQ54" s="113"/>
      <c r="WDR54" s="113"/>
      <c r="WDS54" s="113"/>
      <c r="WDT54" s="113"/>
      <c r="WDU54" s="113"/>
      <c r="WDV54" s="113"/>
      <c r="WDW54" s="113"/>
      <c r="WDX54" s="113"/>
      <c r="WDY54" s="113"/>
      <c r="WDZ54" s="113"/>
      <c r="WEA54" s="113"/>
      <c r="WEB54" s="113"/>
      <c r="WEC54" s="113"/>
      <c r="WED54" s="113"/>
      <c r="WEE54" s="113"/>
      <c r="WEF54" s="113"/>
      <c r="WEG54" s="113"/>
      <c r="WEH54" s="113"/>
      <c r="WEI54" s="113"/>
      <c r="WEJ54" s="113"/>
      <c r="WEK54" s="113"/>
      <c r="WEL54" s="113"/>
      <c r="WEM54" s="113"/>
      <c r="WEN54" s="113"/>
      <c r="WEO54" s="113"/>
      <c r="WEP54" s="113"/>
      <c r="WEQ54" s="113"/>
      <c r="WER54" s="113"/>
      <c r="WES54" s="113"/>
      <c r="WET54" s="113"/>
      <c r="WEU54" s="113"/>
      <c r="WEV54" s="113"/>
      <c r="WEW54" s="113"/>
      <c r="WEX54" s="113"/>
      <c r="WEY54" s="113"/>
      <c r="WEZ54" s="113"/>
      <c r="WFA54" s="113"/>
      <c r="WFB54" s="113"/>
      <c r="WFC54" s="113"/>
      <c r="WFD54" s="113"/>
      <c r="WFE54" s="113"/>
      <c r="WFF54" s="113"/>
      <c r="WFG54" s="113"/>
      <c r="WFH54" s="113"/>
      <c r="WFI54" s="113"/>
      <c r="WFJ54" s="113"/>
      <c r="WFK54" s="113"/>
      <c r="WFL54" s="113"/>
      <c r="WFM54" s="113"/>
      <c r="WFN54" s="113"/>
      <c r="WFO54" s="113"/>
      <c r="WFP54" s="113"/>
      <c r="WFQ54" s="113"/>
      <c r="WFR54" s="113"/>
      <c r="WFS54" s="113"/>
      <c r="WFT54" s="113"/>
      <c r="WFU54" s="113"/>
      <c r="WFV54" s="113"/>
      <c r="WFW54" s="113"/>
      <c r="WFX54" s="113"/>
      <c r="WFY54" s="113"/>
      <c r="WFZ54" s="113"/>
      <c r="WGA54" s="113"/>
      <c r="WGB54" s="113"/>
      <c r="WGC54" s="113"/>
      <c r="WGD54" s="113"/>
      <c r="WGE54" s="113"/>
      <c r="WGF54" s="113"/>
      <c r="WGG54" s="113"/>
      <c r="WGH54" s="113"/>
      <c r="WGI54" s="113"/>
      <c r="WGJ54" s="113"/>
      <c r="WGK54" s="113"/>
      <c r="WGL54" s="113"/>
      <c r="WGM54" s="113"/>
      <c r="WGN54" s="113"/>
      <c r="WGO54" s="113"/>
      <c r="WGP54" s="113"/>
      <c r="WGQ54" s="113"/>
      <c r="WGR54" s="113"/>
      <c r="WGS54" s="113"/>
      <c r="WGT54" s="113"/>
      <c r="WGU54" s="113"/>
      <c r="WGV54" s="113"/>
      <c r="WGW54" s="113"/>
      <c r="WGX54" s="113"/>
      <c r="WGY54" s="113"/>
      <c r="WGZ54" s="113"/>
      <c r="WHA54" s="113"/>
      <c r="WHB54" s="113"/>
      <c r="WHC54" s="113"/>
      <c r="WHD54" s="113"/>
      <c r="WHE54" s="113"/>
      <c r="WHF54" s="113"/>
      <c r="WHG54" s="113"/>
      <c r="WHH54" s="113"/>
      <c r="WHI54" s="113"/>
      <c r="WHJ54" s="113"/>
      <c r="WHK54" s="113"/>
      <c r="WHL54" s="113"/>
      <c r="WHM54" s="113"/>
      <c r="WHN54" s="113"/>
      <c r="WHO54" s="113"/>
      <c r="WHP54" s="113"/>
      <c r="WHQ54" s="113"/>
      <c r="WHR54" s="113"/>
      <c r="WHS54" s="113"/>
      <c r="WHT54" s="113"/>
      <c r="WHU54" s="113"/>
      <c r="WHV54" s="113"/>
      <c r="WHW54" s="113"/>
      <c r="WHX54" s="113"/>
      <c r="WHY54" s="113"/>
      <c r="WHZ54" s="113"/>
      <c r="WIA54" s="113"/>
      <c r="WIB54" s="113"/>
      <c r="WIC54" s="113"/>
      <c r="WID54" s="113"/>
      <c r="WIE54" s="113"/>
      <c r="WIF54" s="113"/>
      <c r="WIG54" s="113"/>
      <c r="WIH54" s="113"/>
      <c r="WII54" s="113"/>
      <c r="WIJ54" s="113"/>
      <c r="WIK54" s="113"/>
      <c r="WIL54" s="113"/>
      <c r="WIM54" s="113"/>
      <c r="WIN54" s="113"/>
      <c r="WIO54" s="113"/>
      <c r="WIP54" s="113"/>
      <c r="WIQ54" s="113"/>
      <c r="WIR54" s="113"/>
      <c r="WIS54" s="113"/>
      <c r="WIT54" s="113"/>
      <c r="WIU54" s="113"/>
      <c r="WIV54" s="113"/>
      <c r="WIW54" s="113"/>
      <c r="WIX54" s="113"/>
      <c r="WIY54" s="113"/>
      <c r="WIZ54" s="113"/>
      <c r="WJA54" s="113"/>
      <c r="WJB54" s="113"/>
      <c r="WJC54" s="113"/>
      <c r="WJD54" s="113"/>
      <c r="WJE54" s="113"/>
      <c r="WJF54" s="113"/>
      <c r="WJG54" s="113"/>
      <c r="WJH54" s="113"/>
      <c r="WJI54" s="113"/>
      <c r="WJJ54" s="113"/>
      <c r="WJK54" s="113"/>
      <c r="WJL54" s="113"/>
      <c r="WJM54" s="113"/>
      <c r="WJN54" s="113"/>
      <c r="WJO54" s="113"/>
      <c r="WJP54" s="113"/>
      <c r="WJQ54" s="113"/>
      <c r="WJR54" s="113"/>
      <c r="WJS54" s="113"/>
      <c r="WJT54" s="113"/>
      <c r="WJU54" s="113"/>
      <c r="WJV54" s="113"/>
      <c r="WJW54" s="113"/>
      <c r="WJX54" s="113"/>
      <c r="WJY54" s="113"/>
      <c r="WJZ54" s="113"/>
      <c r="WKA54" s="113"/>
      <c r="WKB54" s="113"/>
      <c r="WKC54" s="113"/>
      <c r="WKD54" s="113"/>
      <c r="WKE54" s="113"/>
      <c r="WKF54" s="113"/>
      <c r="WKG54" s="113"/>
      <c r="WKH54" s="113"/>
      <c r="WKI54" s="113"/>
      <c r="WKJ54" s="113"/>
      <c r="WKK54" s="113"/>
      <c r="WKL54" s="113"/>
      <c r="WKM54" s="113"/>
      <c r="WKN54" s="113"/>
      <c r="WKO54" s="113"/>
      <c r="WKP54" s="113"/>
      <c r="WKQ54" s="113"/>
      <c r="WKR54" s="113"/>
      <c r="WKS54" s="113"/>
      <c r="WKT54" s="113"/>
      <c r="WKU54" s="113"/>
      <c r="WKV54" s="113"/>
      <c r="WKW54" s="113"/>
      <c r="WKX54" s="113"/>
      <c r="WKY54" s="113"/>
      <c r="WKZ54" s="113"/>
      <c r="WLA54" s="113"/>
      <c r="WLB54" s="113"/>
      <c r="WLC54" s="113"/>
      <c r="WLD54" s="113"/>
      <c r="WLE54" s="113"/>
      <c r="WLF54" s="113"/>
      <c r="WLG54" s="113"/>
      <c r="WLH54" s="113"/>
      <c r="WLI54" s="113"/>
      <c r="WLJ54" s="113"/>
      <c r="WLK54" s="113"/>
      <c r="WLL54" s="113"/>
      <c r="WLM54" s="113"/>
      <c r="WLN54" s="113"/>
      <c r="WLO54" s="113"/>
      <c r="WLP54" s="113"/>
      <c r="WLQ54" s="113"/>
      <c r="WLR54" s="113"/>
      <c r="WLS54" s="113"/>
      <c r="WLT54" s="113"/>
      <c r="WLU54" s="113"/>
      <c r="WLV54" s="113"/>
      <c r="WLW54" s="113"/>
      <c r="WLX54" s="113"/>
      <c r="WLY54" s="113"/>
      <c r="WLZ54" s="113"/>
      <c r="WMA54" s="113"/>
      <c r="WMB54" s="113"/>
      <c r="WMC54" s="113"/>
      <c r="WMD54" s="113"/>
      <c r="WME54" s="113"/>
      <c r="WMF54" s="113"/>
      <c r="WMG54" s="113"/>
      <c r="WMH54" s="113"/>
      <c r="WMI54" s="113"/>
      <c r="WMJ54" s="113"/>
      <c r="WMK54" s="113"/>
      <c r="WML54" s="113"/>
      <c r="WMM54" s="113"/>
      <c r="WMN54" s="113"/>
      <c r="WMO54" s="113"/>
      <c r="WMP54" s="113"/>
      <c r="WMQ54" s="113"/>
      <c r="WMR54" s="113"/>
      <c r="WMS54" s="113"/>
      <c r="WMT54" s="113"/>
      <c r="WMU54" s="113"/>
      <c r="WMV54" s="113"/>
      <c r="WMW54" s="113"/>
      <c r="WMX54" s="113"/>
      <c r="WMY54" s="113"/>
      <c r="WMZ54" s="113"/>
      <c r="WNA54" s="113"/>
      <c r="WNB54" s="113"/>
      <c r="WNC54" s="113"/>
      <c r="WND54" s="113"/>
      <c r="WNE54" s="113"/>
      <c r="WNF54" s="113"/>
      <c r="WNG54" s="113"/>
      <c r="WNH54" s="113"/>
      <c r="WNI54" s="113"/>
      <c r="WNJ54" s="113"/>
      <c r="WNK54" s="113"/>
      <c r="WNL54" s="113"/>
      <c r="WNM54" s="113"/>
      <c r="WNN54" s="113"/>
      <c r="WNO54" s="113"/>
      <c r="WNP54" s="113"/>
      <c r="WNQ54" s="113"/>
      <c r="WNR54" s="113"/>
      <c r="WNS54" s="113"/>
      <c r="WNT54" s="113"/>
      <c r="WNU54" s="113"/>
      <c r="WNV54" s="113"/>
      <c r="WNW54" s="113"/>
      <c r="WNX54" s="113"/>
      <c r="WNY54" s="113"/>
      <c r="WNZ54" s="113"/>
      <c r="WOA54" s="113"/>
      <c r="WOB54" s="113"/>
      <c r="WOC54" s="113"/>
      <c r="WOD54" s="113"/>
      <c r="WOE54" s="113"/>
      <c r="WOF54" s="113"/>
      <c r="WOG54" s="113"/>
      <c r="WOH54" s="113"/>
      <c r="WOI54" s="113"/>
      <c r="WOJ54" s="113"/>
      <c r="WOK54" s="113"/>
      <c r="WOL54" s="113"/>
      <c r="WOM54" s="113"/>
      <c r="WON54" s="113"/>
      <c r="WOO54" s="113"/>
      <c r="WOP54" s="113"/>
      <c r="WOQ54" s="113"/>
      <c r="WOR54" s="113"/>
      <c r="WOS54" s="113"/>
      <c r="WOT54" s="113"/>
      <c r="WOU54" s="113"/>
      <c r="WOV54" s="113"/>
      <c r="WOW54" s="113"/>
      <c r="WOX54" s="113"/>
      <c r="WOY54" s="113"/>
      <c r="WOZ54" s="113"/>
      <c r="WPA54" s="113"/>
      <c r="WPB54" s="113"/>
      <c r="WPC54" s="113"/>
      <c r="WPD54" s="113"/>
      <c r="WPE54" s="113"/>
      <c r="WPF54" s="113"/>
      <c r="WPG54" s="113"/>
      <c r="WPH54" s="113"/>
      <c r="WPI54" s="113"/>
      <c r="WPJ54" s="113"/>
      <c r="WPK54" s="113"/>
      <c r="WPL54" s="113"/>
      <c r="WPM54" s="113"/>
      <c r="WPN54" s="113"/>
      <c r="WPO54" s="113"/>
      <c r="WPP54" s="113"/>
      <c r="WPQ54" s="113"/>
      <c r="WPR54" s="113"/>
      <c r="WPS54" s="113"/>
      <c r="WPT54" s="113"/>
      <c r="WPU54" s="113"/>
      <c r="WPV54" s="113"/>
      <c r="WPW54" s="113"/>
      <c r="WPX54" s="113"/>
      <c r="WPY54" s="113"/>
      <c r="WPZ54" s="113"/>
      <c r="WQA54" s="113"/>
      <c r="WQB54" s="113"/>
      <c r="WQC54" s="113"/>
      <c r="WQD54" s="113"/>
      <c r="WQE54" s="113"/>
      <c r="WQF54" s="113"/>
      <c r="WQG54" s="113"/>
      <c r="WQH54" s="113"/>
      <c r="WQI54" s="113"/>
      <c r="WQJ54" s="113"/>
      <c r="WQK54" s="113"/>
      <c r="WQL54" s="113"/>
      <c r="WQM54" s="113"/>
      <c r="WQN54" s="113"/>
      <c r="WQO54" s="113"/>
      <c r="WQP54" s="113"/>
      <c r="WQQ54" s="113"/>
      <c r="WQR54" s="113"/>
      <c r="WQS54" s="113"/>
      <c r="WQT54" s="113"/>
      <c r="WQU54" s="113"/>
      <c r="WQV54" s="113"/>
      <c r="WQW54" s="113"/>
      <c r="WQX54" s="113"/>
      <c r="WQY54" s="113"/>
      <c r="WQZ54" s="113"/>
      <c r="WRA54" s="113"/>
      <c r="WRB54" s="113"/>
      <c r="WRC54" s="113"/>
      <c r="WRD54" s="113"/>
      <c r="WRE54" s="113"/>
      <c r="WRF54" s="113"/>
      <c r="WRG54" s="113"/>
      <c r="WRH54" s="113"/>
      <c r="WRI54" s="113"/>
      <c r="WRJ54" s="113"/>
      <c r="WRK54" s="113"/>
      <c r="WRL54" s="113"/>
      <c r="WRM54" s="113"/>
      <c r="WRN54" s="113"/>
      <c r="WRO54" s="113"/>
      <c r="WRP54" s="113"/>
      <c r="WRQ54" s="113"/>
      <c r="WRR54" s="113"/>
      <c r="WRS54" s="113"/>
      <c r="WRT54" s="113"/>
      <c r="WRU54" s="113"/>
      <c r="WRV54" s="113"/>
      <c r="WRW54" s="113"/>
      <c r="WRX54" s="113"/>
      <c r="WRY54" s="113"/>
      <c r="WRZ54" s="113"/>
      <c r="WSA54" s="113"/>
      <c r="WSB54" s="113"/>
      <c r="WSC54" s="113"/>
      <c r="WSD54" s="113"/>
      <c r="WSE54" s="113"/>
      <c r="WSF54" s="113"/>
      <c r="WSG54" s="113"/>
      <c r="WSH54" s="113"/>
      <c r="WSI54" s="113"/>
      <c r="WSJ54" s="113"/>
      <c r="WSK54" s="113"/>
      <c r="WSL54" s="113"/>
      <c r="WSM54" s="113"/>
      <c r="WSN54" s="113"/>
      <c r="WSO54" s="113"/>
      <c r="WSP54" s="113"/>
      <c r="WSQ54" s="113"/>
      <c r="WSR54" s="113"/>
      <c r="WSS54" s="113"/>
      <c r="WST54" s="113"/>
      <c r="WSU54" s="113"/>
      <c r="WSV54" s="113"/>
      <c r="WSW54" s="113"/>
      <c r="WSX54" s="113"/>
      <c r="WSY54" s="113"/>
      <c r="WSZ54" s="113"/>
      <c r="WTA54" s="113"/>
      <c r="WTB54" s="113"/>
      <c r="WTC54" s="113"/>
      <c r="WTD54" s="113"/>
      <c r="WTE54" s="113"/>
      <c r="WTF54" s="113"/>
      <c r="WTG54" s="113"/>
      <c r="WTH54" s="113"/>
      <c r="WTI54" s="113"/>
      <c r="WTJ54" s="113"/>
      <c r="WTK54" s="113"/>
      <c r="WTL54" s="113"/>
      <c r="WTM54" s="113"/>
      <c r="WTN54" s="113"/>
      <c r="WTO54" s="113"/>
      <c r="WTP54" s="113"/>
      <c r="WTQ54" s="113"/>
      <c r="WTR54" s="113"/>
      <c r="WTS54" s="113"/>
      <c r="WTT54" s="113"/>
      <c r="WTU54" s="113"/>
      <c r="WTV54" s="113"/>
      <c r="WTW54" s="113"/>
      <c r="WTX54" s="113"/>
      <c r="WTY54" s="113"/>
      <c r="WTZ54" s="113"/>
      <c r="WUA54" s="113"/>
      <c r="WUB54" s="113"/>
      <c r="WUC54" s="113"/>
      <c r="WUD54" s="113"/>
      <c r="WUE54" s="113"/>
      <c r="WUF54" s="113"/>
      <c r="WUG54" s="113"/>
      <c r="WUH54" s="113"/>
      <c r="WUI54" s="113"/>
      <c r="WUJ54" s="113"/>
      <c r="WUK54" s="113"/>
      <c r="WUL54" s="113"/>
      <c r="WUM54" s="113"/>
      <c r="WUN54" s="113"/>
      <c r="WUO54" s="113"/>
      <c r="WUP54" s="113"/>
      <c r="WUQ54" s="113"/>
      <c r="WUR54" s="113"/>
      <c r="WUS54" s="113"/>
      <c r="WUT54" s="113"/>
      <c r="WUU54" s="113"/>
      <c r="WUV54" s="113"/>
      <c r="WUW54" s="113"/>
      <c r="WUX54" s="113"/>
      <c r="WUY54" s="113"/>
      <c r="WUZ54" s="113"/>
      <c r="WVA54" s="113"/>
      <c r="WVB54" s="113"/>
      <c r="WVC54" s="113"/>
      <c r="WVD54" s="113"/>
      <c r="WVE54" s="113"/>
      <c r="WVF54" s="113"/>
      <c r="WVG54" s="113"/>
      <c r="WVH54" s="113"/>
      <c r="WVI54" s="113"/>
      <c r="WVJ54" s="113"/>
      <c r="WVK54" s="113"/>
      <c r="WVL54" s="113"/>
      <c r="WVM54" s="113"/>
      <c r="WVN54" s="113"/>
      <c r="WVO54" s="113"/>
      <c r="WVP54" s="113"/>
      <c r="WVQ54" s="113"/>
      <c r="WVR54" s="113"/>
      <c r="WVS54" s="113"/>
      <c r="WVT54" s="113"/>
      <c r="WVU54" s="113"/>
      <c r="WVV54" s="113"/>
      <c r="WVW54" s="113"/>
      <c r="WVX54" s="113"/>
      <c r="WVY54" s="113"/>
      <c r="WVZ54" s="113"/>
      <c r="WWA54" s="113"/>
      <c r="WWB54" s="113"/>
      <c r="WWC54" s="113"/>
      <c r="WWD54" s="113"/>
      <c r="WWE54" s="113"/>
      <c r="WWF54" s="113"/>
      <c r="WWG54" s="113"/>
      <c r="WWH54" s="113"/>
      <c r="WWI54" s="113"/>
      <c r="WWJ54" s="113"/>
      <c r="WWK54" s="113"/>
      <c r="WWL54" s="113"/>
      <c r="WWM54" s="113"/>
      <c r="WWN54" s="113"/>
      <c r="WWO54" s="113"/>
      <c r="WWP54" s="113"/>
      <c r="WWQ54" s="113"/>
      <c r="WWR54" s="113"/>
      <c r="WWS54" s="113"/>
      <c r="WWT54" s="113"/>
      <c r="WWU54" s="113"/>
      <c r="WWV54" s="113"/>
      <c r="WWW54" s="113"/>
      <c r="WWX54" s="113"/>
      <c r="WWY54" s="113"/>
      <c r="WWZ54" s="113"/>
      <c r="WXA54" s="113"/>
      <c r="WXB54" s="113"/>
      <c r="WXC54" s="113"/>
      <c r="WXD54" s="113"/>
      <c r="WXE54" s="113"/>
      <c r="WXF54" s="113"/>
      <c r="WXG54" s="113"/>
      <c r="WXH54" s="113"/>
      <c r="WXI54" s="113"/>
      <c r="WXJ54" s="113"/>
      <c r="WXK54" s="113"/>
      <c r="WXL54" s="113"/>
      <c r="WXM54" s="113"/>
      <c r="WXN54" s="113"/>
      <c r="WXO54" s="113"/>
      <c r="WXP54" s="113"/>
      <c r="WXQ54" s="113"/>
      <c r="WXR54" s="113"/>
      <c r="WXS54" s="113"/>
      <c r="WXT54" s="113"/>
      <c r="WXU54" s="113"/>
      <c r="WXV54" s="113"/>
      <c r="WXW54" s="113"/>
      <c r="WXX54" s="113"/>
      <c r="WXY54" s="113"/>
      <c r="WXZ54" s="113"/>
      <c r="WYA54" s="113"/>
      <c r="WYB54" s="113"/>
      <c r="WYC54" s="113"/>
      <c r="WYD54" s="113"/>
      <c r="WYE54" s="113"/>
      <c r="WYF54" s="113"/>
      <c r="WYG54" s="113"/>
      <c r="WYH54" s="113"/>
      <c r="WYI54" s="113"/>
      <c r="WYJ54" s="113"/>
      <c r="WYK54" s="113"/>
      <c r="WYL54" s="113"/>
      <c r="WYM54" s="113"/>
      <c r="WYN54" s="113"/>
      <c r="WYO54" s="113"/>
      <c r="WYP54" s="113"/>
      <c r="WYQ54" s="113"/>
      <c r="WYR54" s="113"/>
      <c r="WYS54" s="113"/>
      <c r="WYT54" s="113"/>
      <c r="WYU54" s="113"/>
      <c r="WYV54" s="113"/>
      <c r="WYW54" s="113"/>
      <c r="WYX54" s="113"/>
      <c r="WYY54" s="113"/>
      <c r="WYZ54" s="113"/>
      <c r="WZA54" s="113"/>
      <c r="WZB54" s="113"/>
      <c r="WZC54" s="113"/>
      <c r="WZD54" s="113"/>
      <c r="WZE54" s="113"/>
      <c r="WZF54" s="113"/>
      <c r="WZG54" s="113"/>
      <c r="WZH54" s="113"/>
      <c r="WZI54" s="113"/>
      <c r="WZJ54" s="113"/>
      <c r="WZK54" s="113"/>
      <c r="WZL54" s="113"/>
      <c r="WZM54" s="113"/>
      <c r="WZN54" s="113"/>
      <c r="WZO54" s="113"/>
      <c r="WZP54" s="113"/>
      <c r="WZQ54" s="113"/>
      <c r="WZR54" s="113"/>
      <c r="WZS54" s="113"/>
      <c r="WZT54" s="113"/>
      <c r="WZU54" s="113"/>
      <c r="WZV54" s="113"/>
      <c r="WZW54" s="113"/>
      <c r="WZX54" s="113"/>
      <c r="WZY54" s="113"/>
      <c r="WZZ54" s="113"/>
      <c r="XAA54" s="113"/>
      <c r="XAB54" s="113"/>
      <c r="XAC54" s="113"/>
      <c r="XAD54" s="113"/>
      <c r="XAE54" s="113"/>
      <c r="XAF54" s="113"/>
      <c r="XAG54" s="113"/>
      <c r="XAH54" s="113"/>
      <c r="XAI54" s="113"/>
      <c r="XAJ54" s="113"/>
      <c r="XAK54" s="113"/>
      <c r="XAL54" s="113"/>
      <c r="XAM54" s="113"/>
      <c r="XAN54" s="113"/>
      <c r="XAO54" s="113"/>
      <c r="XAP54" s="113"/>
      <c r="XAQ54" s="113"/>
      <c r="XAR54" s="113"/>
      <c r="XAS54" s="113"/>
      <c r="XAT54" s="113"/>
      <c r="XAU54" s="113"/>
      <c r="XAV54" s="113"/>
      <c r="XAW54" s="113"/>
      <c r="XAX54" s="113"/>
      <c r="XAY54" s="113"/>
      <c r="XAZ54" s="113"/>
      <c r="XBA54" s="113"/>
      <c r="XBB54" s="113"/>
      <c r="XBC54" s="113"/>
      <c r="XBD54" s="113"/>
      <c r="XBE54" s="113"/>
      <c r="XBF54" s="113"/>
      <c r="XBG54" s="113"/>
      <c r="XBH54" s="113"/>
      <c r="XBI54" s="113"/>
      <c r="XBJ54" s="113"/>
      <c r="XBK54" s="113"/>
      <c r="XBL54" s="113"/>
      <c r="XBM54" s="113"/>
      <c r="XBN54" s="113"/>
      <c r="XBO54" s="113"/>
      <c r="XBP54" s="113"/>
      <c r="XBQ54" s="113"/>
      <c r="XBR54" s="113"/>
      <c r="XBS54" s="113"/>
      <c r="XBT54" s="113"/>
      <c r="XBU54" s="113"/>
      <c r="XBV54" s="113"/>
      <c r="XBW54" s="113"/>
      <c r="XBX54" s="113"/>
      <c r="XBY54" s="113"/>
      <c r="XBZ54" s="113"/>
      <c r="XCA54" s="113"/>
      <c r="XCB54" s="113"/>
      <c r="XCC54" s="113"/>
      <c r="XCD54" s="113"/>
      <c r="XCE54" s="113"/>
      <c r="XCF54" s="113"/>
      <c r="XCG54" s="113"/>
      <c r="XCH54" s="113"/>
      <c r="XCI54" s="113"/>
      <c r="XCJ54" s="113"/>
      <c r="XCK54" s="113"/>
      <c r="XCL54" s="113"/>
      <c r="XCM54" s="113"/>
      <c r="XCN54" s="113"/>
      <c r="XCO54" s="113"/>
      <c r="XCP54" s="113"/>
      <c r="XCQ54" s="113"/>
      <c r="XCR54" s="113"/>
      <c r="XCS54" s="113"/>
      <c r="XCT54" s="113"/>
      <c r="XCU54" s="113"/>
      <c r="XCV54" s="113"/>
      <c r="XCW54" s="113"/>
      <c r="XCX54" s="113"/>
      <c r="XCY54" s="113"/>
      <c r="XCZ54" s="113"/>
      <c r="XDA54" s="113"/>
      <c r="XDB54" s="113"/>
      <c r="XDC54" s="113"/>
      <c r="XDD54" s="113"/>
      <c r="XDE54" s="113"/>
      <c r="XDF54" s="113"/>
      <c r="XDG54" s="113"/>
      <c r="XDH54" s="113"/>
      <c r="XDI54" s="113"/>
      <c r="XDJ54" s="113"/>
      <c r="XDK54" s="113"/>
      <c r="XDL54" s="113"/>
      <c r="XDM54" s="113"/>
      <c r="XDN54" s="113"/>
      <c r="XDO54" s="113"/>
      <c r="XDP54" s="113"/>
      <c r="XDQ54" s="113"/>
      <c r="XDR54" s="113"/>
      <c r="XDS54" s="113"/>
      <c r="XDT54" s="113"/>
      <c r="XDU54" s="113"/>
      <c r="XDV54" s="113"/>
      <c r="XDW54" s="113"/>
      <c r="XDX54" s="113"/>
      <c r="XDY54" s="113"/>
      <c r="XDZ54" s="113"/>
      <c r="XEA54" s="113"/>
      <c r="XEB54" s="113"/>
      <c r="XEC54" s="113"/>
      <c r="XED54" s="113"/>
      <c r="XEE54" s="113"/>
      <c r="XEF54" s="113"/>
      <c r="XEG54" s="113"/>
      <c r="XEH54" s="113"/>
      <c r="XEI54" s="113"/>
      <c r="XEJ54" s="113"/>
      <c r="XEK54" s="113"/>
      <c r="XEL54" s="113"/>
      <c r="XEM54" s="113"/>
      <c r="XEN54" s="113"/>
      <c r="XEO54" s="113"/>
      <c r="XEP54" s="113"/>
      <c r="XEQ54" s="113"/>
      <c r="XER54" s="113"/>
      <c r="XES54" s="113"/>
      <c r="XET54" s="113"/>
      <c r="XEU54" s="113"/>
      <c r="XEV54" s="113"/>
      <c r="XEW54" s="113"/>
      <c r="XEX54" s="113"/>
      <c r="XEY54" s="113"/>
      <c r="XEZ54" s="113"/>
      <c r="XFA54" s="113"/>
      <c r="XFB54" s="113"/>
      <c r="XFC54" s="113"/>
      <c r="XFD54" s="113"/>
    </row>
    <row r="55" spans="1:16384" customFormat="1" ht="31.5" customHeight="1" x14ac:dyDescent="0.2">
      <c r="A55" s="113" t="s">
        <v>903</v>
      </c>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c r="AO55" s="113"/>
      <c r="AP55" s="113"/>
      <c r="AQ55" s="113"/>
      <c r="AR55" s="113"/>
      <c r="AS55" s="113"/>
      <c r="AT55" s="113"/>
      <c r="AU55" s="113"/>
      <c r="AV55" s="113"/>
      <c r="AW55" s="113"/>
      <c r="AX55" s="113"/>
      <c r="AY55" s="113"/>
      <c r="AZ55" s="113"/>
      <c r="BA55" s="113"/>
      <c r="BB55" s="113"/>
      <c r="BC55" s="113"/>
      <c r="BD55" s="113"/>
      <c r="BE55" s="113"/>
      <c r="BF55" s="113"/>
      <c r="BG55" s="113"/>
      <c r="BH55" s="113"/>
      <c r="BI55" s="113"/>
      <c r="BJ55" s="113"/>
      <c r="BK55" s="113"/>
      <c r="BL55" s="113"/>
      <c r="BM55" s="113"/>
      <c r="BN55" s="113"/>
      <c r="BO55" s="113"/>
      <c r="BP55" s="113"/>
      <c r="BQ55" s="113"/>
      <c r="BR55" s="113"/>
      <c r="BS55" s="113"/>
      <c r="BT55" s="113"/>
      <c r="BU55" s="113"/>
      <c r="BV55" s="113"/>
      <c r="BW55" s="113"/>
      <c r="BX55" s="113"/>
      <c r="BY55" s="113"/>
      <c r="BZ55" s="113"/>
      <c r="CA55" s="113"/>
      <c r="CB55" s="113"/>
      <c r="CC55" s="113"/>
      <c r="CD55" s="113"/>
      <c r="CE55" s="113"/>
      <c r="CF55" s="113"/>
      <c r="CG55" s="113"/>
      <c r="CH55" s="113"/>
      <c r="CI55" s="113"/>
      <c r="CJ55" s="113"/>
      <c r="CK55" s="113"/>
      <c r="CL55" s="113"/>
      <c r="CM55" s="113"/>
      <c r="CN55" s="113"/>
      <c r="CO55" s="113"/>
      <c r="CP55" s="113"/>
      <c r="CQ55" s="113"/>
      <c r="CR55" s="113"/>
      <c r="CS55" s="113"/>
      <c r="CT55" s="113"/>
      <c r="CU55" s="113"/>
      <c r="CV55" s="113"/>
      <c r="CW55" s="113"/>
      <c r="CX55" s="113"/>
      <c r="CY55" s="113"/>
      <c r="CZ55" s="113"/>
      <c r="DA55" s="113"/>
      <c r="DB55" s="113"/>
      <c r="DC55" s="113"/>
      <c r="DD55" s="113"/>
      <c r="DE55" s="113"/>
      <c r="DF55" s="113"/>
      <c r="DG55" s="113"/>
      <c r="DH55" s="113"/>
      <c r="DI55" s="113"/>
      <c r="DJ55" s="113"/>
      <c r="DK55" s="113"/>
      <c r="DL55" s="113"/>
      <c r="DM55" s="113"/>
      <c r="DN55" s="113"/>
      <c r="DO55" s="113"/>
      <c r="DP55" s="113"/>
      <c r="DQ55" s="113"/>
      <c r="DR55" s="113"/>
      <c r="DS55" s="113"/>
      <c r="DT55" s="113"/>
      <c r="DU55" s="113"/>
      <c r="DV55" s="113"/>
      <c r="DW55" s="113"/>
      <c r="DX55" s="113"/>
      <c r="DY55" s="113"/>
      <c r="DZ55" s="113"/>
      <c r="EA55" s="113"/>
      <c r="EB55" s="113"/>
      <c r="EC55" s="113"/>
      <c r="ED55" s="113"/>
      <c r="EE55" s="113"/>
      <c r="EF55" s="113"/>
      <c r="EG55" s="113"/>
      <c r="EH55" s="113"/>
      <c r="EI55" s="113"/>
      <c r="EJ55" s="113"/>
      <c r="EK55" s="113"/>
      <c r="EL55" s="113"/>
      <c r="EM55" s="113"/>
      <c r="EN55" s="113"/>
      <c r="EO55" s="113"/>
      <c r="EP55" s="113"/>
      <c r="EQ55" s="113"/>
      <c r="ER55" s="113"/>
      <c r="ES55" s="113"/>
      <c r="ET55" s="113"/>
      <c r="EU55" s="113"/>
      <c r="EV55" s="113"/>
      <c r="EW55" s="113"/>
      <c r="EX55" s="113"/>
      <c r="EY55" s="113"/>
      <c r="EZ55" s="113"/>
      <c r="FA55" s="113"/>
      <c r="FB55" s="113"/>
      <c r="FC55" s="113"/>
      <c r="FD55" s="113"/>
      <c r="FE55" s="113"/>
      <c r="FF55" s="113"/>
      <c r="FG55" s="113"/>
      <c r="FH55" s="113"/>
      <c r="FI55" s="113"/>
      <c r="FJ55" s="113"/>
      <c r="FK55" s="113"/>
      <c r="FL55" s="113"/>
      <c r="FM55" s="113"/>
      <c r="FN55" s="113"/>
      <c r="FO55" s="113"/>
      <c r="FP55" s="113"/>
      <c r="FQ55" s="113"/>
      <c r="FR55" s="113"/>
      <c r="FS55" s="113"/>
      <c r="FT55" s="113"/>
      <c r="FU55" s="113"/>
      <c r="FV55" s="113"/>
      <c r="FW55" s="113"/>
      <c r="FX55" s="113"/>
      <c r="FY55" s="113"/>
      <c r="FZ55" s="113"/>
      <c r="GA55" s="113"/>
      <c r="GB55" s="113"/>
      <c r="GC55" s="113"/>
      <c r="GD55" s="113"/>
      <c r="GE55" s="113"/>
      <c r="GF55" s="113"/>
      <c r="GG55" s="113"/>
      <c r="GH55" s="113"/>
      <c r="GI55" s="113"/>
      <c r="GJ55" s="113"/>
      <c r="GK55" s="113"/>
      <c r="GL55" s="113"/>
      <c r="GM55" s="113"/>
      <c r="GN55" s="113"/>
      <c r="GO55" s="113"/>
      <c r="GP55" s="113"/>
      <c r="GQ55" s="113"/>
      <c r="GR55" s="113"/>
      <c r="GS55" s="113"/>
      <c r="GT55" s="113"/>
      <c r="GU55" s="113"/>
      <c r="GV55" s="113"/>
      <c r="GW55" s="113"/>
      <c r="GX55" s="113"/>
      <c r="GY55" s="113"/>
      <c r="GZ55" s="113"/>
      <c r="HA55" s="113"/>
      <c r="HB55" s="113"/>
      <c r="HC55" s="113"/>
      <c r="HD55" s="113"/>
      <c r="HE55" s="113"/>
      <c r="HF55" s="113"/>
      <c r="HG55" s="113"/>
      <c r="HH55" s="113"/>
      <c r="HI55" s="113"/>
      <c r="HJ55" s="113"/>
      <c r="HK55" s="113"/>
      <c r="HL55" s="113"/>
      <c r="HM55" s="113"/>
      <c r="HN55" s="113"/>
      <c r="HO55" s="113"/>
      <c r="HP55" s="113"/>
      <c r="HQ55" s="113"/>
      <c r="HR55" s="113"/>
      <c r="HS55" s="113"/>
      <c r="HT55" s="113"/>
      <c r="HU55" s="113"/>
      <c r="HV55" s="113"/>
      <c r="HW55" s="113"/>
      <c r="HX55" s="113"/>
      <c r="HY55" s="113"/>
      <c r="HZ55" s="113"/>
      <c r="IA55" s="113"/>
      <c r="IB55" s="113"/>
      <c r="IC55" s="113"/>
      <c r="ID55" s="113"/>
      <c r="IE55" s="113"/>
      <c r="IF55" s="113"/>
      <c r="IG55" s="113"/>
      <c r="IH55" s="113"/>
      <c r="II55" s="113"/>
      <c r="IJ55" s="113"/>
      <c r="IK55" s="113"/>
      <c r="IL55" s="113"/>
      <c r="IM55" s="113"/>
      <c r="IN55" s="113"/>
      <c r="IO55" s="113"/>
      <c r="IP55" s="113"/>
      <c r="IQ55" s="113"/>
      <c r="IR55" s="113"/>
      <c r="IS55" s="113"/>
      <c r="IT55" s="113"/>
      <c r="IU55" s="113"/>
      <c r="IV55" s="113"/>
      <c r="IW55" s="113"/>
      <c r="IX55" s="113"/>
      <c r="IY55" s="113"/>
      <c r="IZ55" s="113"/>
      <c r="JA55" s="113"/>
      <c r="JB55" s="113"/>
      <c r="JC55" s="113"/>
      <c r="JD55" s="113"/>
      <c r="JE55" s="113"/>
      <c r="JF55" s="113"/>
      <c r="JG55" s="113"/>
      <c r="JH55" s="113"/>
      <c r="JI55" s="113"/>
      <c r="JJ55" s="113"/>
      <c r="JK55" s="113"/>
      <c r="JL55" s="113"/>
      <c r="JM55" s="113"/>
      <c r="JN55" s="113"/>
      <c r="JO55" s="113"/>
      <c r="JP55" s="113"/>
      <c r="JQ55" s="113"/>
      <c r="JR55" s="113"/>
      <c r="JS55" s="113"/>
      <c r="JT55" s="113"/>
      <c r="JU55" s="113"/>
      <c r="JV55" s="113"/>
      <c r="JW55" s="113"/>
      <c r="JX55" s="113"/>
      <c r="JY55" s="113"/>
      <c r="JZ55" s="113"/>
      <c r="KA55" s="113"/>
      <c r="KB55" s="113"/>
      <c r="KC55" s="113"/>
      <c r="KD55" s="113"/>
      <c r="KE55" s="113"/>
      <c r="KF55" s="113"/>
      <c r="KG55" s="113"/>
      <c r="KH55" s="113"/>
      <c r="KI55" s="113"/>
      <c r="KJ55" s="113"/>
      <c r="KK55" s="113"/>
      <c r="KL55" s="113"/>
      <c r="KM55" s="113"/>
      <c r="KN55" s="113"/>
      <c r="KO55" s="113"/>
      <c r="KP55" s="113"/>
      <c r="KQ55" s="113"/>
      <c r="KR55" s="113"/>
      <c r="KS55" s="113"/>
      <c r="KT55" s="113"/>
      <c r="KU55" s="113"/>
      <c r="KV55" s="113"/>
      <c r="KW55" s="113"/>
      <c r="KX55" s="113"/>
      <c r="KY55" s="113"/>
      <c r="KZ55" s="113"/>
      <c r="LA55" s="113"/>
      <c r="LB55" s="113"/>
      <c r="LC55" s="113"/>
      <c r="LD55" s="113"/>
      <c r="LE55" s="113"/>
      <c r="LF55" s="113"/>
      <c r="LG55" s="113"/>
      <c r="LH55" s="113"/>
      <c r="LI55" s="113"/>
      <c r="LJ55" s="113"/>
      <c r="LK55" s="113"/>
      <c r="LL55" s="113"/>
      <c r="LM55" s="113"/>
      <c r="LN55" s="113"/>
      <c r="LO55" s="113"/>
      <c r="LP55" s="113"/>
      <c r="LQ55" s="113"/>
      <c r="LR55" s="113"/>
      <c r="LS55" s="113"/>
      <c r="LT55" s="113"/>
      <c r="LU55" s="113"/>
      <c r="LV55" s="113"/>
      <c r="LW55" s="113"/>
      <c r="LX55" s="113"/>
      <c r="LY55" s="113"/>
      <c r="LZ55" s="113"/>
      <c r="MA55" s="113"/>
      <c r="MB55" s="113"/>
      <c r="MC55" s="113"/>
      <c r="MD55" s="113"/>
      <c r="ME55" s="113"/>
      <c r="MF55" s="113"/>
      <c r="MG55" s="113"/>
      <c r="MH55" s="113"/>
      <c r="MI55" s="113"/>
      <c r="MJ55" s="113"/>
      <c r="MK55" s="113"/>
      <c r="ML55" s="113"/>
      <c r="MM55" s="113"/>
      <c r="MN55" s="113"/>
      <c r="MO55" s="113"/>
      <c r="MP55" s="113"/>
      <c r="MQ55" s="113"/>
      <c r="MR55" s="113"/>
      <c r="MS55" s="113"/>
      <c r="MT55" s="113"/>
      <c r="MU55" s="113"/>
      <c r="MV55" s="113"/>
      <c r="MW55" s="113"/>
      <c r="MX55" s="113"/>
      <c r="MY55" s="113"/>
      <c r="MZ55" s="113"/>
      <c r="NA55" s="113"/>
      <c r="NB55" s="113"/>
      <c r="NC55" s="113"/>
      <c r="ND55" s="113"/>
      <c r="NE55" s="113"/>
      <c r="NF55" s="113"/>
      <c r="NG55" s="113"/>
      <c r="NH55" s="113"/>
      <c r="NI55" s="113"/>
      <c r="NJ55" s="113"/>
      <c r="NK55" s="113"/>
      <c r="NL55" s="113"/>
      <c r="NM55" s="113"/>
      <c r="NN55" s="113"/>
      <c r="NO55" s="113"/>
      <c r="NP55" s="113"/>
      <c r="NQ55" s="113"/>
      <c r="NR55" s="113"/>
      <c r="NS55" s="113"/>
      <c r="NT55" s="113"/>
      <c r="NU55" s="113"/>
      <c r="NV55" s="113"/>
      <c r="NW55" s="113"/>
      <c r="NX55" s="113"/>
      <c r="NY55" s="113"/>
      <c r="NZ55" s="113"/>
      <c r="OA55" s="113"/>
      <c r="OB55" s="113"/>
      <c r="OC55" s="113"/>
      <c r="OD55" s="113"/>
      <c r="OE55" s="113"/>
      <c r="OF55" s="113"/>
      <c r="OG55" s="113"/>
      <c r="OH55" s="113"/>
      <c r="OI55" s="113"/>
      <c r="OJ55" s="113"/>
      <c r="OK55" s="113"/>
      <c r="OL55" s="113"/>
      <c r="OM55" s="113"/>
      <c r="ON55" s="113"/>
      <c r="OO55" s="113"/>
      <c r="OP55" s="113"/>
      <c r="OQ55" s="113"/>
      <c r="OR55" s="113"/>
      <c r="OS55" s="113"/>
      <c r="OT55" s="113"/>
      <c r="OU55" s="113"/>
      <c r="OV55" s="113"/>
      <c r="OW55" s="113"/>
      <c r="OX55" s="113"/>
      <c r="OY55" s="113"/>
      <c r="OZ55" s="113"/>
      <c r="PA55" s="113"/>
      <c r="PB55" s="113"/>
      <c r="PC55" s="113"/>
      <c r="PD55" s="113"/>
      <c r="PE55" s="113"/>
      <c r="PF55" s="113"/>
      <c r="PG55" s="113"/>
      <c r="PH55" s="113"/>
      <c r="PI55" s="113"/>
      <c r="PJ55" s="113"/>
      <c r="PK55" s="113"/>
      <c r="PL55" s="113"/>
      <c r="PM55" s="113"/>
      <c r="PN55" s="113"/>
      <c r="PO55" s="113"/>
      <c r="PP55" s="113"/>
      <c r="PQ55" s="113"/>
      <c r="PR55" s="113"/>
      <c r="PS55" s="113"/>
      <c r="PT55" s="113"/>
      <c r="PU55" s="113"/>
      <c r="PV55" s="113"/>
      <c r="PW55" s="113"/>
      <c r="PX55" s="113"/>
      <c r="PY55" s="113"/>
      <c r="PZ55" s="113"/>
      <c r="QA55" s="113"/>
      <c r="QB55" s="113"/>
      <c r="QC55" s="113"/>
      <c r="QD55" s="113"/>
      <c r="QE55" s="113"/>
      <c r="QF55" s="113"/>
      <c r="QG55" s="113"/>
      <c r="QH55" s="113"/>
      <c r="QI55" s="113"/>
      <c r="QJ55" s="113"/>
      <c r="QK55" s="113"/>
      <c r="QL55" s="113"/>
      <c r="QM55" s="113"/>
      <c r="QN55" s="113"/>
      <c r="QO55" s="113"/>
      <c r="QP55" s="113"/>
      <c r="QQ55" s="113"/>
      <c r="QR55" s="113"/>
      <c r="QS55" s="113"/>
      <c r="QT55" s="113"/>
      <c r="QU55" s="113"/>
      <c r="QV55" s="113"/>
      <c r="QW55" s="113"/>
      <c r="QX55" s="113"/>
      <c r="QY55" s="113"/>
      <c r="QZ55" s="113"/>
      <c r="RA55" s="113"/>
      <c r="RB55" s="113"/>
      <c r="RC55" s="113"/>
      <c r="RD55" s="113"/>
      <c r="RE55" s="113"/>
      <c r="RF55" s="113"/>
      <c r="RG55" s="113"/>
      <c r="RH55" s="113"/>
      <c r="RI55" s="113"/>
      <c r="RJ55" s="113"/>
      <c r="RK55" s="113"/>
      <c r="RL55" s="113"/>
      <c r="RM55" s="113"/>
      <c r="RN55" s="113"/>
      <c r="RO55" s="113"/>
      <c r="RP55" s="113"/>
      <c r="RQ55" s="113"/>
      <c r="RR55" s="113"/>
      <c r="RS55" s="113"/>
      <c r="RT55" s="113"/>
      <c r="RU55" s="113"/>
      <c r="RV55" s="113"/>
      <c r="RW55" s="113"/>
      <c r="RX55" s="113"/>
      <c r="RY55" s="113"/>
      <c r="RZ55" s="113"/>
      <c r="SA55" s="113"/>
      <c r="SB55" s="113"/>
      <c r="SC55" s="113"/>
      <c r="SD55" s="113"/>
      <c r="SE55" s="113"/>
      <c r="SF55" s="113"/>
      <c r="SG55" s="113"/>
      <c r="SH55" s="113"/>
      <c r="SI55" s="113"/>
      <c r="SJ55" s="113"/>
      <c r="SK55" s="113"/>
      <c r="SL55" s="113"/>
      <c r="SM55" s="113"/>
      <c r="SN55" s="113"/>
      <c r="SO55" s="113"/>
      <c r="SP55" s="113"/>
      <c r="SQ55" s="113"/>
      <c r="SR55" s="113"/>
      <c r="SS55" s="113"/>
      <c r="ST55" s="113"/>
      <c r="SU55" s="113"/>
      <c r="SV55" s="113"/>
      <c r="SW55" s="113"/>
      <c r="SX55" s="113"/>
      <c r="SY55" s="113"/>
      <c r="SZ55" s="113"/>
      <c r="TA55" s="113"/>
      <c r="TB55" s="113"/>
      <c r="TC55" s="113"/>
      <c r="TD55" s="113"/>
      <c r="TE55" s="113"/>
      <c r="TF55" s="113"/>
      <c r="TG55" s="113"/>
      <c r="TH55" s="113"/>
      <c r="TI55" s="113"/>
      <c r="TJ55" s="113"/>
      <c r="TK55" s="113"/>
      <c r="TL55" s="113"/>
      <c r="TM55" s="113"/>
      <c r="TN55" s="113"/>
      <c r="TO55" s="113"/>
      <c r="TP55" s="113"/>
      <c r="TQ55" s="113"/>
      <c r="TR55" s="113"/>
      <c r="TS55" s="113"/>
      <c r="TT55" s="113"/>
      <c r="TU55" s="113"/>
      <c r="TV55" s="113"/>
      <c r="TW55" s="113"/>
      <c r="TX55" s="113"/>
      <c r="TY55" s="113"/>
      <c r="TZ55" s="113"/>
      <c r="UA55" s="113"/>
      <c r="UB55" s="113"/>
      <c r="UC55" s="113"/>
      <c r="UD55" s="113"/>
      <c r="UE55" s="113"/>
      <c r="UF55" s="113"/>
      <c r="UG55" s="113"/>
      <c r="UH55" s="113"/>
      <c r="UI55" s="113"/>
      <c r="UJ55" s="113"/>
      <c r="UK55" s="113"/>
      <c r="UL55" s="113"/>
      <c r="UM55" s="113"/>
      <c r="UN55" s="113"/>
      <c r="UO55" s="113"/>
      <c r="UP55" s="113"/>
      <c r="UQ55" s="113"/>
      <c r="UR55" s="113"/>
      <c r="US55" s="113"/>
      <c r="UT55" s="113"/>
      <c r="UU55" s="113"/>
      <c r="UV55" s="113"/>
      <c r="UW55" s="113"/>
      <c r="UX55" s="113"/>
      <c r="UY55" s="113"/>
      <c r="UZ55" s="113"/>
      <c r="VA55" s="113"/>
      <c r="VB55" s="113"/>
      <c r="VC55" s="113"/>
      <c r="VD55" s="113"/>
      <c r="VE55" s="113"/>
      <c r="VF55" s="113"/>
      <c r="VG55" s="113"/>
      <c r="VH55" s="113"/>
      <c r="VI55" s="113"/>
      <c r="VJ55" s="113"/>
      <c r="VK55" s="113"/>
      <c r="VL55" s="113"/>
      <c r="VM55" s="113"/>
      <c r="VN55" s="113"/>
      <c r="VO55" s="113"/>
      <c r="VP55" s="113"/>
      <c r="VQ55" s="113"/>
      <c r="VR55" s="113"/>
      <c r="VS55" s="113"/>
      <c r="VT55" s="113"/>
      <c r="VU55" s="113"/>
      <c r="VV55" s="113"/>
      <c r="VW55" s="113"/>
      <c r="VX55" s="113"/>
      <c r="VY55" s="113"/>
      <c r="VZ55" s="113"/>
      <c r="WA55" s="113"/>
      <c r="WB55" s="113"/>
      <c r="WC55" s="113"/>
      <c r="WD55" s="113"/>
      <c r="WE55" s="113"/>
      <c r="WF55" s="113"/>
      <c r="WG55" s="113"/>
      <c r="WH55" s="113"/>
      <c r="WI55" s="113"/>
      <c r="WJ55" s="113"/>
      <c r="WK55" s="113"/>
      <c r="WL55" s="113"/>
      <c r="WM55" s="113"/>
      <c r="WN55" s="113"/>
      <c r="WO55" s="113"/>
      <c r="WP55" s="113"/>
      <c r="WQ55" s="113"/>
      <c r="WR55" s="113"/>
      <c r="WS55" s="113"/>
      <c r="WT55" s="113"/>
      <c r="WU55" s="113"/>
      <c r="WV55" s="113"/>
      <c r="WW55" s="113"/>
      <c r="WX55" s="113"/>
      <c r="WY55" s="113"/>
      <c r="WZ55" s="113"/>
      <c r="XA55" s="113"/>
      <c r="XB55" s="113"/>
      <c r="XC55" s="113"/>
      <c r="XD55" s="113"/>
      <c r="XE55" s="113"/>
      <c r="XF55" s="113"/>
      <c r="XG55" s="113"/>
      <c r="XH55" s="113"/>
      <c r="XI55" s="113"/>
      <c r="XJ55" s="113"/>
      <c r="XK55" s="113"/>
      <c r="XL55" s="113"/>
      <c r="XM55" s="113"/>
      <c r="XN55" s="113"/>
      <c r="XO55" s="113"/>
      <c r="XP55" s="113"/>
      <c r="XQ55" s="113"/>
      <c r="XR55" s="113"/>
      <c r="XS55" s="113"/>
      <c r="XT55" s="113"/>
      <c r="XU55" s="113"/>
      <c r="XV55" s="113"/>
      <c r="XW55" s="113"/>
      <c r="XX55" s="113"/>
      <c r="XY55" s="113"/>
      <c r="XZ55" s="113"/>
      <c r="YA55" s="113"/>
      <c r="YB55" s="113"/>
      <c r="YC55" s="113"/>
      <c r="YD55" s="113"/>
      <c r="YE55" s="113"/>
      <c r="YF55" s="113"/>
      <c r="YG55" s="113"/>
      <c r="YH55" s="113"/>
      <c r="YI55" s="113"/>
      <c r="YJ55" s="113"/>
      <c r="YK55" s="113"/>
      <c r="YL55" s="113"/>
      <c r="YM55" s="113"/>
      <c r="YN55" s="113"/>
      <c r="YO55" s="113"/>
      <c r="YP55" s="113"/>
      <c r="YQ55" s="113"/>
      <c r="YR55" s="113"/>
      <c r="YS55" s="113"/>
      <c r="YT55" s="113"/>
      <c r="YU55" s="113"/>
      <c r="YV55" s="113"/>
      <c r="YW55" s="113"/>
      <c r="YX55" s="113"/>
      <c r="YY55" s="113"/>
      <c r="YZ55" s="113"/>
      <c r="ZA55" s="113"/>
      <c r="ZB55" s="113"/>
      <c r="ZC55" s="113"/>
      <c r="ZD55" s="113"/>
      <c r="ZE55" s="113"/>
      <c r="ZF55" s="113"/>
      <c r="ZG55" s="113"/>
      <c r="ZH55" s="113"/>
      <c r="ZI55" s="113"/>
      <c r="ZJ55" s="113"/>
      <c r="ZK55" s="113"/>
      <c r="ZL55" s="113"/>
      <c r="ZM55" s="113"/>
      <c r="ZN55" s="113"/>
      <c r="ZO55" s="113"/>
      <c r="ZP55" s="113"/>
      <c r="ZQ55" s="113"/>
      <c r="ZR55" s="113"/>
      <c r="ZS55" s="113"/>
      <c r="ZT55" s="113"/>
      <c r="ZU55" s="113"/>
      <c r="ZV55" s="113"/>
      <c r="ZW55" s="113"/>
      <c r="ZX55" s="113"/>
      <c r="ZY55" s="113"/>
      <c r="ZZ55" s="113"/>
      <c r="AAA55" s="113"/>
      <c r="AAB55" s="113"/>
      <c r="AAC55" s="113"/>
      <c r="AAD55" s="113"/>
      <c r="AAE55" s="113"/>
      <c r="AAF55" s="113"/>
      <c r="AAG55" s="113"/>
      <c r="AAH55" s="113"/>
      <c r="AAI55" s="113"/>
      <c r="AAJ55" s="113"/>
      <c r="AAK55" s="113"/>
      <c r="AAL55" s="113"/>
      <c r="AAM55" s="113"/>
      <c r="AAN55" s="113"/>
      <c r="AAO55" s="113"/>
      <c r="AAP55" s="113"/>
      <c r="AAQ55" s="113"/>
      <c r="AAR55" s="113"/>
      <c r="AAS55" s="113"/>
      <c r="AAT55" s="113"/>
      <c r="AAU55" s="113"/>
      <c r="AAV55" s="113"/>
      <c r="AAW55" s="113"/>
      <c r="AAX55" s="113"/>
      <c r="AAY55" s="113"/>
      <c r="AAZ55" s="113"/>
      <c r="ABA55" s="113"/>
      <c r="ABB55" s="113"/>
      <c r="ABC55" s="113"/>
      <c r="ABD55" s="113"/>
      <c r="ABE55" s="113"/>
      <c r="ABF55" s="113"/>
      <c r="ABG55" s="113"/>
      <c r="ABH55" s="113"/>
      <c r="ABI55" s="113"/>
      <c r="ABJ55" s="113"/>
      <c r="ABK55" s="113"/>
      <c r="ABL55" s="113"/>
      <c r="ABM55" s="113"/>
      <c r="ABN55" s="113"/>
      <c r="ABO55" s="113"/>
      <c r="ABP55" s="113"/>
      <c r="ABQ55" s="113"/>
      <c r="ABR55" s="113"/>
      <c r="ABS55" s="113"/>
      <c r="ABT55" s="113"/>
      <c r="ABU55" s="113"/>
      <c r="ABV55" s="113"/>
      <c r="ABW55" s="113"/>
      <c r="ABX55" s="113"/>
      <c r="ABY55" s="113"/>
      <c r="ABZ55" s="113"/>
      <c r="ACA55" s="113"/>
      <c r="ACB55" s="113"/>
      <c r="ACC55" s="113"/>
      <c r="ACD55" s="113"/>
      <c r="ACE55" s="113"/>
      <c r="ACF55" s="113"/>
      <c r="ACG55" s="113"/>
      <c r="ACH55" s="113"/>
      <c r="ACI55" s="113"/>
      <c r="ACJ55" s="113"/>
      <c r="ACK55" s="113"/>
      <c r="ACL55" s="113"/>
      <c r="ACM55" s="113"/>
      <c r="ACN55" s="113"/>
      <c r="ACO55" s="113"/>
      <c r="ACP55" s="113"/>
      <c r="ACQ55" s="113"/>
      <c r="ACR55" s="113"/>
      <c r="ACS55" s="113"/>
      <c r="ACT55" s="113"/>
      <c r="ACU55" s="113"/>
      <c r="ACV55" s="113"/>
      <c r="ACW55" s="113"/>
      <c r="ACX55" s="113"/>
      <c r="ACY55" s="113"/>
      <c r="ACZ55" s="113"/>
      <c r="ADA55" s="113"/>
      <c r="ADB55" s="113"/>
      <c r="ADC55" s="113"/>
      <c r="ADD55" s="113"/>
      <c r="ADE55" s="113"/>
      <c r="ADF55" s="113"/>
      <c r="ADG55" s="113"/>
      <c r="ADH55" s="113"/>
      <c r="ADI55" s="113"/>
      <c r="ADJ55" s="113"/>
      <c r="ADK55" s="113"/>
      <c r="ADL55" s="113"/>
      <c r="ADM55" s="113"/>
      <c r="ADN55" s="113"/>
      <c r="ADO55" s="113"/>
      <c r="ADP55" s="113"/>
      <c r="ADQ55" s="113"/>
      <c r="ADR55" s="113"/>
      <c r="ADS55" s="113"/>
      <c r="ADT55" s="113"/>
      <c r="ADU55" s="113"/>
      <c r="ADV55" s="113"/>
      <c r="ADW55" s="113"/>
      <c r="ADX55" s="113"/>
      <c r="ADY55" s="113"/>
      <c r="ADZ55" s="113"/>
      <c r="AEA55" s="113"/>
      <c r="AEB55" s="113"/>
      <c r="AEC55" s="113"/>
      <c r="AED55" s="113"/>
      <c r="AEE55" s="113"/>
      <c r="AEF55" s="113"/>
      <c r="AEG55" s="113"/>
      <c r="AEH55" s="113"/>
      <c r="AEI55" s="113"/>
      <c r="AEJ55" s="113"/>
      <c r="AEK55" s="113"/>
      <c r="AEL55" s="113"/>
      <c r="AEM55" s="113"/>
      <c r="AEN55" s="113"/>
      <c r="AEO55" s="113"/>
      <c r="AEP55" s="113"/>
      <c r="AEQ55" s="113"/>
      <c r="AER55" s="113"/>
      <c r="AES55" s="113"/>
      <c r="AET55" s="113"/>
      <c r="AEU55" s="113"/>
      <c r="AEV55" s="113"/>
      <c r="AEW55" s="113"/>
      <c r="AEX55" s="113"/>
      <c r="AEY55" s="113"/>
      <c r="AEZ55" s="113"/>
      <c r="AFA55" s="113"/>
      <c r="AFB55" s="113"/>
      <c r="AFC55" s="113"/>
      <c r="AFD55" s="113"/>
      <c r="AFE55" s="113"/>
      <c r="AFF55" s="113"/>
      <c r="AFG55" s="113"/>
      <c r="AFH55" s="113"/>
      <c r="AFI55" s="113"/>
      <c r="AFJ55" s="113"/>
      <c r="AFK55" s="113"/>
      <c r="AFL55" s="113"/>
      <c r="AFM55" s="113"/>
      <c r="AFN55" s="113"/>
      <c r="AFO55" s="113"/>
      <c r="AFP55" s="113"/>
      <c r="AFQ55" s="113"/>
      <c r="AFR55" s="113"/>
      <c r="AFS55" s="113"/>
      <c r="AFT55" s="113"/>
      <c r="AFU55" s="113"/>
      <c r="AFV55" s="113"/>
      <c r="AFW55" s="113"/>
      <c r="AFX55" s="113"/>
      <c r="AFY55" s="113"/>
      <c r="AFZ55" s="113"/>
      <c r="AGA55" s="113"/>
      <c r="AGB55" s="113"/>
      <c r="AGC55" s="113"/>
      <c r="AGD55" s="113"/>
      <c r="AGE55" s="113"/>
      <c r="AGF55" s="113"/>
      <c r="AGG55" s="113"/>
      <c r="AGH55" s="113"/>
      <c r="AGI55" s="113"/>
      <c r="AGJ55" s="113"/>
      <c r="AGK55" s="113"/>
      <c r="AGL55" s="113"/>
      <c r="AGM55" s="113"/>
      <c r="AGN55" s="113"/>
      <c r="AGO55" s="113"/>
      <c r="AGP55" s="113"/>
      <c r="AGQ55" s="113"/>
      <c r="AGR55" s="113"/>
      <c r="AGS55" s="113"/>
      <c r="AGT55" s="113"/>
      <c r="AGU55" s="113"/>
      <c r="AGV55" s="113"/>
      <c r="AGW55" s="113"/>
      <c r="AGX55" s="113"/>
      <c r="AGY55" s="113"/>
      <c r="AGZ55" s="113"/>
      <c r="AHA55" s="113"/>
      <c r="AHB55" s="113"/>
      <c r="AHC55" s="113"/>
      <c r="AHD55" s="113"/>
      <c r="AHE55" s="113"/>
      <c r="AHF55" s="113"/>
      <c r="AHG55" s="113"/>
      <c r="AHH55" s="113"/>
      <c r="AHI55" s="113"/>
      <c r="AHJ55" s="113"/>
      <c r="AHK55" s="113"/>
      <c r="AHL55" s="113"/>
      <c r="AHM55" s="113"/>
      <c r="AHN55" s="113"/>
      <c r="AHO55" s="113"/>
      <c r="AHP55" s="113"/>
      <c r="AHQ55" s="113"/>
      <c r="AHR55" s="113"/>
      <c r="AHS55" s="113"/>
      <c r="AHT55" s="113"/>
      <c r="AHU55" s="113"/>
      <c r="AHV55" s="113"/>
      <c r="AHW55" s="113"/>
      <c r="AHX55" s="113"/>
      <c r="AHY55" s="113"/>
      <c r="AHZ55" s="113"/>
      <c r="AIA55" s="113"/>
      <c r="AIB55" s="113"/>
      <c r="AIC55" s="113"/>
      <c r="AID55" s="113"/>
      <c r="AIE55" s="113"/>
      <c r="AIF55" s="113"/>
      <c r="AIG55" s="113"/>
      <c r="AIH55" s="113"/>
      <c r="AII55" s="113"/>
      <c r="AIJ55" s="113"/>
      <c r="AIK55" s="113"/>
      <c r="AIL55" s="113"/>
      <c r="AIM55" s="113"/>
      <c r="AIN55" s="113"/>
      <c r="AIO55" s="113"/>
      <c r="AIP55" s="113"/>
      <c r="AIQ55" s="113"/>
      <c r="AIR55" s="113"/>
      <c r="AIS55" s="113"/>
      <c r="AIT55" s="113"/>
      <c r="AIU55" s="113"/>
      <c r="AIV55" s="113"/>
      <c r="AIW55" s="113"/>
      <c r="AIX55" s="113"/>
      <c r="AIY55" s="113"/>
      <c r="AIZ55" s="113"/>
      <c r="AJA55" s="113"/>
      <c r="AJB55" s="113"/>
      <c r="AJC55" s="113"/>
      <c r="AJD55" s="113"/>
      <c r="AJE55" s="113"/>
      <c r="AJF55" s="113"/>
      <c r="AJG55" s="113"/>
      <c r="AJH55" s="113"/>
      <c r="AJI55" s="113"/>
      <c r="AJJ55" s="113"/>
      <c r="AJK55" s="113"/>
      <c r="AJL55" s="113"/>
      <c r="AJM55" s="113"/>
      <c r="AJN55" s="113"/>
      <c r="AJO55" s="113"/>
      <c r="AJP55" s="113"/>
      <c r="AJQ55" s="113"/>
      <c r="AJR55" s="113"/>
      <c r="AJS55" s="113"/>
      <c r="AJT55" s="113"/>
      <c r="AJU55" s="113"/>
      <c r="AJV55" s="113"/>
      <c r="AJW55" s="113"/>
      <c r="AJX55" s="113"/>
      <c r="AJY55" s="113"/>
      <c r="AJZ55" s="113"/>
      <c r="AKA55" s="113"/>
      <c r="AKB55" s="113"/>
      <c r="AKC55" s="113"/>
      <c r="AKD55" s="113"/>
      <c r="AKE55" s="113"/>
      <c r="AKF55" s="113"/>
      <c r="AKG55" s="113"/>
      <c r="AKH55" s="113"/>
      <c r="AKI55" s="113"/>
      <c r="AKJ55" s="113"/>
      <c r="AKK55" s="113"/>
      <c r="AKL55" s="113"/>
      <c r="AKM55" s="113"/>
      <c r="AKN55" s="113"/>
      <c r="AKO55" s="113"/>
      <c r="AKP55" s="113"/>
      <c r="AKQ55" s="113"/>
      <c r="AKR55" s="113"/>
      <c r="AKS55" s="113"/>
      <c r="AKT55" s="113"/>
      <c r="AKU55" s="113"/>
      <c r="AKV55" s="113"/>
      <c r="AKW55" s="113"/>
      <c r="AKX55" s="113"/>
      <c r="AKY55" s="113"/>
      <c r="AKZ55" s="113"/>
      <c r="ALA55" s="113"/>
      <c r="ALB55" s="113"/>
      <c r="ALC55" s="113"/>
      <c r="ALD55" s="113"/>
      <c r="ALE55" s="113"/>
      <c r="ALF55" s="113"/>
      <c r="ALG55" s="113"/>
      <c r="ALH55" s="113"/>
      <c r="ALI55" s="113"/>
      <c r="ALJ55" s="113"/>
      <c r="ALK55" s="113"/>
      <c r="ALL55" s="113"/>
      <c r="ALM55" s="113"/>
      <c r="ALN55" s="113"/>
      <c r="ALO55" s="113"/>
      <c r="ALP55" s="113"/>
      <c r="ALQ55" s="113"/>
      <c r="ALR55" s="113"/>
      <c r="ALS55" s="113"/>
      <c r="ALT55" s="113"/>
      <c r="ALU55" s="113"/>
      <c r="ALV55" s="113"/>
      <c r="ALW55" s="113"/>
      <c r="ALX55" s="113"/>
      <c r="ALY55" s="113"/>
      <c r="ALZ55" s="113"/>
      <c r="AMA55" s="113"/>
      <c r="AMB55" s="113"/>
      <c r="AMC55" s="113"/>
      <c r="AMD55" s="113"/>
      <c r="AME55" s="113"/>
      <c r="AMF55" s="113"/>
      <c r="AMG55" s="113"/>
      <c r="AMH55" s="113"/>
      <c r="AMI55" s="113"/>
      <c r="AMJ55" s="113"/>
      <c r="AMK55" s="113"/>
      <c r="AML55" s="113"/>
      <c r="AMM55" s="113"/>
      <c r="AMN55" s="113"/>
      <c r="AMO55" s="113"/>
      <c r="AMP55" s="113"/>
      <c r="AMQ55" s="113"/>
      <c r="AMR55" s="113"/>
      <c r="AMS55" s="113"/>
      <c r="AMT55" s="113"/>
      <c r="AMU55" s="113"/>
      <c r="AMV55" s="113"/>
      <c r="AMW55" s="113"/>
      <c r="AMX55" s="113"/>
      <c r="AMY55" s="113"/>
      <c r="AMZ55" s="113"/>
      <c r="ANA55" s="113"/>
      <c r="ANB55" s="113"/>
      <c r="ANC55" s="113"/>
      <c r="AND55" s="113"/>
      <c r="ANE55" s="113"/>
      <c r="ANF55" s="113"/>
      <c r="ANG55" s="113"/>
      <c r="ANH55" s="113"/>
      <c r="ANI55" s="113"/>
      <c r="ANJ55" s="113"/>
      <c r="ANK55" s="113"/>
      <c r="ANL55" s="113"/>
      <c r="ANM55" s="113"/>
      <c r="ANN55" s="113"/>
      <c r="ANO55" s="113"/>
      <c r="ANP55" s="113"/>
      <c r="ANQ55" s="113"/>
      <c r="ANR55" s="113"/>
      <c r="ANS55" s="113"/>
      <c r="ANT55" s="113"/>
      <c r="ANU55" s="113"/>
      <c r="ANV55" s="113"/>
      <c r="ANW55" s="113"/>
      <c r="ANX55" s="113"/>
      <c r="ANY55" s="113"/>
      <c r="ANZ55" s="113"/>
      <c r="AOA55" s="113"/>
      <c r="AOB55" s="113"/>
      <c r="AOC55" s="113"/>
      <c r="AOD55" s="113"/>
      <c r="AOE55" s="113"/>
      <c r="AOF55" s="113"/>
      <c r="AOG55" s="113"/>
      <c r="AOH55" s="113"/>
      <c r="AOI55" s="113"/>
      <c r="AOJ55" s="113"/>
      <c r="AOK55" s="113"/>
      <c r="AOL55" s="113"/>
      <c r="AOM55" s="113"/>
      <c r="AON55" s="113"/>
      <c r="AOO55" s="113"/>
      <c r="AOP55" s="113"/>
      <c r="AOQ55" s="113"/>
      <c r="AOR55" s="113"/>
      <c r="AOS55" s="113"/>
      <c r="AOT55" s="113"/>
      <c r="AOU55" s="113"/>
      <c r="AOV55" s="113"/>
      <c r="AOW55" s="113"/>
      <c r="AOX55" s="113"/>
      <c r="AOY55" s="113"/>
      <c r="AOZ55" s="113"/>
      <c r="APA55" s="113"/>
      <c r="APB55" s="113"/>
      <c r="APC55" s="113"/>
      <c r="APD55" s="113"/>
      <c r="APE55" s="113"/>
      <c r="APF55" s="113"/>
      <c r="APG55" s="113"/>
      <c r="APH55" s="113"/>
      <c r="API55" s="113"/>
      <c r="APJ55" s="113"/>
      <c r="APK55" s="113"/>
      <c r="APL55" s="113"/>
      <c r="APM55" s="113"/>
      <c r="APN55" s="113"/>
      <c r="APO55" s="113"/>
      <c r="APP55" s="113"/>
      <c r="APQ55" s="113"/>
      <c r="APR55" s="113"/>
      <c r="APS55" s="113"/>
      <c r="APT55" s="113"/>
      <c r="APU55" s="113"/>
      <c r="APV55" s="113"/>
      <c r="APW55" s="113"/>
      <c r="APX55" s="113"/>
      <c r="APY55" s="113"/>
      <c r="APZ55" s="113"/>
      <c r="AQA55" s="113"/>
      <c r="AQB55" s="113"/>
      <c r="AQC55" s="113"/>
      <c r="AQD55" s="113"/>
      <c r="AQE55" s="113"/>
      <c r="AQF55" s="113"/>
      <c r="AQG55" s="113"/>
      <c r="AQH55" s="113"/>
      <c r="AQI55" s="113"/>
      <c r="AQJ55" s="113"/>
      <c r="AQK55" s="113"/>
      <c r="AQL55" s="113"/>
      <c r="AQM55" s="113"/>
      <c r="AQN55" s="113"/>
      <c r="AQO55" s="113"/>
      <c r="AQP55" s="113"/>
      <c r="AQQ55" s="113"/>
      <c r="AQR55" s="113"/>
      <c r="AQS55" s="113"/>
      <c r="AQT55" s="113"/>
      <c r="AQU55" s="113"/>
      <c r="AQV55" s="113"/>
      <c r="AQW55" s="113"/>
      <c r="AQX55" s="113"/>
      <c r="AQY55" s="113"/>
      <c r="AQZ55" s="113"/>
      <c r="ARA55" s="113"/>
      <c r="ARB55" s="113"/>
      <c r="ARC55" s="113"/>
      <c r="ARD55" s="113"/>
      <c r="ARE55" s="113"/>
      <c r="ARF55" s="113"/>
      <c r="ARG55" s="113"/>
      <c r="ARH55" s="113"/>
      <c r="ARI55" s="113"/>
      <c r="ARJ55" s="113"/>
      <c r="ARK55" s="113"/>
      <c r="ARL55" s="113"/>
      <c r="ARM55" s="113"/>
      <c r="ARN55" s="113"/>
      <c r="ARO55" s="113"/>
      <c r="ARP55" s="113"/>
      <c r="ARQ55" s="113"/>
      <c r="ARR55" s="113"/>
      <c r="ARS55" s="113"/>
      <c r="ART55" s="113"/>
      <c r="ARU55" s="113"/>
      <c r="ARV55" s="113"/>
      <c r="ARW55" s="113"/>
      <c r="ARX55" s="113"/>
      <c r="ARY55" s="113"/>
      <c r="ARZ55" s="113"/>
      <c r="ASA55" s="113"/>
      <c r="ASB55" s="113"/>
      <c r="ASC55" s="113"/>
      <c r="ASD55" s="113"/>
      <c r="ASE55" s="113"/>
      <c r="ASF55" s="113"/>
      <c r="ASG55" s="113"/>
      <c r="ASH55" s="113"/>
      <c r="ASI55" s="113"/>
      <c r="ASJ55" s="113"/>
      <c r="ASK55" s="113"/>
      <c r="ASL55" s="113"/>
      <c r="ASM55" s="113"/>
      <c r="ASN55" s="113"/>
      <c r="ASO55" s="113"/>
      <c r="ASP55" s="113"/>
      <c r="ASQ55" s="113"/>
      <c r="ASR55" s="113"/>
      <c r="ASS55" s="113"/>
      <c r="AST55" s="113"/>
      <c r="ASU55" s="113"/>
      <c r="ASV55" s="113"/>
      <c r="ASW55" s="113"/>
      <c r="ASX55" s="113"/>
      <c r="ASY55" s="113"/>
      <c r="ASZ55" s="113"/>
      <c r="ATA55" s="113"/>
      <c r="ATB55" s="113"/>
      <c r="ATC55" s="113"/>
      <c r="ATD55" s="113"/>
      <c r="ATE55" s="113"/>
      <c r="ATF55" s="113"/>
      <c r="ATG55" s="113"/>
      <c r="ATH55" s="113"/>
      <c r="ATI55" s="113"/>
      <c r="ATJ55" s="113"/>
      <c r="ATK55" s="113"/>
      <c r="ATL55" s="113"/>
      <c r="ATM55" s="113"/>
      <c r="ATN55" s="113"/>
      <c r="ATO55" s="113"/>
      <c r="ATP55" s="113"/>
      <c r="ATQ55" s="113"/>
      <c r="ATR55" s="113"/>
      <c r="ATS55" s="113"/>
      <c r="ATT55" s="113"/>
      <c r="ATU55" s="113"/>
      <c r="ATV55" s="113"/>
      <c r="ATW55" s="113"/>
      <c r="ATX55" s="113"/>
      <c r="ATY55" s="113"/>
      <c r="ATZ55" s="113"/>
      <c r="AUA55" s="113"/>
      <c r="AUB55" s="113"/>
      <c r="AUC55" s="113"/>
      <c r="AUD55" s="113"/>
      <c r="AUE55" s="113"/>
      <c r="AUF55" s="113"/>
      <c r="AUG55" s="113"/>
      <c r="AUH55" s="113"/>
      <c r="AUI55" s="113"/>
      <c r="AUJ55" s="113"/>
      <c r="AUK55" s="113"/>
      <c r="AUL55" s="113"/>
      <c r="AUM55" s="113"/>
      <c r="AUN55" s="113"/>
      <c r="AUO55" s="113"/>
      <c r="AUP55" s="113"/>
      <c r="AUQ55" s="113"/>
      <c r="AUR55" s="113"/>
      <c r="AUS55" s="113"/>
      <c r="AUT55" s="113"/>
      <c r="AUU55" s="113"/>
      <c r="AUV55" s="113"/>
      <c r="AUW55" s="113"/>
      <c r="AUX55" s="113"/>
      <c r="AUY55" s="113"/>
      <c r="AUZ55" s="113"/>
      <c r="AVA55" s="113"/>
      <c r="AVB55" s="113"/>
      <c r="AVC55" s="113"/>
      <c r="AVD55" s="113"/>
      <c r="AVE55" s="113"/>
      <c r="AVF55" s="113"/>
      <c r="AVG55" s="113"/>
      <c r="AVH55" s="113"/>
      <c r="AVI55" s="113"/>
      <c r="AVJ55" s="113"/>
      <c r="AVK55" s="113"/>
      <c r="AVL55" s="113"/>
      <c r="AVM55" s="113"/>
      <c r="AVN55" s="113"/>
      <c r="AVO55" s="113"/>
      <c r="AVP55" s="113"/>
      <c r="AVQ55" s="113"/>
      <c r="AVR55" s="113"/>
      <c r="AVS55" s="113"/>
      <c r="AVT55" s="113"/>
      <c r="AVU55" s="113"/>
      <c r="AVV55" s="113"/>
      <c r="AVW55" s="113"/>
      <c r="AVX55" s="113"/>
      <c r="AVY55" s="113"/>
      <c r="AVZ55" s="113"/>
      <c r="AWA55" s="113"/>
      <c r="AWB55" s="113"/>
      <c r="AWC55" s="113"/>
      <c r="AWD55" s="113"/>
      <c r="AWE55" s="113"/>
      <c r="AWF55" s="113"/>
      <c r="AWG55" s="113"/>
      <c r="AWH55" s="113"/>
      <c r="AWI55" s="113"/>
      <c r="AWJ55" s="113"/>
      <c r="AWK55" s="113"/>
      <c r="AWL55" s="113"/>
      <c r="AWM55" s="113"/>
      <c r="AWN55" s="113"/>
      <c r="AWO55" s="113"/>
      <c r="AWP55" s="113"/>
      <c r="AWQ55" s="113"/>
      <c r="AWR55" s="113"/>
      <c r="AWS55" s="113"/>
      <c r="AWT55" s="113"/>
      <c r="AWU55" s="113"/>
      <c r="AWV55" s="113"/>
      <c r="AWW55" s="113"/>
      <c r="AWX55" s="113"/>
      <c r="AWY55" s="113"/>
      <c r="AWZ55" s="113"/>
      <c r="AXA55" s="113"/>
      <c r="AXB55" s="113"/>
      <c r="AXC55" s="113"/>
      <c r="AXD55" s="113"/>
      <c r="AXE55" s="113"/>
      <c r="AXF55" s="113"/>
      <c r="AXG55" s="113"/>
      <c r="AXH55" s="113"/>
      <c r="AXI55" s="113"/>
      <c r="AXJ55" s="113"/>
      <c r="AXK55" s="113"/>
      <c r="AXL55" s="113"/>
      <c r="AXM55" s="113"/>
      <c r="AXN55" s="113"/>
      <c r="AXO55" s="113"/>
      <c r="AXP55" s="113"/>
      <c r="AXQ55" s="113"/>
      <c r="AXR55" s="113"/>
      <c r="AXS55" s="113"/>
      <c r="AXT55" s="113"/>
      <c r="AXU55" s="113"/>
      <c r="AXV55" s="113"/>
      <c r="AXW55" s="113"/>
      <c r="AXX55" s="113"/>
      <c r="AXY55" s="113"/>
      <c r="AXZ55" s="113"/>
      <c r="AYA55" s="113"/>
      <c r="AYB55" s="113"/>
      <c r="AYC55" s="113"/>
      <c r="AYD55" s="113"/>
      <c r="AYE55" s="113"/>
      <c r="AYF55" s="113"/>
      <c r="AYG55" s="113"/>
      <c r="AYH55" s="113"/>
      <c r="AYI55" s="113"/>
      <c r="AYJ55" s="113"/>
      <c r="AYK55" s="113"/>
      <c r="AYL55" s="113"/>
      <c r="AYM55" s="113"/>
      <c r="AYN55" s="113"/>
      <c r="AYO55" s="113"/>
      <c r="AYP55" s="113"/>
      <c r="AYQ55" s="113"/>
      <c r="AYR55" s="113"/>
      <c r="AYS55" s="113"/>
      <c r="AYT55" s="113"/>
      <c r="AYU55" s="113"/>
      <c r="AYV55" s="113"/>
      <c r="AYW55" s="113"/>
      <c r="AYX55" s="113"/>
      <c r="AYY55" s="113"/>
      <c r="AYZ55" s="113"/>
      <c r="AZA55" s="113"/>
      <c r="AZB55" s="113"/>
      <c r="AZC55" s="113"/>
      <c r="AZD55" s="113"/>
      <c r="AZE55" s="113"/>
      <c r="AZF55" s="113"/>
      <c r="AZG55" s="113"/>
      <c r="AZH55" s="113"/>
      <c r="AZI55" s="113"/>
      <c r="AZJ55" s="113"/>
      <c r="AZK55" s="113"/>
      <c r="AZL55" s="113"/>
      <c r="AZM55" s="113"/>
      <c r="AZN55" s="113"/>
      <c r="AZO55" s="113"/>
      <c r="AZP55" s="113"/>
      <c r="AZQ55" s="113"/>
      <c r="AZR55" s="113"/>
      <c r="AZS55" s="113"/>
      <c r="AZT55" s="113"/>
      <c r="AZU55" s="113"/>
      <c r="AZV55" s="113"/>
      <c r="AZW55" s="113"/>
      <c r="AZX55" s="113"/>
      <c r="AZY55" s="113"/>
      <c r="AZZ55" s="113"/>
      <c r="BAA55" s="113"/>
      <c r="BAB55" s="113"/>
      <c r="BAC55" s="113"/>
      <c r="BAD55" s="113"/>
      <c r="BAE55" s="113"/>
      <c r="BAF55" s="113"/>
      <c r="BAG55" s="113"/>
      <c r="BAH55" s="113"/>
      <c r="BAI55" s="113"/>
      <c r="BAJ55" s="113"/>
      <c r="BAK55" s="113"/>
      <c r="BAL55" s="113"/>
      <c r="BAM55" s="113"/>
      <c r="BAN55" s="113"/>
      <c r="BAO55" s="113"/>
      <c r="BAP55" s="113"/>
      <c r="BAQ55" s="113"/>
      <c r="BAR55" s="113"/>
      <c r="BAS55" s="113"/>
      <c r="BAT55" s="113"/>
      <c r="BAU55" s="113"/>
      <c r="BAV55" s="113"/>
      <c r="BAW55" s="113"/>
      <c r="BAX55" s="113"/>
      <c r="BAY55" s="113"/>
      <c r="BAZ55" s="113"/>
      <c r="BBA55" s="113"/>
      <c r="BBB55" s="113"/>
      <c r="BBC55" s="113"/>
      <c r="BBD55" s="113"/>
      <c r="BBE55" s="113"/>
      <c r="BBF55" s="113"/>
      <c r="BBG55" s="113"/>
      <c r="BBH55" s="113"/>
      <c r="BBI55" s="113"/>
      <c r="BBJ55" s="113"/>
      <c r="BBK55" s="113"/>
      <c r="BBL55" s="113"/>
      <c r="BBM55" s="113"/>
      <c r="BBN55" s="113"/>
      <c r="BBO55" s="113"/>
      <c r="BBP55" s="113"/>
      <c r="BBQ55" s="113"/>
      <c r="BBR55" s="113"/>
      <c r="BBS55" s="113"/>
      <c r="BBT55" s="113"/>
      <c r="BBU55" s="113"/>
      <c r="BBV55" s="113"/>
      <c r="BBW55" s="113"/>
      <c r="BBX55" s="113"/>
      <c r="BBY55" s="113"/>
      <c r="BBZ55" s="113"/>
      <c r="BCA55" s="113"/>
      <c r="BCB55" s="113"/>
      <c r="BCC55" s="113"/>
      <c r="BCD55" s="113"/>
      <c r="BCE55" s="113"/>
      <c r="BCF55" s="113"/>
      <c r="BCG55" s="113"/>
      <c r="BCH55" s="113"/>
      <c r="BCI55" s="113"/>
      <c r="BCJ55" s="113"/>
      <c r="BCK55" s="113"/>
      <c r="BCL55" s="113"/>
      <c r="BCM55" s="113"/>
      <c r="BCN55" s="113"/>
      <c r="BCO55" s="113"/>
      <c r="BCP55" s="113"/>
      <c r="BCQ55" s="113"/>
      <c r="BCR55" s="113"/>
      <c r="BCS55" s="113"/>
      <c r="BCT55" s="113"/>
      <c r="BCU55" s="113"/>
      <c r="BCV55" s="113"/>
      <c r="BCW55" s="113"/>
      <c r="BCX55" s="113"/>
      <c r="BCY55" s="113"/>
      <c r="BCZ55" s="113"/>
      <c r="BDA55" s="113"/>
      <c r="BDB55" s="113"/>
      <c r="BDC55" s="113"/>
      <c r="BDD55" s="113"/>
      <c r="BDE55" s="113"/>
      <c r="BDF55" s="113"/>
      <c r="BDG55" s="113"/>
      <c r="BDH55" s="113"/>
      <c r="BDI55" s="113"/>
      <c r="BDJ55" s="113"/>
      <c r="BDK55" s="113"/>
      <c r="BDL55" s="113"/>
      <c r="BDM55" s="113"/>
      <c r="BDN55" s="113"/>
      <c r="BDO55" s="113"/>
      <c r="BDP55" s="113"/>
      <c r="BDQ55" s="113"/>
      <c r="BDR55" s="113"/>
      <c r="BDS55" s="113"/>
      <c r="BDT55" s="113"/>
      <c r="BDU55" s="113"/>
      <c r="BDV55" s="113"/>
      <c r="BDW55" s="113"/>
      <c r="BDX55" s="113"/>
      <c r="BDY55" s="113"/>
      <c r="BDZ55" s="113"/>
      <c r="BEA55" s="113"/>
      <c r="BEB55" s="113"/>
      <c r="BEC55" s="113"/>
      <c r="BED55" s="113"/>
      <c r="BEE55" s="113"/>
      <c r="BEF55" s="113"/>
      <c r="BEG55" s="113"/>
      <c r="BEH55" s="113"/>
      <c r="BEI55" s="113"/>
      <c r="BEJ55" s="113"/>
      <c r="BEK55" s="113"/>
      <c r="BEL55" s="113"/>
      <c r="BEM55" s="113"/>
      <c r="BEN55" s="113"/>
      <c r="BEO55" s="113"/>
      <c r="BEP55" s="113"/>
      <c r="BEQ55" s="113"/>
      <c r="BER55" s="113"/>
      <c r="BES55" s="113"/>
      <c r="BET55" s="113"/>
      <c r="BEU55" s="113"/>
      <c r="BEV55" s="113"/>
      <c r="BEW55" s="113"/>
      <c r="BEX55" s="113"/>
      <c r="BEY55" s="113"/>
      <c r="BEZ55" s="113"/>
      <c r="BFA55" s="113"/>
      <c r="BFB55" s="113"/>
      <c r="BFC55" s="113"/>
      <c r="BFD55" s="113"/>
      <c r="BFE55" s="113"/>
      <c r="BFF55" s="113"/>
      <c r="BFG55" s="113"/>
      <c r="BFH55" s="113"/>
      <c r="BFI55" s="113"/>
      <c r="BFJ55" s="113"/>
      <c r="BFK55" s="113"/>
      <c r="BFL55" s="113"/>
      <c r="BFM55" s="113"/>
      <c r="BFN55" s="113"/>
      <c r="BFO55" s="113"/>
      <c r="BFP55" s="113"/>
      <c r="BFQ55" s="113"/>
      <c r="BFR55" s="113"/>
      <c r="BFS55" s="113"/>
      <c r="BFT55" s="113"/>
      <c r="BFU55" s="113"/>
      <c r="BFV55" s="113"/>
      <c r="BFW55" s="113"/>
      <c r="BFX55" s="113"/>
      <c r="BFY55" s="113"/>
      <c r="BFZ55" s="113"/>
      <c r="BGA55" s="113"/>
      <c r="BGB55" s="113"/>
      <c r="BGC55" s="113"/>
      <c r="BGD55" s="113"/>
      <c r="BGE55" s="113"/>
      <c r="BGF55" s="113"/>
      <c r="BGG55" s="113"/>
      <c r="BGH55" s="113"/>
      <c r="BGI55" s="113"/>
      <c r="BGJ55" s="113"/>
      <c r="BGK55" s="113"/>
      <c r="BGL55" s="113"/>
      <c r="BGM55" s="113"/>
      <c r="BGN55" s="113"/>
      <c r="BGO55" s="113"/>
      <c r="BGP55" s="113"/>
      <c r="BGQ55" s="113"/>
      <c r="BGR55" s="113"/>
      <c r="BGS55" s="113"/>
      <c r="BGT55" s="113"/>
      <c r="BGU55" s="113"/>
      <c r="BGV55" s="113"/>
      <c r="BGW55" s="113"/>
      <c r="BGX55" s="113"/>
      <c r="BGY55" s="113"/>
      <c r="BGZ55" s="113"/>
      <c r="BHA55" s="113"/>
      <c r="BHB55" s="113"/>
      <c r="BHC55" s="113"/>
      <c r="BHD55" s="113"/>
      <c r="BHE55" s="113"/>
      <c r="BHF55" s="113"/>
      <c r="BHG55" s="113"/>
      <c r="BHH55" s="113"/>
      <c r="BHI55" s="113"/>
      <c r="BHJ55" s="113"/>
      <c r="BHK55" s="113"/>
      <c r="BHL55" s="113"/>
      <c r="BHM55" s="113"/>
      <c r="BHN55" s="113"/>
      <c r="BHO55" s="113"/>
      <c r="BHP55" s="113"/>
      <c r="BHQ55" s="113"/>
      <c r="BHR55" s="113"/>
      <c r="BHS55" s="113"/>
      <c r="BHT55" s="113"/>
      <c r="BHU55" s="113"/>
      <c r="BHV55" s="113"/>
      <c r="BHW55" s="113"/>
      <c r="BHX55" s="113"/>
      <c r="BHY55" s="113"/>
      <c r="BHZ55" s="113"/>
      <c r="BIA55" s="113"/>
      <c r="BIB55" s="113"/>
      <c r="BIC55" s="113"/>
      <c r="BID55" s="113"/>
      <c r="BIE55" s="113"/>
      <c r="BIF55" s="113"/>
      <c r="BIG55" s="113"/>
      <c r="BIH55" s="113"/>
      <c r="BII55" s="113"/>
      <c r="BIJ55" s="113"/>
      <c r="BIK55" s="113"/>
      <c r="BIL55" s="113"/>
      <c r="BIM55" s="113"/>
      <c r="BIN55" s="113"/>
      <c r="BIO55" s="113"/>
      <c r="BIP55" s="113"/>
      <c r="BIQ55" s="113"/>
      <c r="BIR55" s="113"/>
      <c r="BIS55" s="113"/>
      <c r="BIT55" s="113"/>
      <c r="BIU55" s="113"/>
      <c r="BIV55" s="113"/>
      <c r="BIW55" s="113"/>
      <c r="BIX55" s="113"/>
      <c r="BIY55" s="113"/>
      <c r="BIZ55" s="113"/>
      <c r="BJA55" s="113"/>
      <c r="BJB55" s="113"/>
      <c r="BJC55" s="113"/>
      <c r="BJD55" s="113"/>
      <c r="BJE55" s="113"/>
      <c r="BJF55" s="113"/>
      <c r="BJG55" s="113"/>
      <c r="BJH55" s="113"/>
      <c r="BJI55" s="113"/>
      <c r="BJJ55" s="113"/>
      <c r="BJK55" s="113"/>
      <c r="BJL55" s="113"/>
      <c r="BJM55" s="113"/>
      <c r="BJN55" s="113"/>
      <c r="BJO55" s="113"/>
      <c r="BJP55" s="113"/>
      <c r="BJQ55" s="113"/>
      <c r="BJR55" s="113"/>
      <c r="BJS55" s="113"/>
      <c r="BJT55" s="113"/>
      <c r="BJU55" s="113"/>
      <c r="BJV55" s="113"/>
      <c r="BJW55" s="113"/>
      <c r="BJX55" s="113"/>
      <c r="BJY55" s="113"/>
      <c r="BJZ55" s="113"/>
      <c r="BKA55" s="113"/>
      <c r="BKB55" s="113"/>
      <c r="BKC55" s="113"/>
      <c r="BKD55" s="113"/>
      <c r="BKE55" s="113"/>
      <c r="BKF55" s="113"/>
      <c r="BKG55" s="113"/>
      <c r="BKH55" s="113"/>
      <c r="BKI55" s="113"/>
      <c r="BKJ55" s="113"/>
      <c r="BKK55" s="113"/>
      <c r="BKL55" s="113"/>
      <c r="BKM55" s="113"/>
      <c r="BKN55" s="113"/>
      <c r="BKO55" s="113"/>
      <c r="BKP55" s="113"/>
      <c r="BKQ55" s="113"/>
      <c r="BKR55" s="113"/>
      <c r="BKS55" s="113"/>
      <c r="BKT55" s="113"/>
      <c r="BKU55" s="113"/>
      <c r="BKV55" s="113"/>
      <c r="BKW55" s="113"/>
      <c r="BKX55" s="113"/>
      <c r="BKY55" s="113"/>
      <c r="BKZ55" s="113"/>
      <c r="BLA55" s="113"/>
      <c r="BLB55" s="113"/>
      <c r="BLC55" s="113"/>
      <c r="BLD55" s="113"/>
      <c r="BLE55" s="113"/>
      <c r="BLF55" s="113"/>
      <c r="BLG55" s="113"/>
      <c r="BLH55" s="113"/>
      <c r="BLI55" s="113"/>
      <c r="BLJ55" s="113"/>
      <c r="BLK55" s="113"/>
      <c r="BLL55" s="113"/>
      <c r="BLM55" s="113"/>
      <c r="BLN55" s="113"/>
      <c r="BLO55" s="113"/>
      <c r="BLP55" s="113"/>
      <c r="BLQ55" s="113"/>
      <c r="BLR55" s="113"/>
      <c r="BLS55" s="113"/>
      <c r="BLT55" s="113"/>
      <c r="BLU55" s="113"/>
      <c r="BLV55" s="113"/>
      <c r="BLW55" s="113"/>
      <c r="BLX55" s="113"/>
      <c r="BLY55" s="113"/>
      <c r="BLZ55" s="113"/>
      <c r="BMA55" s="113"/>
      <c r="BMB55" s="113"/>
      <c r="BMC55" s="113"/>
      <c r="BMD55" s="113"/>
      <c r="BME55" s="113"/>
      <c r="BMF55" s="113"/>
      <c r="BMG55" s="113"/>
      <c r="BMH55" s="113"/>
      <c r="BMI55" s="113"/>
      <c r="BMJ55" s="113"/>
      <c r="BMK55" s="113"/>
      <c r="BML55" s="113"/>
      <c r="BMM55" s="113"/>
      <c r="BMN55" s="113"/>
      <c r="BMO55" s="113"/>
      <c r="BMP55" s="113"/>
      <c r="BMQ55" s="113"/>
      <c r="BMR55" s="113"/>
      <c r="BMS55" s="113"/>
      <c r="BMT55" s="113"/>
      <c r="BMU55" s="113"/>
      <c r="BMV55" s="113"/>
      <c r="BMW55" s="113"/>
      <c r="BMX55" s="113"/>
      <c r="BMY55" s="113"/>
      <c r="BMZ55" s="113"/>
      <c r="BNA55" s="113"/>
      <c r="BNB55" s="113"/>
      <c r="BNC55" s="113"/>
      <c r="BND55" s="113"/>
      <c r="BNE55" s="113"/>
      <c r="BNF55" s="113"/>
      <c r="BNG55" s="113"/>
      <c r="BNH55" s="113"/>
      <c r="BNI55" s="113"/>
      <c r="BNJ55" s="113"/>
      <c r="BNK55" s="113"/>
      <c r="BNL55" s="113"/>
      <c r="BNM55" s="113"/>
      <c r="BNN55" s="113"/>
      <c r="BNO55" s="113"/>
      <c r="BNP55" s="113"/>
      <c r="BNQ55" s="113"/>
      <c r="BNR55" s="113"/>
      <c r="BNS55" s="113"/>
      <c r="BNT55" s="113"/>
      <c r="BNU55" s="113"/>
      <c r="BNV55" s="113"/>
      <c r="BNW55" s="113"/>
      <c r="BNX55" s="113"/>
      <c r="BNY55" s="113"/>
      <c r="BNZ55" s="113"/>
      <c r="BOA55" s="113"/>
      <c r="BOB55" s="113"/>
      <c r="BOC55" s="113"/>
      <c r="BOD55" s="113"/>
      <c r="BOE55" s="113"/>
      <c r="BOF55" s="113"/>
      <c r="BOG55" s="113"/>
      <c r="BOH55" s="113"/>
      <c r="BOI55" s="113"/>
      <c r="BOJ55" s="113"/>
      <c r="BOK55" s="113"/>
      <c r="BOL55" s="113"/>
      <c r="BOM55" s="113"/>
      <c r="BON55" s="113"/>
      <c r="BOO55" s="113"/>
      <c r="BOP55" s="113"/>
      <c r="BOQ55" s="113"/>
      <c r="BOR55" s="113"/>
      <c r="BOS55" s="113"/>
      <c r="BOT55" s="113"/>
      <c r="BOU55" s="113"/>
      <c r="BOV55" s="113"/>
      <c r="BOW55" s="113"/>
      <c r="BOX55" s="113"/>
      <c r="BOY55" s="113"/>
      <c r="BOZ55" s="113"/>
      <c r="BPA55" s="113"/>
      <c r="BPB55" s="113"/>
      <c r="BPC55" s="113"/>
      <c r="BPD55" s="113"/>
      <c r="BPE55" s="113"/>
      <c r="BPF55" s="113"/>
      <c r="BPG55" s="113"/>
      <c r="BPH55" s="113"/>
      <c r="BPI55" s="113"/>
      <c r="BPJ55" s="113"/>
      <c r="BPK55" s="113"/>
      <c r="BPL55" s="113"/>
      <c r="BPM55" s="113"/>
      <c r="BPN55" s="113"/>
      <c r="BPO55" s="113"/>
      <c r="BPP55" s="113"/>
      <c r="BPQ55" s="113"/>
      <c r="BPR55" s="113"/>
      <c r="BPS55" s="113"/>
      <c r="BPT55" s="113"/>
      <c r="BPU55" s="113"/>
      <c r="BPV55" s="113"/>
      <c r="BPW55" s="113"/>
      <c r="BPX55" s="113"/>
      <c r="BPY55" s="113"/>
      <c r="BPZ55" s="113"/>
      <c r="BQA55" s="113"/>
      <c r="BQB55" s="113"/>
      <c r="BQC55" s="113"/>
      <c r="BQD55" s="113"/>
      <c r="BQE55" s="113"/>
      <c r="BQF55" s="113"/>
      <c r="BQG55" s="113"/>
      <c r="BQH55" s="113"/>
      <c r="BQI55" s="113"/>
      <c r="BQJ55" s="113"/>
      <c r="BQK55" s="113"/>
      <c r="BQL55" s="113"/>
      <c r="BQM55" s="113"/>
      <c r="BQN55" s="113"/>
      <c r="BQO55" s="113"/>
      <c r="BQP55" s="113"/>
      <c r="BQQ55" s="113"/>
      <c r="BQR55" s="113"/>
      <c r="BQS55" s="113"/>
      <c r="BQT55" s="113"/>
      <c r="BQU55" s="113"/>
      <c r="BQV55" s="113"/>
      <c r="BQW55" s="113"/>
      <c r="BQX55" s="113"/>
      <c r="BQY55" s="113"/>
      <c r="BQZ55" s="113"/>
      <c r="BRA55" s="113"/>
      <c r="BRB55" s="113"/>
      <c r="BRC55" s="113"/>
      <c r="BRD55" s="113"/>
      <c r="BRE55" s="113"/>
      <c r="BRF55" s="113"/>
      <c r="BRG55" s="113"/>
      <c r="BRH55" s="113"/>
      <c r="BRI55" s="113"/>
      <c r="BRJ55" s="113"/>
      <c r="BRK55" s="113"/>
      <c r="BRL55" s="113"/>
      <c r="BRM55" s="113"/>
      <c r="BRN55" s="113"/>
      <c r="BRO55" s="113"/>
      <c r="BRP55" s="113"/>
      <c r="BRQ55" s="113"/>
      <c r="BRR55" s="113"/>
      <c r="BRS55" s="113"/>
      <c r="BRT55" s="113"/>
      <c r="BRU55" s="113"/>
      <c r="BRV55" s="113"/>
      <c r="BRW55" s="113"/>
      <c r="BRX55" s="113"/>
      <c r="BRY55" s="113"/>
      <c r="BRZ55" s="113"/>
      <c r="BSA55" s="113"/>
      <c r="BSB55" s="113"/>
      <c r="BSC55" s="113"/>
      <c r="BSD55" s="113"/>
      <c r="BSE55" s="113"/>
      <c r="BSF55" s="113"/>
      <c r="BSG55" s="113"/>
      <c r="BSH55" s="113"/>
      <c r="BSI55" s="113"/>
      <c r="BSJ55" s="113"/>
      <c r="BSK55" s="113"/>
      <c r="BSL55" s="113"/>
      <c r="BSM55" s="113"/>
      <c r="BSN55" s="113"/>
      <c r="BSO55" s="113"/>
      <c r="BSP55" s="113"/>
      <c r="BSQ55" s="113"/>
      <c r="BSR55" s="113"/>
      <c r="BSS55" s="113"/>
      <c r="BST55" s="113"/>
      <c r="BSU55" s="113"/>
      <c r="BSV55" s="113"/>
      <c r="BSW55" s="113"/>
      <c r="BSX55" s="113"/>
      <c r="BSY55" s="113"/>
      <c r="BSZ55" s="113"/>
      <c r="BTA55" s="113"/>
      <c r="BTB55" s="113"/>
      <c r="BTC55" s="113"/>
      <c r="BTD55" s="113"/>
      <c r="BTE55" s="113"/>
      <c r="BTF55" s="113"/>
      <c r="BTG55" s="113"/>
      <c r="BTH55" s="113"/>
      <c r="BTI55" s="113"/>
      <c r="BTJ55" s="113"/>
      <c r="BTK55" s="113"/>
      <c r="BTL55" s="113"/>
      <c r="BTM55" s="113"/>
      <c r="BTN55" s="113"/>
      <c r="BTO55" s="113"/>
      <c r="BTP55" s="113"/>
      <c r="BTQ55" s="113"/>
      <c r="BTR55" s="113"/>
      <c r="BTS55" s="113"/>
      <c r="BTT55" s="113"/>
      <c r="BTU55" s="113"/>
      <c r="BTV55" s="113"/>
      <c r="BTW55" s="113"/>
      <c r="BTX55" s="113"/>
      <c r="BTY55" s="113"/>
      <c r="BTZ55" s="113"/>
      <c r="BUA55" s="113"/>
      <c r="BUB55" s="113"/>
      <c r="BUC55" s="113"/>
      <c r="BUD55" s="113"/>
      <c r="BUE55" s="113"/>
      <c r="BUF55" s="113"/>
      <c r="BUG55" s="113"/>
      <c r="BUH55" s="113"/>
      <c r="BUI55" s="113"/>
      <c r="BUJ55" s="113"/>
      <c r="BUK55" s="113"/>
      <c r="BUL55" s="113"/>
      <c r="BUM55" s="113"/>
      <c r="BUN55" s="113"/>
      <c r="BUO55" s="113"/>
      <c r="BUP55" s="113"/>
      <c r="BUQ55" s="113"/>
      <c r="BUR55" s="113"/>
      <c r="BUS55" s="113"/>
      <c r="BUT55" s="113"/>
      <c r="BUU55" s="113"/>
      <c r="BUV55" s="113"/>
      <c r="BUW55" s="113"/>
      <c r="BUX55" s="113"/>
      <c r="BUY55" s="113"/>
      <c r="BUZ55" s="113"/>
      <c r="BVA55" s="113"/>
      <c r="BVB55" s="113"/>
      <c r="BVC55" s="113"/>
      <c r="BVD55" s="113"/>
      <c r="BVE55" s="113"/>
      <c r="BVF55" s="113"/>
      <c r="BVG55" s="113"/>
      <c r="BVH55" s="113"/>
      <c r="BVI55" s="113"/>
      <c r="BVJ55" s="113"/>
      <c r="BVK55" s="113"/>
      <c r="BVL55" s="113"/>
      <c r="BVM55" s="113"/>
      <c r="BVN55" s="113"/>
      <c r="BVO55" s="113"/>
      <c r="BVP55" s="113"/>
      <c r="BVQ55" s="113"/>
      <c r="BVR55" s="113"/>
      <c r="BVS55" s="113"/>
      <c r="BVT55" s="113"/>
      <c r="BVU55" s="113"/>
      <c r="BVV55" s="113"/>
      <c r="BVW55" s="113"/>
      <c r="BVX55" s="113"/>
      <c r="BVY55" s="113"/>
      <c r="BVZ55" s="113"/>
      <c r="BWA55" s="113"/>
      <c r="BWB55" s="113"/>
      <c r="BWC55" s="113"/>
      <c r="BWD55" s="113"/>
      <c r="BWE55" s="113"/>
      <c r="BWF55" s="113"/>
      <c r="BWG55" s="113"/>
      <c r="BWH55" s="113"/>
      <c r="BWI55" s="113"/>
      <c r="BWJ55" s="113"/>
      <c r="BWK55" s="113"/>
      <c r="BWL55" s="113"/>
      <c r="BWM55" s="113"/>
      <c r="BWN55" s="113"/>
      <c r="BWO55" s="113"/>
      <c r="BWP55" s="113"/>
      <c r="BWQ55" s="113"/>
      <c r="BWR55" s="113"/>
      <c r="BWS55" s="113"/>
      <c r="BWT55" s="113"/>
      <c r="BWU55" s="113"/>
      <c r="BWV55" s="113"/>
      <c r="BWW55" s="113"/>
      <c r="BWX55" s="113"/>
      <c r="BWY55" s="113"/>
      <c r="BWZ55" s="113"/>
      <c r="BXA55" s="113"/>
      <c r="BXB55" s="113"/>
      <c r="BXC55" s="113"/>
      <c r="BXD55" s="113"/>
      <c r="BXE55" s="113"/>
      <c r="BXF55" s="113"/>
      <c r="BXG55" s="113"/>
      <c r="BXH55" s="113"/>
      <c r="BXI55" s="113"/>
      <c r="BXJ55" s="113"/>
      <c r="BXK55" s="113"/>
      <c r="BXL55" s="113"/>
      <c r="BXM55" s="113"/>
      <c r="BXN55" s="113"/>
      <c r="BXO55" s="113"/>
      <c r="BXP55" s="113"/>
      <c r="BXQ55" s="113"/>
      <c r="BXR55" s="113"/>
      <c r="BXS55" s="113"/>
      <c r="BXT55" s="113"/>
      <c r="BXU55" s="113"/>
      <c r="BXV55" s="113"/>
      <c r="BXW55" s="113"/>
      <c r="BXX55" s="113"/>
      <c r="BXY55" s="113"/>
      <c r="BXZ55" s="113"/>
      <c r="BYA55" s="113"/>
      <c r="BYB55" s="113"/>
      <c r="BYC55" s="113"/>
      <c r="BYD55" s="113"/>
      <c r="BYE55" s="113"/>
      <c r="BYF55" s="113"/>
      <c r="BYG55" s="113"/>
      <c r="BYH55" s="113"/>
      <c r="BYI55" s="113"/>
      <c r="BYJ55" s="113"/>
      <c r="BYK55" s="113"/>
      <c r="BYL55" s="113"/>
      <c r="BYM55" s="113"/>
      <c r="BYN55" s="113"/>
      <c r="BYO55" s="113"/>
      <c r="BYP55" s="113"/>
      <c r="BYQ55" s="113"/>
      <c r="BYR55" s="113"/>
      <c r="BYS55" s="113"/>
      <c r="BYT55" s="113"/>
      <c r="BYU55" s="113"/>
      <c r="BYV55" s="113"/>
      <c r="BYW55" s="113"/>
      <c r="BYX55" s="113"/>
      <c r="BYY55" s="113"/>
      <c r="BYZ55" s="113"/>
      <c r="BZA55" s="113"/>
      <c r="BZB55" s="113"/>
      <c r="BZC55" s="113"/>
      <c r="BZD55" s="113"/>
      <c r="BZE55" s="113"/>
      <c r="BZF55" s="113"/>
      <c r="BZG55" s="113"/>
      <c r="BZH55" s="113"/>
      <c r="BZI55" s="113"/>
      <c r="BZJ55" s="113"/>
      <c r="BZK55" s="113"/>
      <c r="BZL55" s="113"/>
      <c r="BZM55" s="113"/>
      <c r="BZN55" s="113"/>
      <c r="BZO55" s="113"/>
      <c r="BZP55" s="113"/>
      <c r="BZQ55" s="113"/>
      <c r="BZR55" s="113"/>
      <c r="BZS55" s="113"/>
      <c r="BZT55" s="113"/>
      <c r="BZU55" s="113"/>
      <c r="BZV55" s="113"/>
      <c r="BZW55" s="113"/>
      <c r="BZX55" s="113"/>
      <c r="BZY55" s="113"/>
      <c r="BZZ55" s="113"/>
      <c r="CAA55" s="113"/>
      <c r="CAB55" s="113"/>
      <c r="CAC55" s="113"/>
      <c r="CAD55" s="113"/>
      <c r="CAE55" s="113"/>
      <c r="CAF55" s="113"/>
      <c r="CAG55" s="113"/>
      <c r="CAH55" s="113"/>
      <c r="CAI55" s="113"/>
      <c r="CAJ55" s="113"/>
      <c r="CAK55" s="113"/>
      <c r="CAL55" s="113"/>
      <c r="CAM55" s="113"/>
      <c r="CAN55" s="113"/>
      <c r="CAO55" s="113"/>
      <c r="CAP55" s="113"/>
      <c r="CAQ55" s="113"/>
      <c r="CAR55" s="113"/>
      <c r="CAS55" s="113"/>
      <c r="CAT55" s="113"/>
      <c r="CAU55" s="113"/>
      <c r="CAV55" s="113"/>
      <c r="CAW55" s="113"/>
      <c r="CAX55" s="113"/>
      <c r="CAY55" s="113"/>
      <c r="CAZ55" s="113"/>
      <c r="CBA55" s="113"/>
      <c r="CBB55" s="113"/>
      <c r="CBC55" s="113"/>
      <c r="CBD55" s="113"/>
      <c r="CBE55" s="113"/>
      <c r="CBF55" s="113"/>
      <c r="CBG55" s="113"/>
      <c r="CBH55" s="113"/>
      <c r="CBI55" s="113"/>
      <c r="CBJ55" s="113"/>
      <c r="CBK55" s="113"/>
      <c r="CBL55" s="113"/>
      <c r="CBM55" s="113"/>
      <c r="CBN55" s="113"/>
      <c r="CBO55" s="113"/>
      <c r="CBP55" s="113"/>
      <c r="CBQ55" s="113"/>
      <c r="CBR55" s="113"/>
      <c r="CBS55" s="113"/>
      <c r="CBT55" s="113"/>
      <c r="CBU55" s="113"/>
      <c r="CBV55" s="113"/>
      <c r="CBW55" s="113"/>
      <c r="CBX55" s="113"/>
      <c r="CBY55" s="113"/>
      <c r="CBZ55" s="113"/>
      <c r="CCA55" s="113"/>
      <c r="CCB55" s="113"/>
      <c r="CCC55" s="113"/>
      <c r="CCD55" s="113"/>
      <c r="CCE55" s="113"/>
      <c r="CCF55" s="113"/>
      <c r="CCG55" s="113"/>
      <c r="CCH55" s="113"/>
      <c r="CCI55" s="113"/>
      <c r="CCJ55" s="113"/>
      <c r="CCK55" s="113"/>
      <c r="CCL55" s="113"/>
      <c r="CCM55" s="113"/>
      <c r="CCN55" s="113"/>
      <c r="CCO55" s="113"/>
      <c r="CCP55" s="113"/>
      <c r="CCQ55" s="113"/>
      <c r="CCR55" s="113"/>
      <c r="CCS55" s="113"/>
      <c r="CCT55" s="113"/>
      <c r="CCU55" s="113"/>
      <c r="CCV55" s="113"/>
      <c r="CCW55" s="113"/>
      <c r="CCX55" s="113"/>
      <c r="CCY55" s="113"/>
      <c r="CCZ55" s="113"/>
      <c r="CDA55" s="113"/>
      <c r="CDB55" s="113"/>
      <c r="CDC55" s="113"/>
      <c r="CDD55" s="113"/>
      <c r="CDE55" s="113"/>
      <c r="CDF55" s="113"/>
      <c r="CDG55" s="113"/>
      <c r="CDH55" s="113"/>
      <c r="CDI55" s="113"/>
      <c r="CDJ55" s="113"/>
      <c r="CDK55" s="113"/>
      <c r="CDL55" s="113"/>
      <c r="CDM55" s="113"/>
      <c r="CDN55" s="113"/>
      <c r="CDO55" s="113"/>
      <c r="CDP55" s="113"/>
      <c r="CDQ55" s="113"/>
      <c r="CDR55" s="113"/>
      <c r="CDS55" s="113"/>
      <c r="CDT55" s="113"/>
      <c r="CDU55" s="113"/>
      <c r="CDV55" s="113"/>
      <c r="CDW55" s="113"/>
      <c r="CDX55" s="113"/>
      <c r="CDY55" s="113"/>
      <c r="CDZ55" s="113"/>
      <c r="CEA55" s="113"/>
      <c r="CEB55" s="113"/>
      <c r="CEC55" s="113"/>
      <c r="CED55" s="113"/>
      <c r="CEE55" s="113"/>
      <c r="CEF55" s="113"/>
      <c r="CEG55" s="113"/>
      <c r="CEH55" s="113"/>
      <c r="CEI55" s="113"/>
      <c r="CEJ55" s="113"/>
      <c r="CEK55" s="113"/>
      <c r="CEL55" s="113"/>
      <c r="CEM55" s="113"/>
      <c r="CEN55" s="113"/>
      <c r="CEO55" s="113"/>
      <c r="CEP55" s="113"/>
      <c r="CEQ55" s="113"/>
      <c r="CER55" s="113"/>
      <c r="CES55" s="113"/>
      <c r="CET55" s="113"/>
      <c r="CEU55" s="113"/>
      <c r="CEV55" s="113"/>
      <c r="CEW55" s="113"/>
      <c r="CEX55" s="113"/>
      <c r="CEY55" s="113"/>
      <c r="CEZ55" s="113"/>
      <c r="CFA55" s="113"/>
      <c r="CFB55" s="113"/>
      <c r="CFC55" s="113"/>
      <c r="CFD55" s="113"/>
      <c r="CFE55" s="113"/>
      <c r="CFF55" s="113"/>
      <c r="CFG55" s="113"/>
      <c r="CFH55" s="113"/>
      <c r="CFI55" s="113"/>
      <c r="CFJ55" s="113"/>
      <c r="CFK55" s="113"/>
      <c r="CFL55" s="113"/>
      <c r="CFM55" s="113"/>
      <c r="CFN55" s="113"/>
      <c r="CFO55" s="113"/>
      <c r="CFP55" s="113"/>
      <c r="CFQ55" s="113"/>
      <c r="CFR55" s="113"/>
      <c r="CFS55" s="113"/>
      <c r="CFT55" s="113"/>
      <c r="CFU55" s="113"/>
      <c r="CFV55" s="113"/>
      <c r="CFW55" s="113"/>
      <c r="CFX55" s="113"/>
      <c r="CFY55" s="113"/>
      <c r="CFZ55" s="113"/>
      <c r="CGA55" s="113"/>
      <c r="CGB55" s="113"/>
      <c r="CGC55" s="113"/>
      <c r="CGD55" s="113"/>
      <c r="CGE55" s="113"/>
      <c r="CGF55" s="113"/>
      <c r="CGG55" s="113"/>
      <c r="CGH55" s="113"/>
      <c r="CGI55" s="113"/>
      <c r="CGJ55" s="113"/>
      <c r="CGK55" s="113"/>
      <c r="CGL55" s="113"/>
      <c r="CGM55" s="113"/>
      <c r="CGN55" s="113"/>
      <c r="CGO55" s="113"/>
      <c r="CGP55" s="113"/>
      <c r="CGQ55" s="113"/>
      <c r="CGR55" s="113"/>
      <c r="CGS55" s="113"/>
      <c r="CGT55" s="113"/>
      <c r="CGU55" s="113"/>
      <c r="CGV55" s="113"/>
      <c r="CGW55" s="113"/>
      <c r="CGX55" s="113"/>
      <c r="CGY55" s="113"/>
      <c r="CGZ55" s="113"/>
      <c r="CHA55" s="113"/>
      <c r="CHB55" s="113"/>
      <c r="CHC55" s="113"/>
      <c r="CHD55" s="113"/>
      <c r="CHE55" s="113"/>
      <c r="CHF55" s="113"/>
      <c r="CHG55" s="113"/>
      <c r="CHH55" s="113"/>
      <c r="CHI55" s="113"/>
      <c r="CHJ55" s="113"/>
      <c r="CHK55" s="113"/>
      <c r="CHL55" s="113"/>
      <c r="CHM55" s="113"/>
      <c r="CHN55" s="113"/>
      <c r="CHO55" s="113"/>
      <c r="CHP55" s="113"/>
      <c r="CHQ55" s="113"/>
      <c r="CHR55" s="113"/>
      <c r="CHS55" s="113"/>
      <c r="CHT55" s="113"/>
      <c r="CHU55" s="113"/>
      <c r="CHV55" s="113"/>
      <c r="CHW55" s="113"/>
      <c r="CHX55" s="113"/>
      <c r="CHY55" s="113"/>
      <c r="CHZ55" s="113"/>
      <c r="CIA55" s="113"/>
      <c r="CIB55" s="113"/>
      <c r="CIC55" s="113"/>
      <c r="CID55" s="113"/>
      <c r="CIE55" s="113"/>
      <c r="CIF55" s="113"/>
      <c r="CIG55" s="113"/>
      <c r="CIH55" s="113"/>
      <c r="CII55" s="113"/>
      <c r="CIJ55" s="113"/>
      <c r="CIK55" s="113"/>
      <c r="CIL55" s="113"/>
      <c r="CIM55" s="113"/>
      <c r="CIN55" s="113"/>
      <c r="CIO55" s="113"/>
      <c r="CIP55" s="113"/>
      <c r="CIQ55" s="113"/>
      <c r="CIR55" s="113"/>
      <c r="CIS55" s="113"/>
      <c r="CIT55" s="113"/>
      <c r="CIU55" s="113"/>
      <c r="CIV55" s="113"/>
      <c r="CIW55" s="113"/>
      <c r="CIX55" s="113"/>
      <c r="CIY55" s="113"/>
      <c r="CIZ55" s="113"/>
      <c r="CJA55" s="113"/>
      <c r="CJB55" s="113"/>
      <c r="CJC55" s="113"/>
      <c r="CJD55" s="113"/>
      <c r="CJE55" s="113"/>
      <c r="CJF55" s="113"/>
      <c r="CJG55" s="113"/>
      <c r="CJH55" s="113"/>
      <c r="CJI55" s="113"/>
      <c r="CJJ55" s="113"/>
      <c r="CJK55" s="113"/>
      <c r="CJL55" s="113"/>
      <c r="CJM55" s="113"/>
      <c r="CJN55" s="113"/>
      <c r="CJO55" s="113"/>
      <c r="CJP55" s="113"/>
      <c r="CJQ55" s="113"/>
      <c r="CJR55" s="113"/>
      <c r="CJS55" s="113"/>
      <c r="CJT55" s="113"/>
      <c r="CJU55" s="113"/>
      <c r="CJV55" s="113"/>
      <c r="CJW55" s="113"/>
      <c r="CJX55" s="113"/>
      <c r="CJY55" s="113"/>
      <c r="CJZ55" s="113"/>
      <c r="CKA55" s="113"/>
      <c r="CKB55" s="113"/>
      <c r="CKC55" s="113"/>
      <c r="CKD55" s="113"/>
      <c r="CKE55" s="113"/>
      <c r="CKF55" s="113"/>
      <c r="CKG55" s="113"/>
      <c r="CKH55" s="113"/>
      <c r="CKI55" s="113"/>
      <c r="CKJ55" s="113"/>
      <c r="CKK55" s="113"/>
      <c r="CKL55" s="113"/>
      <c r="CKM55" s="113"/>
      <c r="CKN55" s="113"/>
      <c r="CKO55" s="113"/>
      <c r="CKP55" s="113"/>
      <c r="CKQ55" s="113"/>
      <c r="CKR55" s="113"/>
      <c r="CKS55" s="113"/>
      <c r="CKT55" s="113"/>
      <c r="CKU55" s="113"/>
      <c r="CKV55" s="113"/>
      <c r="CKW55" s="113"/>
      <c r="CKX55" s="113"/>
      <c r="CKY55" s="113"/>
      <c r="CKZ55" s="113"/>
      <c r="CLA55" s="113"/>
      <c r="CLB55" s="113"/>
      <c r="CLC55" s="113"/>
      <c r="CLD55" s="113"/>
      <c r="CLE55" s="113"/>
      <c r="CLF55" s="113"/>
      <c r="CLG55" s="113"/>
      <c r="CLH55" s="113"/>
      <c r="CLI55" s="113"/>
      <c r="CLJ55" s="113"/>
      <c r="CLK55" s="113"/>
      <c r="CLL55" s="113"/>
      <c r="CLM55" s="113"/>
      <c r="CLN55" s="113"/>
      <c r="CLO55" s="113"/>
      <c r="CLP55" s="113"/>
      <c r="CLQ55" s="113"/>
      <c r="CLR55" s="113"/>
      <c r="CLS55" s="113"/>
      <c r="CLT55" s="113"/>
      <c r="CLU55" s="113"/>
      <c r="CLV55" s="113"/>
      <c r="CLW55" s="113"/>
      <c r="CLX55" s="113"/>
      <c r="CLY55" s="113"/>
      <c r="CLZ55" s="113"/>
      <c r="CMA55" s="113"/>
      <c r="CMB55" s="113"/>
      <c r="CMC55" s="113"/>
      <c r="CMD55" s="113"/>
      <c r="CME55" s="113"/>
      <c r="CMF55" s="113"/>
      <c r="CMG55" s="113"/>
      <c r="CMH55" s="113"/>
      <c r="CMI55" s="113"/>
      <c r="CMJ55" s="113"/>
      <c r="CMK55" s="113"/>
      <c r="CML55" s="113"/>
      <c r="CMM55" s="113"/>
      <c r="CMN55" s="113"/>
      <c r="CMO55" s="113"/>
      <c r="CMP55" s="113"/>
      <c r="CMQ55" s="113"/>
      <c r="CMR55" s="113"/>
      <c r="CMS55" s="113"/>
      <c r="CMT55" s="113"/>
      <c r="CMU55" s="113"/>
      <c r="CMV55" s="113"/>
      <c r="CMW55" s="113"/>
      <c r="CMX55" s="113"/>
      <c r="CMY55" s="113"/>
      <c r="CMZ55" s="113"/>
      <c r="CNA55" s="113"/>
      <c r="CNB55" s="113"/>
      <c r="CNC55" s="113"/>
      <c r="CND55" s="113"/>
      <c r="CNE55" s="113"/>
      <c r="CNF55" s="113"/>
      <c r="CNG55" s="113"/>
      <c r="CNH55" s="113"/>
      <c r="CNI55" s="113"/>
      <c r="CNJ55" s="113"/>
      <c r="CNK55" s="113"/>
      <c r="CNL55" s="113"/>
      <c r="CNM55" s="113"/>
      <c r="CNN55" s="113"/>
      <c r="CNO55" s="113"/>
      <c r="CNP55" s="113"/>
      <c r="CNQ55" s="113"/>
      <c r="CNR55" s="113"/>
      <c r="CNS55" s="113"/>
      <c r="CNT55" s="113"/>
      <c r="CNU55" s="113"/>
      <c r="CNV55" s="113"/>
      <c r="CNW55" s="113"/>
      <c r="CNX55" s="113"/>
      <c r="CNY55" s="113"/>
      <c r="CNZ55" s="113"/>
      <c r="COA55" s="113"/>
      <c r="COB55" s="113"/>
      <c r="COC55" s="113"/>
      <c r="COD55" s="113"/>
      <c r="COE55" s="113"/>
      <c r="COF55" s="113"/>
      <c r="COG55" s="113"/>
      <c r="COH55" s="113"/>
      <c r="COI55" s="113"/>
      <c r="COJ55" s="113"/>
      <c r="COK55" s="113"/>
      <c r="COL55" s="113"/>
      <c r="COM55" s="113"/>
      <c r="CON55" s="113"/>
      <c r="COO55" s="113"/>
      <c r="COP55" s="113"/>
      <c r="COQ55" s="113"/>
      <c r="COR55" s="113"/>
      <c r="COS55" s="113"/>
      <c r="COT55" s="113"/>
      <c r="COU55" s="113"/>
      <c r="COV55" s="113"/>
      <c r="COW55" s="113"/>
      <c r="COX55" s="113"/>
      <c r="COY55" s="113"/>
      <c r="COZ55" s="113"/>
      <c r="CPA55" s="113"/>
      <c r="CPB55" s="113"/>
      <c r="CPC55" s="113"/>
      <c r="CPD55" s="113"/>
      <c r="CPE55" s="113"/>
      <c r="CPF55" s="113"/>
      <c r="CPG55" s="113"/>
      <c r="CPH55" s="113"/>
      <c r="CPI55" s="113"/>
      <c r="CPJ55" s="113"/>
      <c r="CPK55" s="113"/>
      <c r="CPL55" s="113"/>
      <c r="CPM55" s="113"/>
      <c r="CPN55" s="113"/>
      <c r="CPO55" s="113"/>
      <c r="CPP55" s="113"/>
      <c r="CPQ55" s="113"/>
      <c r="CPR55" s="113"/>
      <c r="CPS55" s="113"/>
      <c r="CPT55" s="113"/>
      <c r="CPU55" s="113"/>
      <c r="CPV55" s="113"/>
      <c r="CPW55" s="113"/>
      <c r="CPX55" s="113"/>
      <c r="CPY55" s="113"/>
      <c r="CPZ55" s="113"/>
      <c r="CQA55" s="113"/>
      <c r="CQB55" s="113"/>
      <c r="CQC55" s="113"/>
      <c r="CQD55" s="113"/>
      <c r="CQE55" s="113"/>
      <c r="CQF55" s="113"/>
      <c r="CQG55" s="113"/>
      <c r="CQH55" s="113"/>
      <c r="CQI55" s="113"/>
      <c r="CQJ55" s="113"/>
      <c r="CQK55" s="113"/>
      <c r="CQL55" s="113"/>
      <c r="CQM55" s="113"/>
      <c r="CQN55" s="113"/>
      <c r="CQO55" s="113"/>
      <c r="CQP55" s="113"/>
      <c r="CQQ55" s="113"/>
      <c r="CQR55" s="113"/>
      <c r="CQS55" s="113"/>
      <c r="CQT55" s="113"/>
      <c r="CQU55" s="113"/>
      <c r="CQV55" s="113"/>
      <c r="CQW55" s="113"/>
      <c r="CQX55" s="113"/>
      <c r="CQY55" s="113"/>
      <c r="CQZ55" s="113"/>
      <c r="CRA55" s="113"/>
      <c r="CRB55" s="113"/>
      <c r="CRC55" s="113"/>
      <c r="CRD55" s="113"/>
      <c r="CRE55" s="113"/>
      <c r="CRF55" s="113"/>
      <c r="CRG55" s="113"/>
      <c r="CRH55" s="113"/>
      <c r="CRI55" s="113"/>
      <c r="CRJ55" s="113"/>
      <c r="CRK55" s="113"/>
      <c r="CRL55" s="113"/>
      <c r="CRM55" s="113"/>
      <c r="CRN55" s="113"/>
      <c r="CRO55" s="113"/>
      <c r="CRP55" s="113"/>
      <c r="CRQ55" s="113"/>
      <c r="CRR55" s="113"/>
      <c r="CRS55" s="113"/>
      <c r="CRT55" s="113"/>
      <c r="CRU55" s="113"/>
      <c r="CRV55" s="113"/>
      <c r="CRW55" s="113"/>
      <c r="CRX55" s="113"/>
      <c r="CRY55" s="113"/>
      <c r="CRZ55" s="113"/>
      <c r="CSA55" s="113"/>
      <c r="CSB55" s="113"/>
      <c r="CSC55" s="113"/>
      <c r="CSD55" s="113"/>
      <c r="CSE55" s="113"/>
      <c r="CSF55" s="113"/>
      <c r="CSG55" s="113"/>
      <c r="CSH55" s="113"/>
      <c r="CSI55" s="113"/>
      <c r="CSJ55" s="113"/>
      <c r="CSK55" s="113"/>
      <c r="CSL55" s="113"/>
      <c r="CSM55" s="113"/>
      <c r="CSN55" s="113"/>
      <c r="CSO55" s="113"/>
      <c r="CSP55" s="113"/>
      <c r="CSQ55" s="113"/>
      <c r="CSR55" s="113"/>
      <c r="CSS55" s="113"/>
      <c r="CST55" s="113"/>
      <c r="CSU55" s="113"/>
      <c r="CSV55" s="113"/>
      <c r="CSW55" s="113"/>
      <c r="CSX55" s="113"/>
      <c r="CSY55" s="113"/>
      <c r="CSZ55" s="113"/>
      <c r="CTA55" s="113"/>
      <c r="CTB55" s="113"/>
      <c r="CTC55" s="113"/>
      <c r="CTD55" s="113"/>
      <c r="CTE55" s="113"/>
      <c r="CTF55" s="113"/>
      <c r="CTG55" s="113"/>
      <c r="CTH55" s="113"/>
      <c r="CTI55" s="113"/>
      <c r="CTJ55" s="113"/>
      <c r="CTK55" s="113"/>
      <c r="CTL55" s="113"/>
      <c r="CTM55" s="113"/>
      <c r="CTN55" s="113"/>
      <c r="CTO55" s="113"/>
      <c r="CTP55" s="113"/>
      <c r="CTQ55" s="113"/>
      <c r="CTR55" s="113"/>
      <c r="CTS55" s="113"/>
      <c r="CTT55" s="113"/>
      <c r="CTU55" s="113"/>
      <c r="CTV55" s="113"/>
      <c r="CTW55" s="113"/>
      <c r="CTX55" s="113"/>
      <c r="CTY55" s="113"/>
      <c r="CTZ55" s="113"/>
      <c r="CUA55" s="113"/>
      <c r="CUB55" s="113"/>
      <c r="CUC55" s="113"/>
      <c r="CUD55" s="113"/>
      <c r="CUE55" s="113"/>
      <c r="CUF55" s="113"/>
      <c r="CUG55" s="113"/>
      <c r="CUH55" s="113"/>
      <c r="CUI55" s="113"/>
      <c r="CUJ55" s="113"/>
      <c r="CUK55" s="113"/>
      <c r="CUL55" s="113"/>
      <c r="CUM55" s="113"/>
      <c r="CUN55" s="113"/>
      <c r="CUO55" s="113"/>
      <c r="CUP55" s="113"/>
      <c r="CUQ55" s="113"/>
      <c r="CUR55" s="113"/>
      <c r="CUS55" s="113"/>
      <c r="CUT55" s="113"/>
      <c r="CUU55" s="113"/>
      <c r="CUV55" s="113"/>
      <c r="CUW55" s="113"/>
      <c r="CUX55" s="113"/>
      <c r="CUY55" s="113"/>
      <c r="CUZ55" s="113"/>
      <c r="CVA55" s="113"/>
      <c r="CVB55" s="113"/>
      <c r="CVC55" s="113"/>
      <c r="CVD55" s="113"/>
      <c r="CVE55" s="113"/>
      <c r="CVF55" s="113"/>
      <c r="CVG55" s="113"/>
      <c r="CVH55" s="113"/>
      <c r="CVI55" s="113"/>
      <c r="CVJ55" s="113"/>
      <c r="CVK55" s="113"/>
      <c r="CVL55" s="113"/>
      <c r="CVM55" s="113"/>
      <c r="CVN55" s="113"/>
      <c r="CVO55" s="113"/>
      <c r="CVP55" s="113"/>
      <c r="CVQ55" s="113"/>
      <c r="CVR55" s="113"/>
      <c r="CVS55" s="113"/>
      <c r="CVT55" s="113"/>
      <c r="CVU55" s="113"/>
      <c r="CVV55" s="113"/>
      <c r="CVW55" s="113"/>
      <c r="CVX55" s="113"/>
      <c r="CVY55" s="113"/>
      <c r="CVZ55" s="113"/>
      <c r="CWA55" s="113"/>
      <c r="CWB55" s="113"/>
      <c r="CWC55" s="113"/>
      <c r="CWD55" s="113"/>
      <c r="CWE55" s="113"/>
      <c r="CWF55" s="113"/>
      <c r="CWG55" s="113"/>
      <c r="CWH55" s="113"/>
      <c r="CWI55" s="113"/>
      <c r="CWJ55" s="113"/>
      <c r="CWK55" s="113"/>
      <c r="CWL55" s="113"/>
      <c r="CWM55" s="113"/>
      <c r="CWN55" s="113"/>
      <c r="CWO55" s="113"/>
      <c r="CWP55" s="113"/>
      <c r="CWQ55" s="113"/>
      <c r="CWR55" s="113"/>
      <c r="CWS55" s="113"/>
      <c r="CWT55" s="113"/>
      <c r="CWU55" s="113"/>
      <c r="CWV55" s="113"/>
      <c r="CWW55" s="113"/>
      <c r="CWX55" s="113"/>
      <c r="CWY55" s="113"/>
      <c r="CWZ55" s="113"/>
      <c r="CXA55" s="113"/>
      <c r="CXB55" s="113"/>
      <c r="CXC55" s="113"/>
      <c r="CXD55" s="113"/>
      <c r="CXE55" s="113"/>
      <c r="CXF55" s="113"/>
      <c r="CXG55" s="113"/>
      <c r="CXH55" s="113"/>
      <c r="CXI55" s="113"/>
      <c r="CXJ55" s="113"/>
      <c r="CXK55" s="113"/>
      <c r="CXL55" s="113"/>
      <c r="CXM55" s="113"/>
      <c r="CXN55" s="113"/>
      <c r="CXO55" s="113"/>
      <c r="CXP55" s="113"/>
      <c r="CXQ55" s="113"/>
      <c r="CXR55" s="113"/>
      <c r="CXS55" s="113"/>
      <c r="CXT55" s="113"/>
      <c r="CXU55" s="113"/>
      <c r="CXV55" s="113"/>
      <c r="CXW55" s="113"/>
      <c r="CXX55" s="113"/>
      <c r="CXY55" s="113"/>
      <c r="CXZ55" s="113"/>
      <c r="CYA55" s="113"/>
      <c r="CYB55" s="113"/>
      <c r="CYC55" s="113"/>
      <c r="CYD55" s="113"/>
      <c r="CYE55" s="113"/>
      <c r="CYF55" s="113"/>
      <c r="CYG55" s="113"/>
      <c r="CYH55" s="113"/>
      <c r="CYI55" s="113"/>
      <c r="CYJ55" s="113"/>
      <c r="CYK55" s="113"/>
      <c r="CYL55" s="113"/>
      <c r="CYM55" s="113"/>
      <c r="CYN55" s="113"/>
      <c r="CYO55" s="113"/>
      <c r="CYP55" s="113"/>
      <c r="CYQ55" s="113"/>
      <c r="CYR55" s="113"/>
      <c r="CYS55" s="113"/>
      <c r="CYT55" s="113"/>
      <c r="CYU55" s="113"/>
      <c r="CYV55" s="113"/>
      <c r="CYW55" s="113"/>
      <c r="CYX55" s="113"/>
      <c r="CYY55" s="113"/>
      <c r="CYZ55" s="113"/>
      <c r="CZA55" s="113"/>
      <c r="CZB55" s="113"/>
      <c r="CZC55" s="113"/>
      <c r="CZD55" s="113"/>
      <c r="CZE55" s="113"/>
      <c r="CZF55" s="113"/>
      <c r="CZG55" s="113"/>
      <c r="CZH55" s="113"/>
      <c r="CZI55" s="113"/>
      <c r="CZJ55" s="113"/>
      <c r="CZK55" s="113"/>
      <c r="CZL55" s="113"/>
      <c r="CZM55" s="113"/>
      <c r="CZN55" s="113"/>
      <c r="CZO55" s="113"/>
      <c r="CZP55" s="113"/>
      <c r="CZQ55" s="113"/>
      <c r="CZR55" s="113"/>
      <c r="CZS55" s="113"/>
      <c r="CZT55" s="113"/>
      <c r="CZU55" s="113"/>
      <c r="CZV55" s="113"/>
      <c r="CZW55" s="113"/>
      <c r="CZX55" s="113"/>
      <c r="CZY55" s="113"/>
      <c r="CZZ55" s="113"/>
      <c r="DAA55" s="113"/>
      <c r="DAB55" s="113"/>
      <c r="DAC55" s="113"/>
      <c r="DAD55" s="113"/>
      <c r="DAE55" s="113"/>
      <c r="DAF55" s="113"/>
      <c r="DAG55" s="113"/>
      <c r="DAH55" s="113"/>
      <c r="DAI55" s="113"/>
      <c r="DAJ55" s="113"/>
      <c r="DAK55" s="113"/>
      <c r="DAL55" s="113"/>
      <c r="DAM55" s="113"/>
      <c r="DAN55" s="113"/>
      <c r="DAO55" s="113"/>
      <c r="DAP55" s="113"/>
      <c r="DAQ55" s="113"/>
      <c r="DAR55" s="113"/>
      <c r="DAS55" s="113"/>
      <c r="DAT55" s="113"/>
      <c r="DAU55" s="113"/>
      <c r="DAV55" s="113"/>
      <c r="DAW55" s="113"/>
      <c r="DAX55" s="113"/>
      <c r="DAY55" s="113"/>
      <c r="DAZ55" s="113"/>
      <c r="DBA55" s="113"/>
      <c r="DBB55" s="113"/>
      <c r="DBC55" s="113"/>
      <c r="DBD55" s="113"/>
      <c r="DBE55" s="113"/>
      <c r="DBF55" s="113"/>
      <c r="DBG55" s="113"/>
      <c r="DBH55" s="113"/>
      <c r="DBI55" s="113"/>
      <c r="DBJ55" s="113"/>
      <c r="DBK55" s="113"/>
      <c r="DBL55" s="113"/>
      <c r="DBM55" s="113"/>
      <c r="DBN55" s="113"/>
      <c r="DBO55" s="113"/>
      <c r="DBP55" s="113"/>
      <c r="DBQ55" s="113"/>
      <c r="DBR55" s="113"/>
      <c r="DBS55" s="113"/>
      <c r="DBT55" s="113"/>
      <c r="DBU55" s="113"/>
      <c r="DBV55" s="113"/>
      <c r="DBW55" s="113"/>
      <c r="DBX55" s="113"/>
      <c r="DBY55" s="113"/>
      <c r="DBZ55" s="113"/>
      <c r="DCA55" s="113"/>
      <c r="DCB55" s="113"/>
      <c r="DCC55" s="113"/>
      <c r="DCD55" s="113"/>
      <c r="DCE55" s="113"/>
      <c r="DCF55" s="113"/>
      <c r="DCG55" s="113"/>
      <c r="DCH55" s="113"/>
      <c r="DCI55" s="113"/>
      <c r="DCJ55" s="113"/>
      <c r="DCK55" s="113"/>
      <c r="DCL55" s="113"/>
      <c r="DCM55" s="113"/>
      <c r="DCN55" s="113"/>
      <c r="DCO55" s="113"/>
      <c r="DCP55" s="113"/>
      <c r="DCQ55" s="113"/>
      <c r="DCR55" s="113"/>
      <c r="DCS55" s="113"/>
      <c r="DCT55" s="113"/>
      <c r="DCU55" s="113"/>
      <c r="DCV55" s="113"/>
      <c r="DCW55" s="113"/>
      <c r="DCX55" s="113"/>
      <c r="DCY55" s="113"/>
      <c r="DCZ55" s="113"/>
      <c r="DDA55" s="113"/>
      <c r="DDB55" s="113"/>
      <c r="DDC55" s="113"/>
      <c r="DDD55" s="113"/>
      <c r="DDE55" s="113"/>
      <c r="DDF55" s="113"/>
      <c r="DDG55" s="113"/>
      <c r="DDH55" s="113"/>
      <c r="DDI55" s="113"/>
      <c r="DDJ55" s="113"/>
      <c r="DDK55" s="113"/>
      <c r="DDL55" s="113"/>
      <c r="DDM55" s="113"/>
      <c r="DDN55" s="113"/>
      <c r="DDO55" s="113"/>
      <c r="DDP55" s="113"/>
      <c r="DDQ55" s="113"/>
      <c r="DDR55" s="113"/>
      <c r="DDS55" s="113"/>
      <c r="DDT55" s="113"/>
      <c r="DDU55" s="113"/>
      <c r="DDV55" s="113"/>
      <c r="DDW55" s="113"/>
      <c r="DDX55" s="113"/>
      <c r="DDY55" s="113"/>
      <c r="DDZ55" s="113"/>
      <c r="DEA55" s="113"/>
      <c r="DEB55" s="113"/>
      <c r="DEC55" s="113"/>
      <c r="DED55" s="113"/>
      <c r="DEE55" s="113"/>
      <c r="DEF55" s="113"/>
      <c r="DEG55" s="113"/>
      <c r="DEH55" s="113"/>
      <c r="DEI55" s="113"/>
      <c r="DEJ55" s="113"/>
      <c r="DEK55" s="113"/>
      <c r="DEL55" s="113"/>
      <c r="DEM55" s="113"/>
      <c r="DEN55" s="113"/>
      <c r="DEO55" s="113"/>
      <c r="DEP55" s="113"/>
      <c r="DEQ55" s="113"/>
      <c r="DER55" s="113"/>
      <c r="DES55" s="113"/>
      <c r="DET55" s="113"/>
      <c r="DEU55" s="113"/>
      <c r="DEV55" s="113"/>
      <c r="DEW55" s="113"/>
      <c r="DEX55" s="113"/>
      <c r="DEY55" s="113"/>
      <c r="DEZ55" s="113"/>
      <c r="DFA55" s="113"/>
      <c r="DFB55" s="113"/>
      <c r="DFC55" s="113"/>
      <c r="DFD55" s="113"/>
      <c r="DFE55" s="113"/>
      <c r="DFF55" s="113"/>
      <c r="DFG55" s="113"/>
      <c r="DFH55" s="113"/>
      <c r="DFI55" s="113"/>
      <c r="DFJ55" s="113"/>
      <c r="DFK55" s="113"/>
      <c r="DFL55" s="113"/>
      <c r="DFM55" s="113"/>
      <c r="DFN55" s="113"/>
      <c r="DFO55" s="113"/>
      <c r="DFP55" s="113"/>
      <c r="DFQ55" s="113"/>
      <c r="DFR55" s="113"/>
      <c r="DFS55" s="113"/>
      <c r="DFT55" s="113"/>
      <c r="DFU55" s="113"/>
      <c r="DFV55" s="113"/>
      <c r="DFW55" s="113"/>
      <c r="DFX55" s="113"/>
      <c r="DFY55" s="113"/>
      <c r="DFZ55" s="113"/>
      <c r="DGA55" s="113"/>
      <c r="DGB55" s="113"/>
      <c r="DGC55" s="113"/>
      <c r="DGD55" s="113"/>
      <c r="DGE55" s="113"/>
      <c r="DGF55" s="113"/>
      <c r="DGG55" s="113"/>
      <c r="DGH55" s="113"/>
      <c r="DGI55" s="113"/>
      <c r="DGJ55" s="113"/>
      <c r="DGK55" s="113"/>
      <c r="DGL55" s="113"/>
      <c r="DGM55" s="113"/>
      <c r="DGN55" s="113"/>
      <c r="DGO55" s="113"/>
      <c r="DGP55" s="113"/>
      <c r="DGQ55" s="113"/>
      <c r="DGR55" s="113"/>
      <c r="DGS55" s="113"/>
      <c r="DGT55" s="113"/>
      <c r="DGU55" s="113"/>
      <c r="DGV55" s="113"/>
      <c r="DGW55" s="113"/>
      <c r="DGX55" s="113"/>
      <c r="DGY55" s="113"/>
      <c r="DGZ55" s="113"/>
      <c r="DHA55" s="113"/>
      <c r="DHB55" s="113"/>
      <c r="DHC55" s="113"/>
      <c r="DHD55" s="113"/>
      <c r="DHE55" s="113"/>
      <c r="DHF55" s="113"/>
      <c r="DHG55" s="113"/>
      <c r="DHH55" s="113"/>
      <c r="DHI55" s="113"/>
      <c r="DHJ55" s="113"/>
      <c r="DHK55" s="113"/>
      <c r="DHL55" s="113"/>
      <c r="DHM55" s="113"/>
      <c r="DHN55" s="113"/>
      <c r="DHO55" s="113"/>
      <c r="DHP55" s="113"/>
      <c r="DHQ55" s="113"/>
      <c r="DHR55" s="113"/>
      <c r="DHS55" s="113"/>
      <c r="DHT55" s="113"/>
      <c r="DHU55" s="113"/>
      <c r="DHV55" s="113"/>
      <c r="DHW55" s="113"/>
      <c r="DHX55" s="113"/>
      <c r="DHY55" s="113"/>
      <c r="DHZ55" s="113"/>
      <c r="DIA55" s="113"/>
      <c r="DIB55" s="113"/>
      <c r="DIC55" s="113"/>
      <c r="DID55" s="113"/>
      <c r="DIE55" s="113"/>
      <c r="DIF55" s="113"/>
      <c r="DIG55" s="113"/>
      <c r="DIH55" s="113"/>
      <c r="DII55" s="113"/>
      <c r="DIJ55" s="113"/>
      <c r="DIK55" s="113"/>
      <c r="DIL55" s="113"/>
      <c r="DIM55" s="113"/>
      <c r="DIN55" s="113"/>
      <c r="DIO55" s="113"/>
      <c r="DIP55" s="113"/>
      <c r="DIQ55" s="113"/>
      <c r="DIR55" s="113"/>
      <c r="DIS55" s="113"/>
      <c r="DIT55" s="113"/>
      <c r="DIU55" s="113"/>
      <c r="DIV55" s="113"/>
      <c r="DIW55" s="113"/>
      <c r="DIX55" s="113"/>
      <c r="DIY55" s="113"/>
      <c r="DIZ55" s="113"/>
      <c r="DJA55" s="113"/>
      <c r="DJB55" s="113"/>
      <c r="DJC55" s="113"/>
      <c r="DJD55" s="113"/>
      <c r="DJE55" s="113"/>
      <c r="DJF55" s="113"/>
      <c r="DJG55" s="113"/>
      <c r="DJH55" s="113"/>
      <c r="DJI55" s="113"/>
      <c r="DJJ55" s="113"/>
      <c r="DJK55" s="113"/>
      <c r="DJL55" s="113"/>
      <c r="DJM55" s="113"/>
      <c r="DJN55" s="113"/>
      <c r="DJO55" s="113"/>
      <c r="DJP55" s="113"/>
      <c r="DJQ55" s="113"/>
      <c r="DJR55" s="113"/>
      <c r="DJS55" s="113"/>
      <c r="DJT55" s="113"/>
      <c r="DJU55" s="113"/>
      <c r="DJV55" s="113"/>
      <c r="DJW55" s="113"/>
      <c r="DJX55" s="113"/>
      <c r="DJY55" s="113"/>
      <c r="DJZ55" s="113"/>
      <c r="DKA55" s="113"/>
      <c r="DKB55" s="113"/>
      <c r="DKC55" s="113"/>
      <c r="DKD55" s="113"/>
      <c r="DKE55" s="113"/>
      <c r="DKF55" s="113"/>
      <c r="DKG55" s="113"/>
      <c r="DKH55" s="113"/>
      <c r="DKI55" s="113"/>
      <c r="DKJ55" s="113"/>
      <c r="DKK55" s="113"/>
      <c r="DKL55" s="113"/>
      <c r="DKM55" s="113"/>
      <c r="DKN55" s="113"/>
      <c r="DKO55" s="113"/>
      <c r="DKP55" s="113"/>
      <c r="DKQ55" s="113"/>
      <c r="DKR55" s="113"/>
      <c r="DKS55" s="113"/>
      <c r="DKT55" s="113"/>
      <c r="DKU55" s="113"/>
      <c r="DKV55" s="113"/>
      <c r="DKW55" s="113"/>
      <c r="DKX55" s="113"/>
      <c r="DKY55" s="113"/>
      <c r="DKZ55" s="113"/>
      <c r="DLA55" s="113"/>
      <c r="DLB55" s="113"/>
      <c r="DLC55" s="113"/>
      <c r="DLD55" s="113"/>
      <c r="DLE55" s="113"/>
      <c r="DLF55" s="113"/>
      <c r="DLG55" s="113"/>
      <c r="DLH55" s="113"/>
      <c r="DLI55" s="113"/>
      <c r="DLJ55" s="113"/>
      <c r="DLK55" s="113"/>
      <c r="DLL55" s="113"/>
      <c r="DLM55" s="113"/>
      <c r="DLN55" s="113"/>
      <c r="DLO55" s="113"/>
      <c r="DLP55" s="113"/>
      <c r="DLQ55" s="113"/>
      <c r="DLR55" s="113"/>
      <c r="DLS55" s="113"/>
      <c r="DLT55" s="113"/>
      <c r="DLU55" s="113"/>
      <c r="DLV55" s="113"/>
      <c r="DLW55" s="113"/>
      <c r="DLX55" s="113"/>
      <c r="DLY55" s="113"/>
      <c r="DLZ55" s="113"/>
      <c r="DMA55" s="113"/>
      <c r="DMB55" s="113"/>
      <c r="DMC55" s="113"/>
      <c r="DMD55" s="113"/>
      <c r="DME55" s="113"/>
      <c r="DMF55" s="113"/>
      <c r="DMG55" s="113"/>
      <c r="DMH55" s="113"/>
      <c r="DMI55" s="113"/>
      <c r="DMJ55" s="113"/>
      <c r="DMK55" s="113"/>
      <c r="DML55" s="113"/>
      <c r="DMM55" s="113"/>
      <c r="DMN55" s="113"/>
      <c r="DMO55" s="113"/>
      <c r="DMP55" s="113"/>
      <c r="DMQ55" s="113"/>
      <c r="DMR55" s="113"/>
      <c r="DMS55" s="113"/>
      <c r="DMT55" s="113"/>
      <c r="DMU55" s="113"/>
      <c r="DMV55" s="113"/>
      <c r="DMW55" s="113"/>
      <c r="DMX55" s="113"/>
      <c r="DMY55" s="113"/>
      <c r="DMZ55" s="113"/>
      <c r="DNA55" s="113"/>
      <c r="DNB55" s="113"/>
      <c r="DNC55" s="113"/>
      <c r="DND55" s="113"/>
      <c r="DNE55" s="113"/>
      <c r="DNF55" s="113"/>
      <c r="DNG55" s="113"/>
      <c r="DNH55" s="113"/>
      <c r="DNI55" s="113"/>
      <c r="DNJ55" s="113"/>
      <c r="DNK55" s="113"/>
      <c r="DNL55" s="113"/>
      <c r="DNM55" s="113"/>
      <c r="DNN55" s="113"/>
      <c r="DNO55" s="113"/>
      <c r="DNP55" s="113"/>
      <c r="DNQ55" s="113"/>
      <c r="DNR55" s="113"/>
      <c r="DNS55" s="113"/>
      <c r="DNT55" s="113"/>
      <c r="DNU55" s="113"/>
      <c r="DNV55" s="113"/>
      <c r="DNW55" s="113"/>
      <c r="DNX55" s="113"/>
      <c r="DNY55" s="113"/>
      <c r="DNZ55" s="113"/>
      <c r="DOA55" s="113"/>
      <c r="DOB55" s="113"/>
      <c r="DOC55" s="113"/>
      <c r="DOD55" s="113"/>
      <c r="DOE55" s="113"/>
      <c r="DOF55" s="113"/>
      <c r="DOG55" s="113"/>
      <c r="DOH55" s="113"/>
      <c r="DOI55" s="113"/>
      <c r="DOJ55" s="113"/>
      <c r="DOK55" s="113"/>
      <c r="DOL55" s="113"/>
      <c r="DOM55" s="113"/>
      <c r="DON55" s="113"/>
      <c r="DOO55" s="113"/>
      <c r="DOP55" s="113"/>
      <c r="DOQ55" s="113"/>
      <c r="DOR55" s="113"/>
      <c r="DOS55" s="113"/>
      <c r="DOT55" s="113"/>
      <c r="DOU55" s="113"/>
      <c r="DOV55" s="113"/>
      <c r="DOW55" s="113"/>
      <c r="DOX55" s="113"/>
      <c r="DOY55" s="113"/>
      <c r="DOZ55" s="113"/>
      <c r="DPA55" s="113"/>
      <c r="DPB55" s="113"/>
      <c r="DPC55" s="113"/>
      <c r="DPD55" s="113"/>
      <c r="DPE55" s="113"/>
      <c r="DPF55" s="113"/>
      <c r="DPG55" s="113"/>
      <c r="DPH55" s="113"/>
      <c r="DPI55" s="113"/>
      <c r="DPJ55" s="113"/>
      <c r="DPK55" s="113"/>
      <c r="DPL55" s="113"/>
      <c r="DPM55" s="113"/>
      <c r="DPN55" s="113"/>
      <c r="DPO55" s="113"/>
      <c r="DPP55" s="113"/>
      <c r="DPQ55" s="113"/>
      <c r="DPR55" s="113"/>
      <c r="DPS55" s="113"/>
      <c r="DPT55" s="113"/>
      <c r="DPU55" s="113"/>
      <c r="DPV55" s="113"/>
      <c r="DPW55" s="113"/>
      <c r="DPX55" s="113"/>
      <c r="DPY55" s="113"/>
      <c r="DPZ55" s="113"/>
      <c r="DQA55" s="113"/>
      <c r="DQB55" s="113"/>
      <c r="DQC55" s="113"/>
      <c r="DQD55" s="113"/>
      <c r="DQE55" s="113"/>
      <c r="DQF55" s="113"/>
      <c r="DQG55" s="113"/>
      <c r="DQH55" s="113"/>
      <c r="DQI55" s="113"/>
      <c r="DQJ55" s="113"/>
      <c r="DQK55" s="113"/>
      <c r="DQL55" s="113"/>
      <c r="DQM55" s="113"/>
      <c r="DQN55" s="113"/>
      <c r="DQO55" s="113"/>
      <c r="DQP55" s="113"/>
      <c r="DQQ55" s="113"/>
      <c r="DQR55" s="113"/>
      <c r="DQS55" s="113"/>
      <c r="DQT55" s="113"/>
      <c r="DQU55" s="113"/>
      <c r="DQV55" s="113"/>
      <c r="DQW55" s="113"/>
      <c r="DQX55" s="113"/>
      <c r="DQY55" s="113"/>
      <c r="DQZ55" s="113"/>
      <c r="DRA55" s="113"/>
      <c r="DRB55" s="113"/>
      <c r="DRC55" s="113"/>
      <c r="DRD55" s="113"/>
      <c r="DRE55" s="113"/>
      <c r="DRF55" s="113"/>
      <c r="DRG55" s="113"/>
      <c r="DRH55" s="113"/>
      <c r="DRI55" s="113"/>
      <c r="DRJ55" s="113"/>
      <c r="DRK55" s="113"/>
      <c r="DRL55" s="113"/>
      <c r="DRM55" s="113"/>
      <c r="DRN55" s="113"/>
      <c r="DRO55" s="113"/>
      <c r="DRP55" s="113"/>
      <c r="DRQ55" s="113"/>
      <c r="DRR55" s="113"/>
      <c r="DRS55" s="113"/>
      <c r="DRT55" s="113"/>
      <c r="DRU55" s="113"/>
      <c r="DRV55" s="113"/>
      <c r="DRW55" s="113"/>
      <c r="DRX55" s="113"/>
      <c r="DRY55" s="113"/>
      <c r="DRZ55" s="113"/>
      <c r="DSA55" s="113"/>
      <c r="DSB55" s="113"/>
      <c r="DSC55" s="113"/>
      <c r="DSD55" s="113"/>
      <c r="DSE55" s="113"/>
      <c r="DSF55" s="113"/>
      <c r="DSG55" s="113"/>
      <c r="DSH55" s="113"/>
      <c r="DSI55" s="113"/>
      <c r="DSJ55" s="113"/>
      <c r="DSK55" s="113"/>
      <c r="DSL55" s="113"/>
      <c r="DSM55" s="113"/>
      <c r="DSN55" s="113"/>
      <c r="DSO55" s="113"/>
      <c r="DSP55" s="113"/>
      <c r="DSQ55" s="113"/>
      <c r="DSR55" s="113"/>
      <c r="DSS55" s="113"/>
      <c r="DST55" s="113"/>
      <c r="DSU55" s="113"/>
      <c r="DSV55" s="113"/>
      <c r="DSW55" s="113"/>
      <c r="DSX55" s="113"/>
      <c r="DSY55" s="113"/>
      <c r="DSZ55" s="113"/>
      <c r="DTA55" s="113"/>
      <c r="DTB55" s="113"/>
      <c r="DTC55" s="113"/>
      <c r="DTD55" s="113"/>
      <c r="DTE55" s="113"/>
      <c r="DTF55" s="113"/>
      <c r="DTG55" s="113"/>
      <c r="DTH55" s="113"/>
      <c r="DTI55" s="113"/>
      <c r="DTJ55" s="113"/>
      <c r="DTK55" s="113"/>
      <c r="DTL55" s="113"/>
      <c r="DTM55" s="113"/>
      <c r="DTN55" s="113"/>
      <c r="DTO55" s="113"/>
      <c r="DTP55" s="113"/>
      <c r="DTQ55" s="113"/>
      <c r="DTR55" s="113"/>
      <c r="DTS55" s="113"/>
      <c r="DTT55" s="113"/>
      <c r="DTU55" s="113"/>
      <c r="DTV55" s="113"/>
      <c r="DTW55" s="113"/>
      <c r="DTX55" s="113"/>
      <c r="DTY55" s="113"/>
      <c r="DTZ55" s="113"/>
      <c r="DUA55" s="113"/>
      <c r="DUB55" s="113"/>
      <c r="DUC55" s="113"/>
      <c r="DUD55" s="113"/>
      <c r="DUE55" s="113"/>
      <c r="DUF55" s="113"/>
      <c r="DUG55" s="113"/>
      <c r="DUH55" s="113"/>
      <c r="DUI55" s="113"/>
      <c r="DUJ55" s="113"/>
      <c r="DUK55" s="113"/>
      <c r="DUL55" s="113"/>
      <c r="DUM55" s="113"/>
      <c r="DUN55" s="113"/>
      <c r="DUO55" s="113"/>
      <c r="DUP55" s="113"/>
      <c r="DUQ55" s="113"/>
      <c r="DUR55" s="113"/>
      <c r="DUS55" s="113"/>
      <c r="DUT55" s="113"/>
      <c r="DUU55" s="113"/>
      <c r="DUV55" s="113"/>
      <c r="DUW55" s="113"/>
      <c r="DUX55" s="113"/>
      <c r="DUY55" s="113"/>
      <c r="DUZ55" s="113"/>
      <c r="DVA55" s="113"/>
      <c r="DVB55" s="113"/>
      <c r="DVC55" s="113"/>
      <c r="DVD55" s="113"/>
      <c r="DVE55" s="113"/>
      <c r="DVF55" s="113"/>
      <c r="DVG55" s="113"/>
      <c r="DVH55" s="113"/>
      <c r="DVI55" s="113"/>
      <c r="DVJ55" s="113"/>
      <c r="DVK55" s="113"/>
      <c r="DVL55" s="113"/>
      <c r="DVM55" s="113"/>
      <c r="DVN55" s="113"/>
      <c r="DVO55" s="113"/>
      <c r="DVP55" s="113"/>
      <c r="DVQ55" s="113"/>
      <c r="DVR55" s="113"/>
      <c r="DVS55" s="113"/>
      <c r="DVT55" s="113"/>
      <c r="DVU55" s="113"/>
      <c r="DVV55" s="113"/>
      <c r="DVW55" s="113"/>
      <c r="DVX55" s="113"/>
      <c r="DVY55" s="113"/>
      <c r="DVZ55" s="113"/>
      <c r="DWA55" s="113"/>
      <c r="DWB55" s="113"/>
      <c r="DWC55" s="113"/>
      <c r="DWD55" s="113"/>
      <c r="DWE55" s="113"/>
      <c r="DWF55" s="113"/>
      <c r="DWG55" s="113"/>
      <c r="DWH55" s="113"/>
      <c r="DWI55" s="113"/>
      <c r="DWJ55" s="113"/>
      <c r="DWK55" s="113"/>
      <c r="DWL55" s="113"/>
      <c r="DWM55" s="113"/>
      <c r="DWN55" s="113"/>
      <c r="DWO55" s="113"/>
      <c r="DWP55" s="113"/>
      <c r="DWQ55" s="113"/>
      <c r="DWR55" s="113"/>
      <c r="DWS55" s="113"/>
      <c r="DWT55" s="113"/>
      <c r="DWU55" s="113"/>
      <c r="DWV55" s="113"/>
      <c r="DWW55" s="113"/>
      <c r="DWX55" s="113"/>
      <c r="DWY55" s="113"/>
      <c r="DWZ55" s="113"/>
      <c r="DXA55" s="113"/>
      <c r="DXB55" s="113"/>
      <c r="DXC55" s="113"/>
      <c r="DXD55" s="113"/>
      <c r="DXE55" s="113"/>
      <c r="DXF55" s="113"/>
      <c r="DXG55" s="113"/>
      <c r="DXH55" s="113"/>
      <c r="DXI55" s="113"/>
      <c r="DXJ55" s="113"/>
      <c r="DXK55" s="113"/>
      <c r="DXL55" s="113"/>
      <c r="DXM55" s="113"/>
      <c r="DXN55" s="113"/>
      <c r="DXO55" s="113"/>
      <c r="DXP55" s="113"/>
      <c r="DXQ55" s="113"/>
      <c r="DXR55" s="113"/>
      <c r="DXS55" s="113"/>
      <c r="DXT55" s="113"/>
      <c r="DXU55" s="113"/>
      <c r="DXV55" s="113"/>
      <c r="DXW55" s="113"/>
      <c r="DXX55" s="113"/>
      <c r="DXY55" s="113"/>
      <c r="DXZ55" s="113"/>
      <c r="DYA55" s="113"/>
      <c r="DYB55" s="113"/>
      <c r="DYC55" s="113"/>
      <c r="DYD55" s="113"/>
      <c r="DYE55" s="113"/>
      <c r="DYF55" s="113"/>
      <c r="DYG55" s="113"/>
      <c r="DYH55" s="113"/>
      <c r="DYI55" s="113"/>
      <c r="DYJ55" s="113"/>
      <c r="DYK55" s="113"/>
      <c r="DYL55" s="113"/>
      <c r="DYM55" s="113"/>
      <c r="DYN55" s="113"/>
      <c r="DYO55" s="113"/>
      <c r="DYP55" s="113"/>
      <c r="DYQ55" s="113"/>
      <c r="DYR55" s="113"/>
      <c r="DYS55" s="113"/>
      <c r="DYT55" s="113"/>
      <c r="DYU55" s="113"/>
      <c r="DYV55" s="113"/>
      <c r="DYW55" s="113"/>
      <c r="DYX55" s="113"/>
      <c r="DYY55" s="113"/>
      <c r="DYZ55" s="113"/>
      <c r="DZA55" s="113"/>
      <c r="DZB55" s="113"/>
      <c r="DZC55" s="113"/>
      <c r="DZD55" s="113"/>
      <c r="DZE55" s="113"/>
      <c r="DZF55" s="113"/>
      <c r="DZG55" s="113"/>
      <c r="DZH55" s="113"/>
      <c r="DZI55" s="113"/>
      <c r="DZJ55" s="113"/>
      <c r="DZK55" s="113"/>
      <c r="DZL55" s="113"/>
      <c r="DZM55" s="113"/>
      <c r="DZN55" s="113"/>
      <c r="DZO55" s="113"/>
      <c r="DZP55" s="113"/>
      <c r="DZQ55" s="113"/>
      <c r="DZR55" s="113"/>
      <c r="DZS55" s="113"/>
      <c r="DZT55" s="113"/>
      <c r="DZU55" s="113"/>
      <c r="DZV55" s="113"/>
      <c r="DZW55" s="113"/>
      <c r="DZX55" s="113"/>
      <c r="DZY55" s="113"/>
      <c r="DZZ55" s="113"/>
      <c r="EAA55" s="113"/>
      <c r="EAB55" s="113"/>
      <c r="EAC55" s="113"/>
      <c r="EAD55" s="113"/>
      <c r="EAE55" s="113"/>
      <c r="EAF55" s="113"/>
      <c r="EAG55" s="113"/>
      <c r="EAH55" s="113"/>
      <c r="EAI55" s="113"/>
      <c r="EAJ55" s="113"/>
      <c r="EAK55" s="113"/>
      <c r="EAL55" s="113"/>
      <c r="EAM55" s="113"/>
      <c r="EAN55" s="113"/>
      <c r="EAO55" s="113"/>
      <c r="EAP55" s="113"/>
      <c r="EAQ55" s="113"/>
      <c r="EAR55" s="113"/>
      <c r="EAS55" s="113"/>
      <c r="EAT55" s="113"/>
      <c r="EAU55" s="113"/>
      <c r="EAV55" s="113"/>
      <c r="EAW55" s="113"/>
      <c r="EAX55" s="113"/>
      <c r="EAY55" s="113"/>
      <c r="EAZ55" s="113"/>
      <c r="EBA55" s="113"/>
      <c r="EBB55" s="113"/>
      <c r="EBC55" s="113"/>
      <c r="EBD55" s="113"/>
      <c r="EBE55" s="113"/>
      <c r="EBF55" s="113"/>
      <c r="EBG55" s="113"/>
      <c r="EBH55" s="113"/>
      <c r="EBI55" s="113"/>
      <c r="EBJ55" s="113"/>
      <c r="EBK55" s="113"/>
      <c r="EBL55" s="113"/>
      <c r="EBM55" s="113"/>
      <c r="EBN55" s="113"/>
      <c r="EBO55" s="113"/>
      <c r="EBP55" s="113"/>
      <c r="EBQ55" s="113"/>
      <c r="EBR55" s="113"/>
      <c r="EBS55" s="113"/>
      <c r="EBT55" s="113"/>
      <c r="EBU55" s="113"/>
      <c r="EBV55" s="113"/>
      <c r="EBW55" s="113"/>
      <c r="EBX55" s="113"/>
      <c r="EBY55" s="113"/>
      <c r="EBZ55" s="113"/>
      <c r="ECA55" s="113"/>
      <c r="ECB55" s="113"/>
      <c r="ECC55" s="113"/>
      <c r="ECD55" s="113"/>
      <c r="ECE55" s="113"/>
      <c r="ECF55" s="113"/>
      <c r="ECG55" s="113"/>
      <c r="ECH55" s="113"/>
      <c r="ECI55" s="113"/>
      <c r="ECJ55" s="113"/>
      <c r="ECK55" s="113"/>
      <c r="ECL55" s="113"/>
      <c r="ECM55" s="113"/>
      <c r="ECN55" s="113"/>
      <c r="ECO55" s="113"/>
      <c r="ECP55" s="113"/>
      <c r="ECQ55" s="113"/>
      <c r="ECR55" s="113"/>
      <c r="ECS55" s="113"/>
      <c r="ECT55" s="113"/>
      <c r="ECU55" s="113"/>
      <c r="ECV55" s="113"/>
      <c r="ECW55" s="113"/>
      <c r="ECX55" s="113"/>
      <c r="ECY55" s="113"/>
      <c r="ECZ55" s="113"/>
      <c r="EDA55" s="113"/>
      <c r="EDB55" s="113"/>
      <c r="EDC55" s="113"/>
      <c r="EDD55" s="113"/>
      <c r="EDE55" s="113"/>
      <c r="EDF55" s="113"/>
      <c r="EDG55" s="113"/>
      <c r="EDH55" s="113"/>
      <c r="EDI55" s="113"/>
      <c r="EDJ55" s="113"/>
      <c r="EDK55" s="113"/>
      <c r="EDL55" s="113"/>
      <c r="EDM55" s="113"/>
      <c r="EDN55" s="113"/>
      <c r="EDO55" s="113"/>
      <c r="EDP55" s="113"/>
      <c r="EDQ55" s="113"/>
      <c r="EDR55" s="113"/>
      <c r="EDS55" s="113"/>
      <c r="EDT55" s="113"/>
      <c r="EDU55" s="113"/>
      <c r="EDV55" s="113"/>
      <c r="EDW55" s="113"/>
      <c r="EDX55" s="113"/>
      <c r="EDY55" s="113"/>
      <c r="EDZ55" s="113"/>
      <c r="EEA55" s="113"/>
      <c r="EEB55" s="113"/>
      <c r="EEC55" s="113"/>
      <c r="EED55" s="113"/>
      <c r="EEE55" s="113"/>
      <c r="EEF55" s="113"/>
      <c r="EEG55" s="113"/>
      <c r="EEH55" s="113"/>
      <c r="EEI55" s="113"/>
      <c r="EEJ55" s="113"/>
      <c r="EEK55" s="113"/>
      <c r="EEL55" s="113"/>
      <c r="EEM55" s="113"/>
      <c r="EEN55" s="113"/>
      <c r="EEO55" s="113"/>
      <c r="EEP55" s="113"/>
      <c r="EEQ55" s="113"/>
      <c r="EER55" s="113"/>
      <c r="EES55" s="113"/>
      <c r="EET55" s="113"/>
      <c r="EEU55" s="113"/>
      <c r="EEV55" s="113"/>
      <c r="EEW55" s="113"/>
      <c r="EEX55" s="113"/>
      <c r="EEY55" s="113"/>
      <c r="EEZ55" s="113"/>
      <c r="EFA55" s="113"/>
      <c r="EFB55" s="113"/>
      <c r="EFC55" s="113"/>
      <c r="EFD55" s="113"/>
      <c r="EFE55" s="113"/>
      <c r="EFF55" s="113"/>
      <c r="EFG55" s="113"/>
      <c r="EFH55" s="113"/>
      <c r="EFI55" s="113"/>
      <c r="EFJ55" s="113"/>
      <c r="EFK55" s="113"/>
      <c r="EFL55" s="113"/>
      <c r="EFM55" s="113"/>
      <c r="EFN55" s="113"/>
      <c r="EFO55" s="113"/>
      <c r="EFP55" s="113"/>
      <c r="EFQ55" s="113"/>
      <c r="EFR55" s="113"/>
      <c r="EFS55" s="113"/>
      <c r="EFT55" s="113"/>
      <c r="EFU55" s="113"/>
      <c r="EFV55" s="113"/>
      <c r="EFW55" s="113"/>
      <c r="EFX55" s="113"/>
      <c r="EFY55" s="113"/>
      <c r="EFZ55" s="113"/>
      <c r="EGA55" s="113"/>
      <c r="EGB55" s="113"/>
      <c r="EGC55" s="113"/>
      <c r="EGD55" s="113"/>
      <c r="EGE55" s="113"/>
      <c r="EGF55" s="113"/>
      <c r="EGG55" s="113"/>
      <c r="EGH55" s="113"/>
      <c r="EGI55" s="113"/>
      <c r="EGJ55" s="113"/>
      <c r="EGK55" s="113"/>
      <c r="EGL55" s="113"/>
      <c r="EGM55" s="113"/>
      <c r="EGN55" s="113"/>
      <c r="EGO55" s="113"/>
      <c r="EGP55" s="113"/>
      <c r="EGQ55" s="113"/>
      <c r="EGR55" s="113"/>
      <c r="EGS55" s="113"/>
      <c r="EGT55" s="113"/>
      <c r="EGU55" s="113"/>
      <c r="EGV55" s="113"/>
      <c r="EGW55" s="113"/>
      <c r="EGX55" s="113"/>
      <c r="EGY55" s="113"/>
      <c r="EGZ55" s="113"/>
      <c r="EHA55" s="113"/>
      <c r="EHB55" s="113"/>
      <c r="EHC55" s="113"/>
      <c r="EHD55" s="113"/>
      <c r="EHE55" s="113"/>
      <c r="EHF55" s="113"/>
      <c r="EHG55" s="113"/>
      <c r="EHH55" s="113"/>
      <c r="EHI55" s="113"/>
      <c r="EHJ55" s="113"/>
      <c r="EHK55" s="113"/>
      <c r="EHL55" s="113"/>
      <c r="EHM55" s="113"/>
      <c r="EHN55" s="113"/>
      <c r="EHO55" s="113"/>
      <c r="EHP55" s="113"/>
      <c r="EHQ55" s="113"/>
      <c r="EHR55" s="113"/>
      <c r="EHS55" s="113"/>
      <c r="EHT55" s="113"/>
      <c r="EHU55" s="113"/>
      <c r="EHV55" s="113"/>
      <c r="EHW55" s="113"/>
      <c r="EHX55" s="113"/>
      <c r="EHY55" s="113"/>
      <c r="EHZ55" s="113"/>
      <c r="EIA55" s="113"/>
      <c r="EIB55" s="113"/>
      <c r="EIC55" s="113"/>
      <c r="EID55" s="113"/>
      <c r="EIE55" s="113"/>
      <c r="EIF55" s="113"/>
      <c r="EIG55" s="113"/>
      <c r="EIH55" s="113"/>
      <c r="EII55" s="113"/>
      <c r="EIJ55" s="113"/>
      <c r="EIK55" s="113"/>
      <c r="EIL55" s="113"/>
      <c r="EIM55" s="113"/>
      <c r="EIN55" s="113"/>
      <c r="EIO55" s="113"/>
      <c r="EIP55" s="113"/>
      <c r="EIQ55" s="113"/>
      <c r="EIR55" s="113"/>
      <c r="EIS55" s="113"/>
      <c r="EIT55" s="113"/>
      <c r="EIU55" s="113"/>
      <c r="EIV55" s="113"/>
      <c r="EIW55" s="113"/>
      <c r="EIX55" s="113"/>
      <c r="EIY55" s="113"/>
      <c r="EIZ55" s="113"/>
      <c r="EJA55" s="113"/>
      <c r="EJB55" s="113"/>
      <c r="EJC55" s="113"/>
      <c r="EJD55" s="113"/>
      <c r="EJE55" s="113"/>
      <c r="EJF55" s="113"/>
      <c r="EJG55" s="113"/>
      <c r="EJH55" s="113"/>
      <c r="EJI55" s="113"/>
      <c r="EJJ55" s="113"/>
      <c r="EJK55" s="113"/>
      <c r="EJL55" s="113"/>
      <c r="EJM55" s="113"/>
      <c r="EJN55" s="113"/>
      <c r="EJO55" s="113"/>
      <c r="EJP55" s="113"/>
      <c r="EJQ55" s="113"/>
      <c r="EJR55" s="113"/>
      <c r="EJS55" s="113"/>
      <c r="EJT55" s="113"/>
      <c r="EJU55" s="113"/>
      <c r="EJV55" s="113"/>
      <c r="EJW55" s="113"/>
      <c r="EJX55" s="113"/>
      <c r="EJY55" s="113"/>
      <c r="EJZ55" s="113"/>
      <c r="EKA55" s="113"/>
      <c r="EKB55" s="113"/>
      <c r="EKC55" s="113"/>
      <c r="EKD55" s="113"/>
      <c r="EKE55" s="113"/>
      <c r="EKF55" s="113"/>
      <c r="EKG55" s="113"/>
      <c r="EKH55" s="113"/>
      <c r="EKI55" s="113"/>
      <c r="EKJ55" s="113"/>
      <c r="EKK55" s="113"/>
      <c r="EKL55" s="113"/>
      <c r="EKM55" s="113"/>
      <c r="EKN55" s="113"/>
      <c r="EKO55" s="113"/>
      <c r="EKP55" s="113"/>
      <c r="EKQ55" s="113"/>
      <c r="EKR55" s="113"/>
      <c r="EKS55" s="113"/>
      <c r="EKT55" s="113"/>
      <c r="EKU55" s="113"/>
      <c r="EKV55" s="113"/>
      <c r="EKW55" s="113"/>
      <c r="EKX55" s="113"/>
      <c r="EKY55" s="113"/>
      <c r="EKZ55" s="113"/>
      <c r="ELA55" s="113"/>
      <c r="ELB55" s="113"/>
      <c r="ELC55" s="113"/>
      <c r="ELD55" s="113"/>
      <c r="ELE55" s="113"/>
      <c r="ELF55" s="113"/>
      <c r="ELG55" s="113"/>
      <c r="ELH55" s="113"/>
      <c r="ELI55" s="113"/>
      <c r="ELJ55" s="113"/>
      <c r="ELK55" s="113"/>
      <c r="ELL55" s="113"/>
      <c r="ELM55" s="113"/>
      <c r="ELN55" s="113"/>
      <c r="ELO55" s="113"/>
      <c r="ELP55" s="113"/>
      <c r="ELQ55" s="113"/>
      <c r="ELR55" s="113"/>
      <c r="ELS55" s="113"/>
      <c r="ELT55" s="113"/>
      <c r="ELU55" s="113"/>
      <c r="ELV55" s="113"/>
      <c r="ELW55" s="113"/>
      <c r="ELX55" s="113"/>
      <c r="ELY55" s="113"/>
      <c r="ELZ55" s="113"/>
      <c r="EMA55" s="113"/>
      <c r="EMB55" s="113"/>
      <c r="EMC55" s="113"/>
      <c r="EMD55" s="113"/>
      <c r="EME55" s="113"/>
      <c r="EMF55" s="113"/>
      <c r="EMG55" s="113"/>
      <c r="EMH55" s="113"/>
      <c r="EMI55" s="113"/>
      <c r="EMJ55" s="113"/>
      <c r="EMK55" s="113"/>
      <c r="EML55" s="113"/>
      <c r="EMM55" s="113"/>
      <c r="EMN55" s="113"/>
      <c r="EMO55" s="113"/>
      <c r="EMP55" s="113"/>
      <c r="EMQ55" s="113"/>
      <c r="EMR55" s="113"/>
      <c r="EMS55" s="113"/>
      <c r="EMT55" s="113"/>
      <c r="EMU55" s="113"/>
      <c r="EMV55" s="113"/>
      <c r="EMW55" s="113"/>
      <c r="EMX55" s="113"/>
      <c r="EMY55" s="113"/>
      <c r="EMZ55" s="113"/>
      <c r="ENA55" s="113"/>
      <c r="ENB55" s="113"/>
      <c r="ENC55" s="113"/>
      <c r="END55" s="113"/>
      <c r="ENE55" s="113"/>
      <c r="ENF55" s="113"/>
      <c r="ENG55" s="113"/>
      <c r="ENH55" s="113"/>
      <c r="ENI55" s="113"/>
      <c r="ENJ55" s="113"/>
      <c r="ENK55" s="113"/>
      <c r="ENL55" s="113"/>
      <c r="ENM55" s="113"/>
      <c r="ENN55" s="113"/>
      <c r="ENO55" s="113"/>
      <c r="ENP55" s="113"/>
      <c r="ENQ55" s="113"/>
      <c r="ENR55" s="113"/>
      <c r="ENS55" s="113"/>
      <c r="ENT55" s="113"/>
      <c r="ENU55" s="113"/>
      <c r="ENV55" s="113"/>
      <c r="ENW55" s="113"/>
      <c r="ENX55" s="113"/>
      <c r="ENY55" s="113"/>
      <c r="ENZ55" s="113"/>
      <c r="EOA55" s="113"/>
      <c r="EOB55" s="113"/>
      <c r="EOC55" s="113"/>
      <c r="EOD55" s="113"/>
      <c r="EOE55" s="113"/>
      <c r="EOF55" s="113"/>
      <c r="EOG55" s="113"/>
      <c r="EOH55" s="113"/>
      <c r="EOI55" s="113"/>
      <c r="EOJ55" s="113"/>
      <c r="EOK55" s="113"/>
      <c r="EOL55" s="113"/>
      <c r="EOM55" s="113"/>
      <c r="EON55" s="113"/>
      <c r="EOO55" s="113"/>
      <c r="EOP55" s="113"/>
      <c r="EOQ55" s="113"/>
      <c r="EOR55" s="113"/>
      <c r="EOS55" s="113"/>
      <c r="EOT55" s="113"/>
      <c r="EOU55" s="113"/>
      <c r="EOV55" s="113"/>
      <c r="EOW55" s="113"/>
      <c r="EOX55" s="113"/>
      <c r="EOY55" s="113"/>
      <c r="EOZ55" s="113"/>
      <c r="EPA55" s="113"/>
      <c r="EPB55" s="113"/>
      <c r="EPC55" s="113"/>
      <c r="EPD55" s="113"/>
      <c r="EPE55" s="113"/>
      <c r="EPF55" s="113"/>
      <c r="EPG55" s="113"/>
      <c r="EPH55" s="113"/>
      <c r="EPI55" s="113"/>
      <c r="EPJ55" s="113"/>
      <c r="EPK55" s="113"/>
      <c r="EPL55" s="113"/>
      <c r="EPM55" s="113"/>
      <c r="EPN55" s="113"/>
      <c r="EPO55" s="113"/>
      <c r="EPP55" s="113"/>
      <c r="EPQ55" s="113"/>
      <c r="EPR55" s="113"/>
      <c r="EPS55" s="113"/>
      <c r="EPT55" s="113"/>
      <c r="EPU55" s="113"/>
      <c r="EPV55" s="113"/>
      <c r="EPW55" s="113"/>
      <c r="EPX55" s="113"/>
      <c r="EPY55" s="113"/>
      <c r="EPZ55" s="113"/>
      <c r="EQA55" s="113"/>
      <c r="EQB55" s="113"/>
      <c r="EQC55" s="113"/>
      <c r="EQD55" s="113"/>
      <c r="EQE55" s="113"/>
      <c r="EQF55" s="113"/>
      <c r="EQG55" s="113"/>
      <c r="EQH55" s="113"/>
      <c r="EQI55" s="113"/>
      <c r="EQJ55" s="113"/>
      <c r="EQK55" s="113"/>
      <c r="EQL55" s="113"/>
      <c r="EQM55" s="113"/>
      <c r="EQN55" s="113"/>
      <c r="EQO55" s="113"/>
      <c r="EQP55" s="113"/>
      <c r="EQQ55" s="113"/>
      <c r="EQR55" s="113"/>
      <c r="EQS55" s="113"/>
      <c r="EQT55" s="113"/>
      <c r="EQU55" s="113"/>
      <c r="EQV55" s="113"/>
      <c r="EQW55" s="113"/>
      <c r="EQX55" s="113"/>
      <c r="EQY55" s="113"/>
      <c r="EQZ55" s="113"/>
      <c r="ERA55" s="113"/>
      <c r="ERB55" s="113"/>
      <c r="ERC55" s="113"/>
      <c r="ERD55" s="113"/>
      <c r="ERE55" s="113"/>
      <c r="ERF55" s="113"/>
      <c r="ERG55" s="113"/>
      <c r="ERH55" s="113"/>
      <c r="ERI55" s="113"/>
      <c r="ERJ55" s="113"/>
      <c r="ERK55" s="113"/>
      <c r="ERL55" s="113"/>
      <c r="ERM55" s="113"/>
      <c r="ERN55" s="113"/>
      <c r="ERO55" s="113"/>
      <c r="ERP55" s="113"/>
      <c r="ERQ55" s="113"/>
      <c r="ERR55" s="113"/>
      <c r="ERS55" s="113"/>
      <c r="ERT55" s="113"/>
      <c r="ERU55" s="113"/>
      <c r="ERV55" s="113"/>
      <c r="ERW55" s="113"/>
      <c r="ERX55" s="113"/>
      <c r="ERY55" s="113"/>
      <c r="ERZ55" s="113"/>
      <c r="ESA55" s="113"/>
      <c r="ESB55" s="113"/>
      <c r="ESC55" s="113"/>
      <c r="ESD55" s="113"/>
      <c r="ESE55" s="113"/>
      <c r="ESF55" s="113"/>
      <c r="ESG55" s="113"/>
      <c r="ESH55" s="113"/>
      <c r="ESI55" s="113"/>
      <c r="ESJ55" s="113"/>
      <c r="ESK55" s="113"/>
      <c r="ESL55" s="113"/>
      <c r="ESM55" s="113"/>
      <c r="ESN55" s="113"/>
      <c r="ESO55" s="113"/>
      <c r="ESP55" s="113"/>
      <c r="ESQ55" s="113"/>
      <c r="ESR55" s="113"/>
      <c r="ESS55" s="113"/>
      <c r="EST55" s="113"/>
      <c r="ESU55" s="113"/>
      <c r="ESV55" s="113"/>
      <c r="ESW55" s="113"/>
      <c r="ESX55" s="113"/>
      <c r="ESY55" s="113"/>
      <c r="ESZ55" s="113"/>
      <c r="ETA55" s="113"/>
      <c r="ETB55" s="113"/>
      <c r="ETC55" s="113"/>
      <c r="ETD55" s="113"/>
      <c r="ETE55" s="113"/>
      <c r="ETF55" s="113"/>
      <c r="ETG55" s="113"/>
      <c r="ETH55" s="113"/>
      <c r="ETI55" s="113"/>
      <c r="ETJ55" s="113"/>
      <c r="ETK55" s="113"/>
      <c r="ETL55" s="113"/>
      <c r="ETM55" s="113"/>
      <c r="ETN55" s="113"/>
      <c r="ETO55" s="113"/>
      <c r="ETP55" s="113"/>
      <c r="ETQ55" s="113"/>
      <c r="ETR55" s="113"/>
      <c r="ETS55" s="113"/>
      <c r="ETT55" s="113"/>
      <c r="ETU55" s="113"/>
      <c r="ETV55" s="113"/>
      <c r="ETW55" s="113"/>
      <c r="ETX55" s="113"/>
      <c r="ETY55" s="113"/>
      <c r="ETZ55" s="113"/>
      <c r="EUA55" s="113"/>
      <c r="EUB55" s="113"/>
      <c r="EUC55" s="113"/>
      <c r="EUD55" s="113"/>
      <c r="EUE55" s="113"/>
      <c r="EUF55" s="113"/>
      <c r="EUG55" s="113"/>
      <c r="EUH55" s="113"/>
      <c r="EUI55" s="113"/>
      <c r="EUJ55" s="113"/>
      <c r="EUK55" s="113"/>
      <c r="EUL55" s="113"/>
      <c r="EUM55" s="113"/>
      <c r="EUN55" s="113"/>
      <c r="EUO55" s="113"/>
      <c r="EUP55" s="113"/>
      <c r="EUQ55" s="113"/>
      <c r="EUR55" s="113"/>
      <c r="EUS55" s="113"/>
      <c r="EUT55" s="113"/>
      <c r="EUU55" s="113"/>
      <c r="EUV55" s="113"/>
      <c r="EUW55" s="113"/>
      <c r="EUX55" s="113"/>
      <c r="EUY55" s="113"/>
      <c r="EUZ55" s="113"/>
      <c r="EVA55" s="113"/>
      <c r="EVB55" s="113"/>
      <c r="EVC55" s="113"/>
      <c r="EVD55" s="113"/>
      <c r="EVE55" s="113"/>
      <c r="EVF55" s="113"/>
      <c r="EVG55" s="113"/>
      <c r="EVH55" s="113"/>
      <c r="EVI55" s="113"/>
      <c r="EVJ55" s="113"/>
      <c r="EVK55" s="113"/>
      <c r="EVL55" s="113"/>
      <c r="EVM55" s="113"/>
      <c r="EVN55" s="113"/>
      <c r="EVO55" s="113"/>
      <c r="EVP55" s="113"/>
      <c r="EVQ55" s="113"/>
      <c r="EVR55" s="113"/>
      <c r="EVS55" s="113"/>
      <c r="EVT55" s="113"/>
      <c r="EVU55" s="113"/>
      <c r="EVV55" s="113"/>
      <c r="EVW55" s="113"/>
      <c r="EVX55" s="113"/>
      <c r="EVY55" s="113"/>
      <c r="EVZ55" s="113"/>
      <c r="EWA55" s="113"/>
      <c r="EWB55" s="113"/>
      <c r="EWC55" s="113"/>
      <c r="EWD55" s="113"/>
      <c r="EWE55" s="113"/>
      <c r="EWF55" s="113"/>
      <c r="EWG55" s="113"/>
      <c r="EWH55" s="113"/>
      <c r="EWI55" s="113"/>
      <c r="EWJ55" s="113"/>
      <c r="EWK55" s="113"/>
      <c r="EWL55" s="113"/>
      <c r="EWM55" s="113"/>
      <c r="EWN55" s="113"/>
      <c r="EWO55" s="113"/>
      <c r="EWP55" s="113"/>
      <c r="EWQ55" s="113"/>
      <c r="EWR55" s="113"/>
      <c r="EWS55" s="113"/>
      <c r="EWT55" s="113"/>
      <c r="EWU55" s="113"/>
      <c r="EWV55" s="113"/>
      <c r="EWW55" s="113"/>
      <c r="EWX55" s="113"/>
      <c r="EWY55" s="113"/>
      <c r="EWZ55" s="113"/>
      <c r="EXA55" s="113"/>
      <c r="EXB55" s="113"/>
      <c r="EXC55" s="113"/>
      <c r="EXD55" s="113"/>
      <c r="EXE55" s="113"/>
      <c r="EXF55" s="113"/>
      <c r="EXG55" s="113"/>
      <c r="EXH55" s="113"/>
      <c r="EXI55" s="113"/>
      <c r="EXJ55" s="113"/>
      <c r="EXK55" s="113"/>
      <c r="EXL55" s="113"/>
      <c r="EXM55" s="113"/>
      <c r="EXN55" s="113"/>
      <c r="EXO55" s="113"/>
      <c r="EXP55" s="113"/>
      <c r="EXQ55" s="113"/>
      <c r="EXR55" s="113"/>
      <c r="EXS55" s="113"/>
      <c r="EXT55" s="113"/>
      <c r="EXU55" s="113"/>
      <c r="EXV55" s="113"/>
      <c r="EXW55" s="113"/>
      <c r="EXX55" s="113"/>
      <c r="EXY55" s="113"/>
      <c r="EXZ55" s="113"/>
      <c r="EYA55" s="113"/>
      <c r="EYB55" s="113"/>
      <c r="EYC55" s="113"/>
      <c r="EYD55" s="113"/>
      <c r="EYE55" s="113"/>
      <c r="EYF55" s="113"/>
      <c r="EYG55" s="113"/>
      <c r="EYH55" s="113"/>
      <c r="EYI55" s="113"/>
      <c r="EYJ55" s="113"/>
      <c r="EYK55" s="113"/>
      <c r="EYL55" s="113"/>
      <c r="EYM55" s="113"/>
      <c r="EYN55" s="113"/>
      <c r="EYO55" s="113"/>
      <c r="EYP55" s="113"/>
      <c r="EYQ55" s="113"/>
      <c r="EYR55" s="113"/>
      <c r="EYS55" s="113"/>
      <c r="EYT55" s="113"/>
      <c r="EYU55" s="113"/>
      <c r="EYV55" s="113"/>
      <c r="EYW55" s="113"/>
      <c r="EYX55" s="113"/>
      <c r="EYY55" s="113"/>
      <c r="EYZ55" s="113"/>
      <c r="EZA55" s="113"/>
      <c r="EZB55" s="113"/>
      <c r="EZC55" s="113"/>
      <c r="EZD55" s="113"/>
      <c r="EZE55" s="113"/>
      <c r="EZF55" s="113"/>
      <c r="EZG55" s="113"/>
      <c r="EZH55" s="113"/>
      <c r="EZI55" s="113"/>
      <c r="EZJ55" s="113"/>
      <c r="EZK55" s="113"/>
      <c r="EZL55" s="113"/>
      <c r="EZM55" s="113"/>
      <c r="EZN55" s="113"/>
      <c r="EZO55" s="113"/>
      <c r="EZP55" s="113"/>
      <c r="EZQ55" s="113"/>
      <c r="EZR55" s="113"/>
      <c r="EZS55" s="113"/>
      <c r="EZT55" s="113"/>
      <c r="EZU55" s="113"/>
      <c r="EZV55" s="113"/>
      <c r="EZW55" s="113"/>
      <c r="EZX55" s="113"/>
      <c r="EZY55" s="113"/>
      <c r="EZZ55" s="113"/>
      <c r="FAA55" s="113"/>
      <c r="FAB55" s="113"/>
      <c r="FAC55" s="113"/>
      <c r="FAD55" s="113"/>
      <c r="FAE55" s="113"/>
      <c r="FAF55" s="113"/>
      <c r="FAG55" s="113"/>
      <c r="FAH55" s="113"/>
      <c r="FAI55" s="113"/>
      <c r="FAJ55" s="113"/>
      <c r="FAK55" s="113"/>
      <c r="FAL55" s="113"/>
      <c r="FAM55" s="113"/>
      <c r="FAN55" s="113"/>
      <c r="FAO55" s="113"/>
      <c r="FAP55" s="113"/>
      <c r="FAQ55" s="113"/>
      <c r="FAR55" s="113"/>
      <c r="FAS55" s="113"/>
      <c r="FAT55" s="113"/>
      <c r="FAU55" s="113"/>
      <c r="FAV55" s="113"/>
      <c r="FAW55" s="113"/>
      <c r="FAX55" s="113"/>
      <c r="FAY55" s="113"/>
      <c r="FAZ55" s="113"/>
      <c r="FBA55" s="113"/>
      <c r="FBB55" s="113"/>
      <c r="FBC55" s="113"/>
      <c r="FBD55" s="113"/>
      <c r="FBE55" s="113"/>
      <c r="FBF55" s="113"/>
      <c r="FBG55" s="113"/>
      <c r="FBH55" s="113"/>
      <c r="FBI55" s="113"/>
      <c r="FBJ55" s="113"/>
      <c r="FBK55" s="113"/>
      <c r="FBL55" s="113"/>
      <c r="FBM55" s="113"/>
      <c r="FBN55" s="113"/>
      <c r="FBO55" s="113"/>
      <c r="FBP55" s="113"/>
      <c r="FBQ55" s="113"/>
      <c r="FBR55" s="113"/>
      <c r="FBS55" s="113"/>
      <c r="FBT55" s="113"/>
      <c r="FBU55" s="113"/>
      <c r="FBV55" s="113"/>
      <c r="FBW55" s="113"/>
      <c r="FBX55" s="113"/>
      <c r="FBY55" s="113"/>
      <c r="FBZ55" s="113"/>
      <c r="FCA55" s="113"/>
      <c r="FCB55" s="113"/>
      <c r="FCC55" s="113"/>
      <c r="FCD55" s="113"/>
      <c r="FCE55" s="113"/>
      <c r="FCF55" s="113"/>
      <c r="FCG55" s="113"/>
      <c r="FCH55" s="113"/>
      <c r="FCI55" s="113"/>
      <c r="FCJ55" s="113"/>
      <c r="FCK55" s="113"/>
      <c r="FCL55" s="113"/>
      <c r="FCM55" s="113"/>
      <c r="FCN55" s="113"/>
      <c r="FCO55" s="113"/>
      <c r="FCP55" s="113"/>
      <c r="FCQ55" s="113"/>
      <c r="FCR55" s="113"/>
      <c r="FCS55" s="113"/>
      <c r="FCT55" s="113"/>
      <c r="FCU55" s="113"/>
      <c r="FCV55" s="113"/>
      <c r="FCW55" s="113"/>
      <c r="FCX55" s="113"/>
      <c r="FCY55" s="113"/>
      <c r="FCZ55" s="113"/>
      <c r="FDA55" s="113"/>
      <c r="FDB55" s="113"/>
      <c r="FDC55" s="113"/>
      <c r="FDD55" s="113"/>
      <c r="FDE55" s="113"/>
      <c r="FDF55" s="113"/>
      <c r="FDG55" s="113"/>
      <c r="FDH55" s="113"/>
      <c r="FDI55" s="113"/>
      <c r="FDJ55" s="113"/>
      <c r="FDK55" s="113"/>
      <c r="FDL55" s="113"/>
      <c r="FDM55" s="113"/>
      <c r="FDN55" s="113"/>
      <c r="FDO55" s="113"/>
      <c r="FDP55" s="113"/>
      <c r="FDQ55" s="113"/>
      <c r="FDR55" s="113"/>
      <c r="FDS55" s="113"/>
      <c r="FDT55" s="113"/>
      <c r="FDU55" s="113"/>
      <c r="FDV55" s="113"/>
      <c r="FDW55" s="113"/>
      <c r="FDX55" s="113"/>
      <c r="FDY55" s="113"/>
      <c r="FDZ55" s="113"/>
      <c r="FEA55" s="113"/>
      <c r="FEB55" s="113"/>
      <c r="FEC55" s="113"/>
      <c r="FED55" s="113"/>
      <c r="FEE55" s="113"/>
      <c r="FEF55" s="113"/>
      <c r="FEG55" s="113"/>
      <c r="FEH55" s="113"/>
      <c r="FEI55" s="113"/>
      <c r="FEJ55" s="113"/>
      <c r="FEK55" s="113"/>
      <c r="FEL55" s="113"/>
      <c r="FEM55" s="113"/>
      <c r="FEN55" s="113"/>
      <c r="FEO55" s="113"/>
      <c r="FEP55" s="113"/>
      <c r="FEQ55" s="113"/>
      <c r="FER55" s="113"/>
      <c r="FES55" s="113"/>
      <c r="FET55" s="113"/>
      <c r="FEU55" s="113"/>
      <c r="FEV55" s="113"/>
      <c r="FEW55" s="113"/>
      <c r="FEX55" s="113"/>
      <c r="FEY55" s="113"/>
      <c r="FEZ55" s="113"/>
      <c r="FFA55" s="113"/>
      <c r="FFB55" s="113"/>
      <c r="FFC55" s="113"/>
      <c r="FFD55" s="113"/>
      <c r="FFE55" s="113"/>
      <c r="FFF55" s="113"/>
      <c r="FFG55" s="113"/>
      <c r="FFH55" s="113"/>
      <c r="FFI55" s="113"/>
      <c r="FFJ55" s="113"/>
      <c r="FFK55" s="113"/>
      <c r="FFL55" s="113"/>
      <c r="FFM55" s="113"/>
      <c r="FFN55" s="113"/>
      <c r="FFO55" s="113"/>
      <c r="FFP55" s="113"/>
      <c r="FFQ55" s="113"/>
      <c r="FFR55" s="113"/>
      <c r="FFS55" s="113"/>
      <c r="FFT55" s="113"/>
      <c r="FFU55" s="113"/>
      <c r="FFV55" s="113"/>
      <c r="FFW55" s="113"/>
      <c r="FFX55" s="113"/>
      <c r="FFY55" s="113"/>
      <c r="FFZ55" s="113"/>
      <c r="FGA55" s="113"/>
      <c r="FGB55" s="113"/>
      <c r="FGC55" s="113"/>
      <c r="FGD55" s="113"/>
      <c r="FGE55" s="113"/>
      <c r="FGF55" s="113"/>
      <c r="FGG55" s="113"/>
      <c r="FGH55" s="113"/>
      <c r="FGI55" s="113"/>
      <c r="FGJ55" s="113"/>
      <c r="FGK55" s="113"/>
      <c r="FGL55" s="113"/>
      <c r="FGM55" s="113"/>
      <c r="FGN55" s="113"/>
      <c r="FGO55" s="113"/>
      <c r="FGP55" s="113"/>
      <c r="FGQ55" s="113"/>
      <c r="FGR55" s="113"/>
      <c r="FGS55" s="113"/>
      <c r="FGT55" s="113"/>
      <c r="FGU55" s="113"/>
      <c r="FGV55" s="113"/>
      <c r="FGW55" s="113"/>
      <c r="FGX55" s="113"/>
      <c r="FGY55" s="113"/>
      <c r="FGZ55" s="113"/>
      <c r="FHA55" s="113"/>
      <c r="FHB55" s="113"/>
      <c r="FHC55" s="113"/>
      <c r="FHD55" s="113"/>
      <c r="FHE55" s="113"/>
      <c r="FHF55" s="113"/>
      <c r="FHG55" s="113"/>
      <c r="FHH55" s="113"/>
      <c r="FHI55" s="113"/>
      <c r="FHJ55" s="113"/>
      <c r="FHK55" s="113"/>
      <c r="FHL55" s="113"/>
      <c r="FHM55" s="113"/>
      <c r="FHN55" s="113"/>
      <c r="FHO55" s="113"/>
      <c r="FHP55" s="113"/>
      <c r="FHQ55" s="113"/>
      <c r="FHR55" s="113"/>
      <c r="FHS55" s="113"/>
      <c r="FHT55" s="113"/>
      <c r="FHU55" s="113"/>
      <c r="FHV55" s="113"/>
      <c r="FHW55" s="113"/>
      <c r="FHX55" s="113"/>
      <c r="FHY55" s="113"/>
      <c r="FHZ55" s="113"/>
      <c r="FIA55" s="113"/>
      <c r="FIB55" s="113"/>
      <c r="FIC55" s="113"/>
      <c r="FID55" s="113"/>
      <c r="FIE55" s="113"/>
      <c r="FIF55" s="113"/>
      <c r="FIG55" s="113"/>
      <c r="FIH55" s="113"/>
      <c r="FII55" s="113"/>
      <c r="FIJ55" s="113"/>
      <c r="FIK55" s="113"/>
      <c r="FIL55" s="113"/>
      <c r="FIM55" s="113"/>
      <c r="FIN55" s="113"/>
      <c r="FIO55" s="113"/>
      <c r="FIP55" s="113"/>
      <c r="FIQ55" s="113"/>
      <c r="FIR55" s="113"/>
      <c r="FIS55" s="113"/>
      <c r="FIT55" s="113"/>
      <c r="FIU55" s="113"/>
      <c r="FIV55" s="113"/>
      <c r="FIW55" s="113"/>
      <c r="FIX55" s="113"/>
      <c r="FIY55" s="113"/>
      <c r="FIZ55" s="113"/>
      <c r="FJA55" s="113"/>
      <c r="FJB55" s="113"/>
      <c r="FJC55" s="113"/>
      <c r="FJD55" s="113"/>
      <c r="FJE55" s="113"/>
      <c r="FJF55" s="113"/>
      <c r="FJG55" s="113"/>
      <c r="FJH55" s="113"/>
      <c r="FJI55" s="113"/>
      <c r="FJJ55" s="113"/>
      <c r="FJK55" s="113"/>
      <c r="FJL55" s="113"/>
      <c r="FJM55" s="113"/>
      <c r="FJN55" s="113"/>
      <c r="FJO55" s="113"/>
      <c r="FJP55" s="113"/>
      <c r="FJQ55" s="113"/>
      <c r="FJR55" s="113"/>
      <c r="FJS55" s="113"/>
      <c r="FJT55" s="113"/>
      <c r="FJU55" s="113"/>
      <c r="FJV55" s="113"/>
      <c r="FJW55" s="113"/>
      <c r="FJX55" s="113"/>
      <c r="FJY55" s="113"/>
      <c r="FJZ55" s="113"/>
      <c r="FKA55" s="113"/>
      <c r="FKB55" s="113"/>
      <c r="FKC55" s="113"/>
      <c r="FKD55" s="113"/>
      <c r="FKE55" s="113"/>
      <c r="FKF55" s="113"/>
      <c r="FKG55" s="113"/>
      <c r="FKH55" s="113"/>
      <c r="FKI55" s="113"/>
      <c r="FKJ55" s="113"/>
      <c r="FKK55" s="113"/>
      <c r="FKL55" s="113"/>
      <c r="FKM55" s="113"/>
      <c r="FKN55" s="113"/>
      <c r="FKO55" s="113"/>
      <c r="FKP55" s="113"/>
      <c r="FKQ55" s="113"/>
      <c r="FKR55" s="113"/>
      <c r="FKS55" s="113"/>
      <c r="FKT55" s="113"/>
      <c r="FKU55" s="113"/>
      <c r="FKV55" s="113"/>
      <c r="FKW55" s="113"/>
      <c r="FKX55" s="113"/>
      <c r="FKY55" s="113"/>
      <c r="FKZ55" s="113"/>
      <c r="FLA55" s="113"/>
      <c r="FLB55" s="113"/>
      <c r="FLC55" s="113"/>
      <c r="FLD55" s="113"/>
      <c r="FLE55" s="113"/>
      <c r="FLF55" s="113"/>
      <c r="FLG55" s="113"/>
      <c r="FLH55" s="113"/>
      <c r="FLI55" s="113"/>
      <c r="FLJ55" s="113"/>
      <c r="FLK55" s="113"/>
      <c r="FLL55" s="113"/>
      <c r="FLM55" s="113"/>
      <c r="FLN55" s="113"/>
      <c r="FLO55" s="113"/>
      <c r="FLP55" s="113"/>
      <c r="FLQ55" s="113"/>
      <c r="FLR55" s="113"/>
      <c r="FLS55" s="113"/>
      <c r="FLT55" s="113"/>
      <c r="FLU55" s="113"/>
      <c r="FLV55" s="113"/>
      <c r="FLW55" s="113"/>
      <c r="FLX55" s="113"/>
      <c r="FLY55" s="113"/>
      <c r="FLZ55" s="113"/>
      <c r="FMA55" s="113"/>
      <c r="FMB55" s="113"/>
      <c r="FMC55" s="113"/>
      <c r="FMD55" s="113"/>
      <c r="FME55" s="113"/>
      <c r="FMF55" s="113"/>
      <c r="FMG55" s="113"/>
      <c r="FMH55" s="113"/>
      <c r="FMI55" s="113"/>
      <c r="FMJ55" s="113"/>
      <c r="FMK55" s="113"/>
      <c r="FML55" s="113"/>
      <c r="FMM55" s="113"/>
      <c r="FMN55" s="113"/>
      <c r="FMO55" s="113"/>
      <c r="FMP55" s="113"/>
      <c r="FMQ55" s="113"/>
      <c r="FMR55" s="113"/>
      <c r="FMS55" s="113"/>
      <c r="FMT55" s="113"/>
      <c r="FMU55" s="113"/>
      <c r="FMV55" s="113"/>
      <c r="FMW55" s="113"/>
      <c r="FMX55" s="113"/>
      <c r="FMY55" s="113"/>
      <c r="FMZ55" s="113"/>
      <c r="FNA55" s="113"/>
      <c r="FNB55" s="113"/>
      <c r="FNC55" s="113"/>
      <c r="FND55" s="113"/>
      <c r="FNE55" s="113"/>
      <c r="FNF55" s="113"/>
      <c r="FNG55" s="113"/>
      <c r="FNH55" s="113"/>
      <c r="FNI55" s="113"/>
      <c r="FNJ55" s="113"/>
      <c r="FNK55" s="113"/>
      <c r="FNL55" s="113"/>
      <c r="FNM55" s="113"/>
      <c r="FNN55" s="113"/>
      <c r="FNO55" s="113"/>
      <c r="FNP55" s="113"/>
      <c r="FNQ55" s="113"/>
      <c r="FNR55" s="113"/>
      <c r="FNS55" s="113"/>
      <c r="FNT55" s="113"/>
      <c r="FNU55" s="113"/>
      <c r="FNV55" s="113"/>
      <c r="FNW55" s="113"/>
      <c r="FNX55" s="113"/>
      <c r="FNY55" s="113"/>
      <c r="FNZ55" s="113"/>
      <c r="FOA55" s="113"/>
      <c r="FOB55" s="113"/>
      <c r="FOC55" s="113"/>
      <c r="FOD55" s="113"/>
      <c r="FOE55" s="113"/>
      <c r="FOF55" s="113"/>
      <c r="FOG55" s="113"/>
      <c r="FOH55" s="113"/>
      <c r="FOI55" s="113"/>
      <c r="FOJ55" s="113"/>
      <c r="FOK55" s="113"/>
      <c r="FOL55" s="113"/>
      <c r="FOM55" s="113"/>
      <c r="FON55" s="113"/>
      <c r="FOO55" s="113"/>
      <c r="FOP55" s="113"/>
      <c r="FOQ55" s="113"/>
      <c r="FOR55" s="113"/>
      <c r="FOS55" s="113"/>
      <c r="FOT55" s="113"/>
      <c r="FOU55" s="113"/>
      <c r="FOV55" s="113"/>
      <c r="FOW55" s="113"/>
      <c r="FOX55" s="113"/>
      <c r="FOY55" s="113"/>
      <c r="FOZ55" s="113"/>
      <c r="FPA55" s="113"/>
      <c r="FPB55" s="113"/>
      <c r="FPC55" s="113"/>
      <c r="FPD55" s="113"/>
      <c r="FPE55" s="113"/>
      <c r="FPF55" s="113"/>
      <c r="FPG55" s="113"/>
      <c r="FPH55" s="113"/>
      <c r="FPI55" s="113"/>
      <c r="FPJ55" s="113"/>
      <c r="FPK55" s="113"/>
      <c r="FPL55" s="113"/>
      <c r="FPM55" s="113"/>
      <c r="FPN55" s="113"/>
      <c r="FPO55" s="113"/>
      <c r="FPP55" s="113"/>
      <c r="FPQ55" s="113"/>
      <c r="FPR55" s="113"/>
      <c r="FPS55" s="113"/>
      <c r="FPT55" s="113"/>
      <c r="FPU55" s="113"/>
      <c r="FPV55" s="113"/>
      <c r="FPW55" s="113"/>
      <c r="FPX55" s="113"/>
      <c r="FPY55" s="113"/>
      <c r="FPZ55" s="113"/>
      <c r="FQA55" s="113"/>
      <c r="FQB55" s="113"/>
      <c r="FQC55" s="113"/>
      <c r="FQD55" s="113"/>
      <c r="FQE55" s="113"/>
      <c r="FQF55" s="113"/>
      <c r="FQG55" s="113"/>
      <c r="FQH55" s="113"/>
      <c r="FQI55" s="113"/>
      <c r="FQJ55" s="113"/>
      <c r="FQK55" s="113"/>
      <c r="FQL55" s="113"/>
      <c r="FQM55" s="113"/>
      <c r="FQN55" s="113"/>
      <c r="FQO55" s="113"/>
      <c r="FQP55" s="113"/>
      <c r="FQQ55" s="113"/>
      <c r="FQR55" s="113"/>
      <c r="FQS55" s="113"/>
      <c r="FQT55" s="113"/>
      <c r="FQU55" s="113"/>
      <c r="FQV55" s="113"/>
      <c r="FQW55" s="113"/>
      <c r="FQX55" s="113"/>
      <c r="FQY55" s="113"/>
      <c r="FQZ55" s="113"/>
      <c r="FRA55" s="113"/>
      <c r="FRB55" s="113"/>
      <c r="FRC55" s="113"/>
      <c r="FRD55" s="113"/>
      <c r="FRE55" s="113"/>
      <c r="FRF55" s="113"/>
      <c r="FRG55" s="113"/>
      <c r="FRH55" s="113"/>
      <c r="FRI55" s="113"/>
      <c r="FRJ55" s="113"/>
      <c r="FRK55" s="113"/>
      <c r="FRL55" s="113"/>
      <c r="FRM55" s="113"/>
      <c r="FRN55" s="113"/>
      <c r="FRO55" s="113"/>
      <c r="FRP55" s="113"/>
      <c r="FRQ55" s="113"/>
      <c r="FRR55" s="113"/>
      <c r="FRS55" s="113"/>
      <c r="FRT55" s="113"/>
      <c r="FRU55" s="113"/>
      <c r="FRV55" s="113"/>
      <c r="FRW55" s="113"/>
      <c r="FRX55" s="113"/>
      <c r="FRY55" s="113"/>
      <c r="FRZ55" s="113"/>
      <c r="FSA55" s="113"/>
      <c r="FSB55" s="113"/>
      <c r="FSC55" s="113"/>
      <c r="FSD55" s="113"/>
      <c r="FSE55" s="113"/>
      <c r="FSF55" s="113"/>
      <c r="FSG55" s="113"/>
      <c r="FSH55" s="113"/>
      <c r="FSI55" s="113"/>
      <c r="FSJ55" s="113"/>
      <c r="FSK55" s="113"/>
      <c r="FSL55" s="113"/>
      <c r="FSM55" s="113"/>
      <c r="FSN55" s="113"/>
      <c r="FSO55" s="113"/>
      <c r="FSP55" s="113"/>
      <c r="FSQ55" s="113"/>
      <c r="FSR55" s="113"/>
      <c r="FSS55" s="113"/>
      <c r="FST55" s="113"/>
      <c r="FSU55" s="113"/>
      <c r="FSV55" s="113"/>
      <c r="FSW55" s="113"/>
      <c r="FSX55" s="113"/>
      <c r="FSY55" s="113"/>
      <c r="FSZ55" s="113"/>
      <c r="FTA55" s="113"/>
      <c r="FTB55" s="113"/>
      <c r="FTC55" s="113"/>
      <c r="FTD55" s="113"/>
      <c r="FTE55" s="113"/>
      <c r="FTF55" s="113"/>
      <c r="FTG55" s="113"/>
      <c r="FTH55" s="113"/>
      <c r="FTI55" s="113"/>
      <c r="FTJ55" s="113"/>
      <c r="FTK55" s="113"/>
      <c r="FTL55" s="113"/>
      <c r="FTM55" s="113"/>
      <c r="FTN55" s="113"/>
      <c r="FTO55" s="113"/>
      <c r="FTP55" s="113"/>
      <c r="FTQ55" s="113"/>
      <c r="FTR55" s="113"/>
      <c r="FTS55" s="113"/>
      <c r="FTT55" s="113"/>
      <c r="FTU55" s="113"/>
      <c r="FTV55" s="113"/>
      <c r="FTW55" s="113"/>
      <c r="FTX55" s="113"/>
      <c r="FTY55" s="113"/>
      <c r="FTZ55" s="113"/>
      <c r="FUA55" s="113"/>
      <c r="FUB55" s="113"/>
      <c r="FUC55" s="113"/>
      <c r="FUD55" s="113"/>
      <c r="FUE55" s="113"/>
      <c r="FUF55" s="113"/>
      <c r="FUG55" s="113"/>
      <c r="FUH55" s="113"/>
      <c r="FUI55" s="113"/>
      <c r="FUJ55" s="113"/>
      <c r="FUK55" s="113"/>
      <c r="FUL55" s="113"/>
      <c r="FUM55" s="113"/>
      <c r="FUN55" s="113"/>
      <c r="FUO55" s="113"/>
      <c r="FUP55" s="113"/>
      <c r="FUQ55" s="113"/>
      <c r="FUR55" s="113"/>
      <c r="FUS55" s="113"/>
      <c r="FUT55" s="113"/>
      <c r="FUU55" s="113"/>
      <c r="FUV55" s="113"/>
      <c r="FUW55" s="113"/>
      <c r="FUX55" s="113"/>
      <c r="FUY55" s="113"/>
      <c r="FUZ55" s="113"/>
      <c r="FVA55" s="113"/>
      <c r="FVB55" s="113"/>
      <c r="FVC55" s="113"/>
      <c r="FVD55" s="113"/>
      <c r="FVE55" s="113"/>
      <c r="FVF55" s="113"/>
      <c r="FVG55" s="113"/>
      <c r="FVH55" s="113"/>
      <c r="FVI55" s="113"/>
      <c r="FVJ55" s="113"/>
      <c r="FVK55" s="113"/>
      <c r="FVL55" s="113"/>
      <c r="FVM55" s="113"/>
      <c r="FVN55" s="113"/>
      <c r="FVO55" s="113"/>
      <c r="FVP55" s="113"/>
      <c r="FVQ55" s="113"/>
      <c r="FVR55" s="113"/>
      <c r="FVS55" s="113"/>
      <c r="FVT55" s="113"/>
      <c r="FVU55" s="113"/>
      <c r="FVV55" s="113"/>
      <c r="FVW55" s="113"/>
      <c r="FVX55" s="113"/>
      <c r="FVY55" s="113"/>
      <c r="FVZ55" s="113"/>
      <c r="FWA55" s="113"/>
      <c r="FWB55" s="113"/>
      <c r="FWC55" s="113"/>
      <c r="FWD55" s="113"/>
      <c r="FWE55" s="113"/>
      <c r="FWF55" s="113"/>
      <c r="FWG55" s="113"/>
      <c r="FWH55" s="113"/>
      <c r="FWI55" s="113"/>
      <c r="FWJ55" s="113"/>
      <c r="FWK55" s="113"/>
      <c r="FWL55" s="113"/>
      <c r="FWM55" s="113"/>
      <c r="FWN55" s="113"/>
      <c r="FWO55" s="113"/>
      <c r="FWP55" s="113"/>
      <c r="FWQ55" s="113"/>
      <c r="FWR55" s="113"/>
      <c r="FWS55" s="113"/>
      <c r="FWT55" s="113"/>
      <c r="FWU55" s="113"/>
      <c r="FWV55" s="113"/>
      <c r="FWW55" s="113"/>
      <c r="FWX55" s="113"/>
      <c r="FWY55" s="113"/>
      <c r="FWZ55" s="113"/>
      <c r="FXA55" s="113"/>
      <c r="FXB55" s="113"/>
      <c r="FXC55" s="113"/>
      <c r="FXD55" s="113"/>
      <c r="FXE55" s="113"/>
      <c r="FXF55" s="113"/>
      <c r="FXG55" s="113"/>
      <c r="FXH55" s="113"/>
      <c r="FXI55" s="113"/>
      <c r="FXJ55" s="113"/>
      <c r="FXK55" s="113"/>
      <c r="FXL55" s="113"/>
      <c r="FXM55" s="113"/>
      <c r="FXN55" s="113"/>
      <c r="FXO55" s="113"/>
      <c r="FXP55" s="113"/>
      <c r="FXQ55" s="113"/>
      <c r="FXR55" s="113"/>
      <c r="FXS55" s="113"/>
      <c r="FXT55" s="113"/>
      <c r="FXU55" s="113"/>
      <c r="FXV55" s="113"/>
      <c r="FXW55" s="113"/>
      <c r="FXX55" s="113"/>
      <c r="FXY55" s="113"/>
      <c r="FXZ55" s="113"/>
      <c r="FYA55" s="113"/>
      <c r="FYB55" s="113"/>
      <c r="FYC55" s="113"/>
      <c r="FYD55" s="113"/>
      <c r="FYE55" s="113"/>
      <c r="FYF55" s="113"/>
      <c r="FYG55" s="113"/>
      <c r="FYH55" s="113"/>
      <c r="FYI55" s="113"/>
      <c r="FYJ55" s="113"/>
      <c r="FYK55" s="113"/>
      <c r="FYL55" s="113"/>
      <c r="FYM55" s="113"/>
      <c r="FYN55" s="113"/>
      <c r="FYO55" s="113"/>
      <c r="FYP55" s="113"/>
      <c r="FYQ55" s="113"/>
      <c r="FYR55" s="113"/>
      <c r="FYS55" s="113"/>
      <c r="FYT55" s="113"/>
      <c r="FYU55" s="113"/>
      <c r="FYV55" s="113"/>
      <c r="FYW55" s="113"/>
      <c r="FYX55" s="113"/>
      <c r="FYY55" s="113"/>
      <c r="FYZ55" s="113"/>
      <c r="FZA55" s="113"/>
      <c r="FZB55" s="113"/>
      <c r="FZC55" s="113"/>
      <c r="FZD55" s="113"/>
      <c r="FZE55" s="113"/>
      <c r="FZF55" s="113"/>
      <c r="FZG55" s="113"/>
      <c r="FZH55" s="113"/>
      <c r="FZI55" s="113"/>
      <c r="FZJ55" s="113"/>
      <c r="FZK55" s="113"/>
      <c r="FZL55" s="113"/>
      <c r="FZM55" s="113"/>
      <c r="FZN55" s="113"/>
      <c r="FZO55" s="113"/>
      <c r="FZP55" s="113"/>
      <c r="FZQ55" s="113"/>
      <c r="FZR55" s="113"/>
      <c r="FZS55" s="113"/>
      <c r="FZT55" s="113"/>
      <c r="FZU55" s="113"/>
      <c r="FZV55" s="113"/>
      <c r="FZW55" s="113"/>
      <c r="FZX55" s="113"/>
      <c r="FZY55" s="113"/>
      <c r="FZZ55" s="113"/>
      <c r="GAA55" s="113"/>
      <c r="GAB55" s="113"/>
      <c r="GAC55" s="113"/>
      <c r="GAD55" s="113"/>
      <c r="GAE55" s="113"/>
      <c r="GAF55" s="113"/>
      <c r="GAG55" s="113"/>
      <c r="GAH55" s="113"/>
      <c r="GAI55" s="113"/>
      <c r="GAJ55" s="113"/>
      <c r="GAK55" s="113"/>
      <c r="GAL55" s="113"/>
      <c r="GAM55" s="113"/>
      <c r="GAN55" s="113"/>
      <c r="GAO55" s="113"/>
      <c r="GAP55" s="113"/>
      <c r="GAQ55" s="113"/>
      <c r="GAR55" s="113"/>
      <c r="GAS55" s="113"/>
      <c r="GAT55" s="113"/>
      <c r="GAU55" s="113"/>
      <c r="GAV55" s="113"/>
      <c r="GAW55" s="113"/>
      <c r="GAX55" s="113"/>
      <c r="GAY55" s="113"/>
      <c r="GAZ55" s="113"/>
      <c r="GBA55" s="113"/>
      <c r="GBB55" s="113"/>
      <c r="GBC55" s="113"/>
      <c r="GBD55" s="113"/>
      <c r="GBE55" s="113"/>
      <c r="GBF55" s="113"/>
      <c r="GBG55" s="113"/>
      <c r="GBH55" s="113"/>
      <c r="GBI55" s="113"/>
      <c r="GBJ55" s="113"/>
      <c r="GBK55" s="113"/>
      <c r="GBL55" s="113"/>
      <c r="GBM55" s="113"/>
      <c r="GBN55" s="113"/>
      <c r="GBO55" s="113"/>
      <c r="GBP55" s="113"/>
      <c r="GBQ55" s="113"/>
      <c r="GBR55" s="113"/>
      <c r="GBS55" s="113"/>
      <c r="GBT55" s="113"/>
      <c r="GBU55" s="113"/>
      <c r="GBV55" s="113"/>
      <c r="GBW55" s="113"/>
      <c r="GBX55" s="113"/>
      <c r="GBY55" s="113"/>
      <c r="GBZ55" s="113"/>
      <c r="GCA55" s="113"/>
      <c r="GCB55" s="113"/>
      <c r="GCC55" s="113"/>
      <c r="GCD55" s="113"/>
      <c r="GCE55" s="113"/>
      <c r="GCF55" s="113"/>
      <c r="GCG55" s="113"/>
      <c r="GCH55" s="113"/>
      <c r="GCI55" s="113"/>
      <c r="GCJ55" s="113"/>
      <c r="GCK55" s="113"/>
      <c r="GCL55" s="113"/>
      <c r="GCM55" s="113"/>
      <c r="GCN55" s="113"/>
      <c r="GCO55" s="113"/>
      <c r="GCP55" s="113"/>
      <c r="GCQ55" s="113"/>
      <c r="GCR55" s="113"/>
      <c r="GCS55" s="113"/>
      <c r="GCT55" s="113"/>
      <c r="GCU55" s="113"/>
      <c r="GCV55" s="113"/>
      <c r="GCW55" s="113"/>
      <c r="GCX55" s="113"/>
      <c r="GCY55" s="113"/>
      <c r="GCZ55" s="113"/>
      <c r="GDA55" s="113"/>
      <c r="GDB55" s="113"/>
      <c r="GDC55" s="113"/>
      <c r="GDD55" s="113"/>
      <c r="GDE55" s="113"/>
      <c r="GDF55" s="113"/>
      <c r="GDG55" s="113"/>
      <c r="GDH55" s="113"/>
      <c r="GDI55" s="113"/>
      <c r="GDJ55" s="113"/>
      <c r="GDK55" s="113"/>
      <c r="GDL55" s="113"/>
      <c r="GDM55" s="113"/>
      <c r="GDN55" s="113"/>
      <c r="GDO55" s="113"/>
      <c r="GDP55" s="113"/>
      <c r="GDQ55" s="113"/>
      <c r="GDR55" s="113"/>
      <c r="GDS55" s="113"/>
      <c r="GDT55" s="113"/>
      <c r="GDU55" s="113"/>
      <c r="GDV55" s="113"/>
      <c r="GDW55" s="113"/>
      <c r="GDX55" s="113"/>
      <c r="GDY55" s="113"/>
      <c r="GDZ55" s="113"/>
      <c r="GEA55" s="113"/>
      <c r="GEB55" s="113"/>
      <c r="GEC55" s="113"/>
      <c r="GED55" s="113"/>
      <c r="GEE55" s="113"/>
      <c r="GEF55" s="113"/>
      <c r="GEG55" s="113"/>
      <c r="GEH55" s="113"/>
      <c r="GEI55" s="113"/>
      <c r="GEJ55" s="113"/>
      <c r="GEK55" s="113"/>
      <c r="GEL55" s="113"/>
      <c r="GEM55" s="113"/>
      <c r="GEN55" s="113"/>
      <c r="GEO55" s="113"/>
      <c r="GEP55" s="113"/>
      <c r="GEQ55" s="113"/>
      <c r="GER55" s="113"/>
      <c r="GES55" s="113"/>
      <c r="GET55" s="113"/>
      <c r="GEU55" s="113"/>
      <c r="GEV55" s="113"/>
      <c r="GEW55" s="113"/>
      <c r="GEX55" s="113"/>
      <c r="GEY55" s="113"/>
      <c r="GEZ55" s="113"/>
      <c r="GFA55" s="113"/>
      <c r="GFB55" s="113"/>
      <c r="GFC55" s="113"/>
      <c r="GFD55" s="113"/>
      <c r="GFE55" s="113"/>
      <c r="GFF55" s="113"/>
      <c r="GFG55" s="113"/>
      <c r="GFH55" s="113"/>
      <c r="GFI55" s="113"/>
      <c r="GFJ55" s="113"/>
      <c r="GFK55" s="113"/>
      <c r="GFL55" s="113"/>
      <c r="GFM55" s="113"/>
      <c r="GFN55" s="113"/>
      <c r="GFO55" s="113"/>
      <c r="GFP55" s="113"/>
      <c r="GFQ55" s="113"/>
      <c r="GFR55" s="113"/>
      <c r="GFS55" s="113"/>
      <c r="GFT55" s="113"/>
      <c r="GFU55" s="113"/>
      <c r="GFV55" s="113"/>
      <c r="GFW55" s="113"/>
      <c r="GFX55" s="113"/>
      <c r="GFY55" s="113"/>
      <c r="GFZ55" s="113"/>
      <c r="GGA55" s="113"/>
      <c r="GGB55" s="113"/>
      <c r="GGC55" s="113"/>
      <c r="GGD55" s="113"/>
      <c r="GGE55" s="113"/>
      <c r="GGF55" s="113"/>
      <c r="GGG55" s="113"/>
      <c r="GGH55" s="113"/>
      <c r="GGI55" s="113"/>
      <c r="GGJ55" s="113"/>
      <c r="GGK55" s="113"/>
      <c r="GGL55" s="113"/>
      <c r="GGM55" s="113"/>
      <c r="GGN55" s="113"/>
      <c r="GGO55" s="113"/>
      <c r="GGP55" s="113"/>
      <c r="GGQ55" s="113"/>
      <c r="GGR55" s="113"/>
      <c r="GGS55" s="113"/>
      <c r="GGT55" s="113"/>
      <c r="GGU55" s="113"/>
      <c r="GGV55" s="113"/>
      <c r="GGW55" s="113"/>
      <c r="GGX55" s="113"/>
      <c r="GGY55" s="113"/>
      <c r="GGZ55" s="113"/>
      <c r="GHA55" s="113"/>
      <c r="GHB55" s="113"/>
      <c r="GHC55" s="113"/>
      <c r="GHD55" s="113"/>
      <c r="GHE55" s="113"/>
      <c r="GHF55" s="113"/>
      <c r="GHG55" s="113"/>
      <c r="GHH55" s="113"/>
      <c r="GHI55" s="113"/>
      <c r="GHJ55" s="113"/>
      <c r="GHK55" s="113"/>
      <c r="GHL55" s="113"/>
      <c r="GHM55" s="113"/>
      <c r="GHN55" s="113"/>
      <c r="GHO55" s="113"/>
      <c r="GHP55" s="113"/>
      <c r="GHQ55" s="113"/>
      <c r="GHR55" s="113"/>
      <c r="GHS55" s="113"/>
      <c r="GHT55" s="113"/>
      <c r="GHU55" s="113"/>
      <c r="GHV55" s="113"/>
      <c r="GHW55" s="113"/>
      <c r="GHX55" s="113"/>
      <c r="GHY55" s="113"/>
      <c r="GHZ55" s="113"/>
      <c r="GIA55" s="113"/>
      <c r="GIB55" s="113"/>
      <c r="GIC55" s="113"/>
      <c r="GID55" s="113"/>
      <c r="GIE55" s="113"/>
      <c r="GIF55" s="113"/>
      <c r="GIG55" s="113"/>
      <c r="GIH55" s="113"/>
      <c r="GII55" s="113"/>
      <c r="GIJ55" s="113"/>
      <c r="GIK55" s="113"/>
      <c r="GIL55" s="113"/>
      <c r="GIM55" s="113"/>
      <c r="GIN55" s="113"/>
      <c r="GIO55" s="113"/>
      <c r="GIP55" s="113"/>
      <c r="GIQ55" s="113"/>
      <c r="GIR55" s="113"/>
      <c r="GIS55" s="113"/>
      <c r="GIT55" s="113"/>
      <c r="GIU55" s="113"/>
      <c r="GIV55" s="113"/>
      <c r="GIW55" s="113"/>
      <c r="GIX55" s="113"/>
      <c r="GIY55" s="113"/>
      <c r="GIZ55" s="113"/>
      <c r="GJA55" s="113"/>
      <c r="GJB55" s="113"/>
      <c r="GJC55" s="113"/>
      <c r="GJD55" s="113"/>
      <c r="GJE55" s="113"/>
      <c r="GJF55" s="113"/>
      <c r="GJG55" s="113"/>
      <c r="GJH55" s="113"/>
      <c r="GJI55" s="113"/>
      <c r="GJJ55" s="113"/>
      <c r="GJK55" s="113"/>
      <c r="GJL55" s="113"/>
      <c r="GJM55" s="113"/>
      <c r="GJN55" s="113"/>
      <c r="GJO55" s="113"/>
      <c r="GJP55" s="113"/>
      <c r="GJQ55" s="113"/>
      <c r="GJR55" s="113"/>
      <c r="GJS55" s="113"/>
      <c r="GJT55" s="113"/>
      <c r="GJU55" s="113"/>
      <c r="GJV55" s="113"/>
      <c r="GJW55" s="113"/>
      <c r="GJX55" s="113"/>
      <c r="GJY55" s="113"/>
      <c r="GJZ55" s="113"/>
      <c r="GKA55" s="113"/>
      <c r="GKB55" s="113"/>
      <c r="GKC55" s="113"/>
      <c r="GKD55" s="113"/>
      <c r="GKE55" s="113"/>
      <c r="GKF55" s="113"/>
      <c r="GKG55" s="113"/>
      <c r="GKH55" s="113"/>
      <c r="GKI55" s="113"/>
      <c r="GKJ55" s="113"/>
      <c r="GKK55" s="113"/>
      <c r="GKL55" s="113"/>
      <c r="GKM55" s="113"/>
      <c r="GKN55" s="113"/>
      <c r="GKO55" s="113"/>
      <c r="GKP55" s="113"/>
      <c r="GKQ55" s="113"/>
      <c r="GKR55" s="113"/>
      <c r="GKS55" s="113"/>
      <c r="GKT55" s="113"/>
      <c r="GKU55" s="113"/>
      <c r="GKV55" s="113"/>
      <c r="GKW55" s="113"/>
      <c r="GKX55" s="113"/>
      <c r="GKY55" s="113"/>
      <c r="GKZ55" s="113"/>
      <c r="GLA55" s="113"/>
      <c r="GLB55" s="113"/>
      <c r="GLC55" s="113"/>
      <c r="GLD55" s="113"/>
      <c r="GLE55" s="113"/>
      <c r="GLF55" s="113"/>
      <c r="GLG55" s="113"/>
      <c r="GLH55" s="113"/>
      <c r="GLI55" s="113"/>
      <c r="GLJ55" s="113"/>
      <c r="GLK55" s="113"/>
      <c r="GLL55" s="113"/>
      <c r="GLM55" s="113"/>
      <c r="GLN55" s="113"/>
      <c r="GLO55" s="113"/>
      <c r="GLP55" s="113"/>
      <c r="GLQ55" s="113"/>
      <c r="GLR55" s="113"/>
      <c r="GLS55" s="113"/>
      <c r="GLT55" s="113"/>
      <c r="GLU55" s="113"/>
      <c r="GLV55" s="113"/>
      <c r="GLW55" s="113"/>
      <c r="GLX55" s="113"/>
      <c r="GLY55" s="113"/>
      <c r="GLZ55" s="113"/>
      <c r="GMA55" s="113"/>
      <c r="GMB55" s="113"/>
      <c r="GMC55" s="113"/>
      <c r="GMD55" s="113"/>
      <c r="GME55" s="113"/>
      <c r="GMF55" s="113"/>
      <c r="GMG55" s="113"/>
      <c r="GMH55" s="113"/>
      <c r="GMI55" s="113"/>
      <c r="GMJ55" s="113"/>
      <c r="GMK55" s="113"/>
      <c r="GML55" s="113"/>
      <c r="GMM55" s="113"/>
      <c r="GMN55" s="113"/>
      <c r="GMO55" s="113"/>
      <c r="GMP55" s="113"/>
      <c r="GMQ55" s="113"/>
      <c r="GMR55" s="113"/>
      <c r="GMS55" s="113"/>
      <c r="GMT55" s="113"/>
      <c r="GMU55" s="113"/>
      <c r="GMV55" s="113"/>
      <c r="GMW55" s="113"/>
      <c r="GMX55" s="113"/>
      <c r="GMY55" s="113"/>
      <c r="GMZ55" s="113"/>
      <c r="GNA55" s="113"/>
      <c r="GNB55" s="113"/>
      <c r="GNC55" s="113"/>
      <c r="GND55" s="113"/>
      <c r="GNE55" s="113"/>
      <c r="GNF55" s="113"/>
      <c r="GNG55" s="113"/>
      <c r="GNH55" s="113"/>
      <c r="GNI55" s="113"/>
      <c r="GNJ55" s="113"/>
      <c r="GNK55" s="113"/>
      <c r="GNL55" s="113"/>
      <c r="GNM55" s="113"/>
      <c r="GNN55" s="113"/>
      <c r="GNO55" s="113"/>
      <c r="GNP55" s="113"/>
      <c r="GNQ55" s="113"/>
      <c r="GNR55" s="113"/>
      <c r="GNS55" s="113"/>
      <c r="GNT55" s="113"/>
      <c r="GNU55" s="113"/>
      <c r="GNV55" s="113"/>
      <c r="GNW55" s="113"/>
      <c r="GNX55" s="113"/>
      <c r="GNY55" s="113"/>
      <c r="GNZ55" s="113"/>
      <c r="GOA55" s="113"/>
      <c r="GOB55" s="113"/>
      <c r="GOC55" s="113"/>
      <c r="GOD55" s="113"/>
      <c r="GOE55" s="113"/>
      <c r="GOF55" s="113"/>
      <c r="GOG55" s="113"/>
      <c r="GOH55" s="113"/>
      <c r="GOI55" s="113"/>
      <c r="GOJ55" s="113"/>
      <c r="GOK55" s="113"/>
      <c r="GOL55" s="113"/>
      <c r="GOM55" s="113"/>
      <c r="GON55" s="113"/>
      <c r="GOO55" s="113"/>
      <c r="GOP55" s="113"/>
      <c r="GOQ55" s="113"/>
      <c r="GOR55" s="113"/>
      <c r="GOS55" s="113"/>
      <c r="GOT55" s="113"/>
      <c r="GOU55" s="113"/>
      <c r="GOV55" s="113"/>
      <c r="GOW55" s="113"/>
      <c r="GOX55" s="113"/>
      <c r="GOY55" s="113"/>
      <c r="GOZ55" s="113"/>
      <c r="GPA55" s="113"/>
      <c r="GPB55" s="113"/>
      <c r="GPC55" s="113"/>
      <c r="GPD55" s="113"/>
      <c r="GPE55" s="113"/>
      <c r="GPF55" s="113"/>
      <c r="GPG55" s="113"/>
      <c r="GPH55" s="113"/>
      <c r="GPI55" s="113"/>
      <c r="GPJ55" s="113"/>
      <c r="GPK55" s="113"/>
      <c r="GPL55" s="113"/>
      <c r="GPM55" s="113"/>
      <c r="GPN55" s="113"/>
      <c r="GPO55" s="113"/>
      <c r="GPP55" s="113"/>
      <c r="GPQ55" s="113"/>
      <c r="GPR55" s="113"/>
      <c r="GPS55" s="113"/>
      <c r="GPT55" s="113"/>
      <c r="GPU55" s="113"/>
      <c r="GPV55" s="113"/>
      <c r="GPW55" s="113"/>
      <c r="GPX55" s="113"/>
      <c r="GPY55" s="113"/>
      <c r="GPZ55" s="113"/>
      <c r="GQA55" s="113"/>
      <c r="GQB55" s="113"/>
      <c r="GQC55" s="113"/>
      <c r="GQD55" s="113"/>
      <c r="GQE55" s="113"/>
      <c r="GQF55" s="113"/>
      <c r="GQG55" s="113"/>
      <c r="GQH55" s="113"/>
      <c r="GQI55" s="113"/>
      <c r="GQJ55" s="113"/>
      <c r="GQK55" s="113"/>
      <c r="GQL55" s="113"/>
      <c r="GQM55" s="113"/>
      <c r="GQN55" s="113"/>
      <c r="GQO55" s="113"/>
      <c r="GQP55" s="113"/>
      <c r="GQQ55" s="113"/>
      <c r="GQR55" s="113"/>
      <c r="GQS55" s="113"/>
      <c r="GQT55" s="113"/>
      <c r="GQU55" s="113"/>
      <c r="GQV55" s="113"/>
      <c r="GQW55" s="113"/>
      <c r="GQX55" s="113"/>
      <c r="GQY55" s="113"/>
      <c r="GQZ55" s="113"/>
      <c r="GRA55" s="113"/>
      <c r="GRB55" s="113"/>
      <c r="GRC55" s="113"/>
      <c r="GRD55" s="113"/>
      <c r="GRE55" s="113"/>
      <c r="GRF55" s="113"/>
      <c r="GRG55" s="113"/>
      <c r="GRH55" s="113"/>
      <c r="GRI55" s="113"/>
      <c r="GRJ55" s="113"/>
      <c r="GRK55" s="113"/>
      <c r="GRL55" s="113"/>
      <c r="GRM55" s="113"/>
      <c r="GRN55" s="113"/>
      <c r="GRO55" s="113"/>
      <c r="GRP55" s="113"/>
      <c r="GRQ55" s="113"/>
      <c r="GRR55" s="113"/>
      <c r="GRS55" s="113"/>
      <c r="GRT55" s="113"/>
      <c r="GRU55" s="113"/>
      <c r="GRV55" s="113"/>
      <c r="GRW55" s="113"/>
      <c r="GRX55" s="113"/>
      <c r="GRY55" s="113"/>
      <c r="GRZ55" s="113"/>
      <c r="GSA55" s="113"/>
      <c r="GSB55" s="113"/>
      <c r="GSC55" s="113"/>
      <c r="GSD55" s="113"/>
      <c r="GSE55" s="113"/>
      <c r="GSF55" s="113"/>
      <c r="GSG55" s="113"/>
      <c r="GSH55" s="113"/>
      <c r="GSI55" s="113"/>
      <c r="GSJ55" s="113"/>
      <c r="GSK55" s="113"/>
      <c r="GSL55" s="113"/>
      <c r="GSM55" s="113"/>
      <c r="GSN55" s="113"/>
      <c r="GSO55" s="113"/>
      <c r="GSP55" s="113"/>
      <c r="GSQ55" s="113"/>
      <c r="GSR55" s="113"/>
      <c r="GSS55" s="113"/>
      <c r="GST55" s="113"/>
      <c r="GSU55" s="113"/>
      <c r="GSV55" s="113"/>
      <c r="GSW55" s="113"/>
      <c r="GSX55" s="113"/>
      <c r="GSY55" s="113"/>
      <c r="GSZ55" s="113"/>
      <c r="GTA55" s="113"/>
      <c r="GTB55" s="113"/>
      <c r="GTC55" s="113"/>
      <c r="GTD55" s="113"/>
      <c r="GTE55" s="113"/>
      <c r="GTF55" s="113"/>
      <c r="GTG55" s="113"/>
      <c r="GTH55" s="113"/>
      <c r="GTI55" s="113"/>
      <c r="GTJ55" s="113"/>
      <c r="GTK55" s="113"/>
      <c r="GTL55" s="113"/>
      <c r="GTM55" s="113"/>
      <c r="GTN55" s="113"/>
      <c r="GTO55" s="113"/>
      <c r="GTP55" s="113"/>
      <c r="GTQ55" s="113"/>
      <c r="GTR55" s="113"/>
      <c r="GTS55" s="113"/>
      <c r="GTT55" s="113"/>
      <c r="GTU55" s="113"/>
      <c r="GTV55" s="113"/>
      <c r="GTW55" s="113"/>
      <c r="GTX55" s="113"/>
      <c r="GTY55" s="113"/>
      <c r="GTZ55" s="113"/>
      <c r="GUA55" s="113"/>
      <c r="GUB55" s="113"/>
      <c r="GUC55" s="113"/>
      <c r="GUD55" s="113"/>
      <c r="GUE55" s="113"/>
      <c r="GUF55" s="113"/>
      <c r="GUG55" s="113"/>
      <c r="GUH55" s="113"/>
      <c r="GUI55" s="113"/>
      <c r="GUJ55" s="113"/>
      <c r="GUK55" s="113"/>
      <c r="GUL55" s="113"/>
      <c r="GUM55" s="113"/>
      <c r="GUN55" s="113"/>
      <c r="GUO55" s="113"/>
      <c r="GUP55" s="113"/>
      <c r="GUQ55" s="113"/>
      <c r="GUR55" s="113"/>
      <c r="GUS55" s="113"/>
      <c r="GUT55" s="113"/>
      <c r="GUU55" s="113"/>
      <c r="GUV55" s="113"/>
      <c r="GUW55" s="113"/>
      <c r="GUX55" s="113"/>
      <c r="GUY55" s="113"/>
      <c r="GUZ55" s="113"/>
      <c r="GVA55" s="113"/>
      <c r="GVB55" s="113"/>
      <c r="GVC55" s="113"/>
      <c r="GVD55" s="113"/>
      <c r="GVE55" s="113"/>
      <c r="GVF55" s="113"/>
      <c r="GVG55" s="113"/>
      <c r="GVH55" s="113"/>
      <c r="GVI55" s="113"/>
      <c r="GVJ55" s="113"/>
      <c r="GVK55" s="113"/>
      <c r="GVL55" s="113"/>
      <c r="GVM55" s="113"/>
      <c r="GVN55" s="113"/>
      <c r="GVO55" s="113"/>
      <c r="GVP55" s="113"/>
      <c r="GVQ55" s="113"/>
      <c r="GVR55" s="113"/>
      <c r="GVS55" s="113"/>
      <c r="GVT55" s="113"/>
      <c r="GVU55" s="113"/>
      <c r="GVV55" s="113"/>
      <c r="GVW55" s="113"/>
      <c r="GVX55" s="113"/>
      <c r="GVY55" s="113"/>
      <c r="GVZ55" s="113"/>
      <c r="GWA55" s="113"/>
      <c r="GWB55" s="113"/>
      <c r="GWC55" s="113"/>
      <c r="GWD55" s="113"/>
      <c r="GWE55" s="113"/>
      <c r="GWF55" s="113"/>
      <c r="GWG55" s="113"/>
      <c r="GWH55" s="113"/>
      <c r="GWI55" s="113"/>
      <c r="GWJ55" s="113"/>
      <c r="GWK55" s="113"/>
      <c r="GWL55" s="113"/>
      <c r="GWM55" s="113"/>
      <c r="GWN55" s="113"/>
      <c r="GWO55" s="113"/>
      <c r="GWP55" s="113"/>
      <c r="GWQ55" s="113"/>
      <c r="GWR55" s="113"/>
      <c r="GWS55" s="113"/>
      <c r="GWT55" s="113"/>
      <c r="GWU55" s="113"/>
      <c r="GWV55" s="113"/>
      <c r="GWW55" s="113"/>
      <c r="GWX55" s="113"/>
      <c r="GWY55" s="113"/>
      <c r="GWZ55" s="113"/>
      <c r="GXA55" s="113"/>
      <c r="GXB55" s="113"/>
      <c r="GXC55" s="113"/>
      <c r="GXD55" s="113"/>
      <c r="GXE55" s="113"/>
      <c r="GXF55" s="113"/>
      <c r="GXG55" s="113"/>
      <c r="GXH55" s="113"/>
      <c r="GXI55" s="113"/>
      <c r="GXJ55" s="113"/>
      <c r="GXK55" s="113"/>
      <c r="GXL55" s="113"/>
      <c r="GXM55" s="113"/>
      <c r="GXN55" s="113"/>
      <c r="GXO55" s="113"/>
      <c r="GXP55" s="113"/>
      <c r="GXQ55" s="113"/>
      <c r="GXR55" s="113"/>
      <c r="GXS55" s="113"/>
      <c r="GXT55" s="113"/>
      <c r="GXU55" s="113"/>
      <c r="GXV55" s="113"/>
      <c r="GXW55" s="113"/>
      <c r="GXX55" s="113"/>
      <c r="GXY55" s="113"/>
      <c r="GXZ55" s="113"/>
      <c r="GYA55" s="113"/>
      <c r="GYB55" s="113"/>
      <c r="GYC55" s="113"/>
      <c r="GYD55" s="113"/>
      <c r="GYE55" s="113"/>
      <c r="GYF55" s="113"/>
      <c r="GYG55" s="113"/>
      <c r="GYH55" s="113"/>
      <c r="GYI55" s="113"/>
      <c r="GYJ55" s="113"/>
      <c r="GYK55" s="113"/>
      <c r="GYL55" s="113"/>
      <c r="GYM55" s="113"/>
      <c r="GYN55" s="113"/>
      <c r="GYO55" s="113"/>
      <c r="GYP55" s="113"/>
      <c r="GYQ55" s="113"/>
      <c r="GYR55" s="113"/>
      <c r="GYS55" s="113"/>
      <c r="GYT55" s="113"/>
      <c r="GYU55" s="113"/>
      <c r="GYV55" s="113"/>
      <c r="GYW55" s="113"/>
      <c r="GYX55" s="113"/>
      <c r="GYY55" s="113"/>
      <c r="GYZ55" s="113"/>
      <c r="GZA55" s="113"/>
      <c r="GZB55" s="113"/>
      <c r="GZC55" s="113"/>
      <c r="GZD55" s="113"/>
      <c r="GZE55" s="113"/>
      <c r="GZF55" s="113"/>
      <c r="GZG55" s="113"/>
      <c r="GZH55" s="113"/>
      <c r="GZI55" s="113"/>
      <c r="GZJ55" s="113"/>
      <c r="GZK55" s="113"/>
      <c r="GZL55" s="113"/>
      <c r="GZM55" s="113"/>
      <c r="GZN55" s="113"/>
      <c r="GZO55" s="113"/>
      <c r="GZP55" s="113"/>
      <c r="GZQ55" s="113"/>
      <c r="GZR55" s="113"/>
      <c r="GZS55" s="113"/>
      <c r="GZT55" s="113"/>
      <c r="GZU55" s="113"/>
      <c r="GZV55" s="113"/>
      <c r="GZW55" s="113"/>
      <c r="GZX55" s="113"/>
      <c r="GZY55" s="113"/>
      <c r="GZZ55" s="113"/>
      <c r="HAA55" s="113"/>
      <c r="HAB55" s="113"/>
      <c r="HAC55" s="113"/>
      <c r="HAD55" s="113"/>
      <c r="HAE55" s="113"/>
      <c r="HAF55" s="113"/>
      <c r="HAG55" s="113"/>
      <c r="HAH55" s="113"/>
      <c r="HAI55" s="113"/>
      <c r="HAJ55" s="113"/>
      <c r="HAK55" s="113"/>
      <c r="HAL55" s="113"/>
      <c r="HAM55" s="113"/>
      <c r="HAN55" s="113"/>
      <c r="HAO55" s="113"/>
      <c r="HAP55" s="113"/>
      <c r="HAQ55" s="113"/>
      <c r="HAR55" s="113"/>
      <c r="HAS55" s="113"/>
      <c r="HAT55" s="113"/>
      <c r="HAU55" s="113"/>
      <c r="HAV55" s="113"/>
      <c r="HAW55" s="113"/>
      <c r="HAX55" s="113"/>
      <c r="HAY55" s="113"/>
      <c r="HAZ55" s="113"/>
      <c r="HBA55" s="113"/>
      <c r="HBB55" s="113"/>
      <c r="HBC55" s="113"/>
      <c r="HBD55" s="113"/>
      <c r="HBE55" s="113"/>
      <c r="HBF55" s="113"/>
      <c r="HBG55" s="113"/>
      <c r="HBH55" s="113"/>
      <c r="HBI55" s="113"/>
      <c r="HBJ55" s="113"/>
      <c r="HBK55" s="113"/>
      <c r="HBL55" s="113"/>
      <c r="HBM55" s="113"/>
      <c r="HBN55" s="113"/>
      <c r="HBO55" s="113"/>
      <c r="HBP55" s="113"/>
      <c r="HBQ55" s="113"/>
      <c r="HBR55" s="113"/>
      <c r="HBS55" s="113"/>
      <c r="HBT55" s="113"/>
      <c r="HBU55" s="113"/>
      <c r="HBV55" s="113"/>
      <c r="HBW55" s="113"/>
      <c r="HBX55" s="113"/>
      <c r="HBY55" s="113"/>
      <c r="HBZ55" s="113"/>
      <c r="HCA55" s="113"/>
      <c r="HCB55" s="113"/>
      <c r="HCC55" s="113"/>
      <c r="HCD55" s="113"/>
      <c r="HCE55" s="113"/>
      <c r="HCF55" s="113"/>
      <c r="HCG55" s="113"/>
      <c r="HCH55" s="113"/>
      <c r="HCI55" s="113"/>
      <c r="HCJ55" s="113"/>
      <c r="HCK55" s="113"/>
      <c r="HCL55" s="113"/>
      <c r="HCM55" s="113"/>
      <c r="HCN55" s="113"/>
      <c r="HCO55" s="113"/>
      <c r="HCP55" s="113"/>
      <c r="HCQ55" s="113"/>
      <c r="HCR55" s="113"/>
      <c r="HCS55" s="113"/>
      <c r="HCT55" s="113"/>
      <c r="HCU55" s="113"/>
      <c r="HCV55" s="113"/>
      <c r="HCW55" s="113"/>
      <c r="HCX55" s="113"/>
      <c r="HCY55" s="113"/>
      <c r="HCZ55" s="113"/>
      <c r="HDA55" s="113"/>
      <c r="HDB55" s="113"/>
      <c r="HDC55" s="113"/>
      <c r="HDD55" s="113"/>
      <c r="HDE55" s="113"/>
      <c r="HDF55" s="113"/>
      <c r="HDG55" s="113"/>
      <c r="HDH55" s="113"/>
      <c r="HDI55" s="113"/>
      <c r="HDJ55" s="113"/>
      <c r="HDK55" s="113"/>
      <c r="HDL55" s="113"/>
      <c r="HDM55" s="113"/>
      <c r="HDN55" s="113"/>
      <c r="HDO55" s="113"/>
      <c r="HDP55" s="113"/>
      <c r="HDQ55" s="113"/>
      <c r="HDR55" s="113"/>
      <c r="HDS55" s="113"/>
      <c r="HDT55" s="113"/>
      <c r="HDU55" s="113"/>
      <c r="HDV55" s="113"/>
      <c r="HDW55" s="113"/>
      <c r="HDX55" s="113"/>
      <c r="HDY55" s="113"/>
      <c r="HDZ55" s="113"/>
      <c r="HEA55" s="113"/>
      <c r="HEB55" s="113"/>
      <c r="HEC55" s="113"/>
      <c r="HED55" s="113"/>
      <c r="HEE55" s="113"/>
      <c r="HEF55" s="113"/>
      <c r="HEG55" s="113"/>
      <c r="HEH55" s="113"/>
      <c r="HEI55" s="113"/>
      <c r="HEJ55" s="113"/>
      <c r="HEK55" s="113"/>
      <c r="HEL55" s="113"/>
      <c r="HEM55" s="113"/>
      <c r="HEN55" s="113"/>
      <c r="HEO55" s="113"/>
      <c r="HEP55" s="113"/>
      <c r="HEQ55" s="113"/>
      <c r="HER55" s="113"/>
      <c r="HES55" s="113"/>
      <c r="HET55" s="113"/>
      <c r="HEU55" s="113"/>
      <c r="HEV55" s="113"/>
      <c r="HEW55" s="113"/>
      <c r="HEX55" s="113"/>
      <c r="HEY55" s="113"/>
      <c r="HEZ55" s="113"/>
      <c r="HFA55" s="113"/>
      <c r="HFB55" s="113"/>
      <c r="HFC55" s="113"/>
      <c r="HFD55" s="113"/>
      <c r="HFE55" s="113"/>
      <c r="HFF55" s="113"/>
      <c r="HFG55" s="113"/>
      <c r="HFH55" s="113"/>
      <c r="HFI55" s="113"/>
      <c r="HFJ55" s="113"/>
      <c r="HFK55" s="113"/>
      <c r="HFL55" s="113"/>
      <c r="HFM55" s="113"/>
      <c r="HFN55" s="113"/>
      <c r="HFO55" s="113"/>
      <c r="HFP55" s="113"/>
      <c r="HFQ55" s="113"/>
      <c r="HFR55" s="113"/>
      <c r="HFS55" s="113"/>
      <c r="HFT55" s="113"/>
      <c r="HFU55" s="113"/>
      <c r="HFV55" s="113"/>
      <c r="HFW55" s="113"/>
      <c r="HFX55" s="113"/>
      <c r="HFY55" s="113"/>
      <c r="HFZ55" s="113"/>
      <c r="HGA55" s="113"/>
      <c r="HGB55" s="113"/>
      <c r="HGC55" s="113"/>
      <c r="HGD55" s="113"/>
      <c r="HGE55" s="113"/>
      <c r="HGF55" s="113"/>
      <c r="HGG55" s="113"/>
      <c r="HGH55" s="113"/>
      <c r="HGI55" s="113"/>
      <c r="HGJ55" s="113"/>
      <c r="HGK55" s="113"/>
      <c r="HGL55" s="113"/>
      <c r="HGM55" s="113"/>
      <c r="HGN55" s="113"/>
      <c r="HGO55" s="113"/>
      <c r="HGP55" s="113"/>
      <c r="HGQ55" s="113"/>
      <c r="HGR55" s="113"/>
      <c r="HGS55" s="113"/>
      <c r="HGT55" s="113"/>
      <c r="HGU55" s="113"/>
      <c r="HGV55" s="113"/>
      <c r="HGW55" s="113"/>
      <c r="HGX55" s="113"/>
      <c r="HGY55" s="113"/>
      <c r="HGZ55" s="113"/>
      <c r="HHA55" s="113"/>
      <c r="HHB55" s="113"/>
      <c r="HHC55" s="113"/>
      <c r="HHD55" s="113"/>
      <c r="HHE55" s="113"/>
      <c r="HHF55" s="113"/>
      <c r="HHG55" s="113"/>
      <c r="HHH55" s="113"/>
      <c r="HHI55" s="113"/>
      <c r="HHJ55" s="113"/>
      <c r="HHK55" s="113"/>
      <c r="HHL55" s="113"/>
      <c r="HHM55" s="113"/>
      <c r="HHN55" s="113"/>
      <c r="HHO55" s="113"/>
      <c r="HHP55" s="113"/>
      <c r="HHQ55" s="113"/>
      <c r="HHR55" s="113"/>
      <c r="HHS55" s="113"/>
      <c r="HHT55" s="113"/>
      <c r="HHU55" s="113"/>
      <c r="HHV55" s="113"/>
      <c r="HHW55" s="113"/>
      <c r="HHX55" s="113"/>
      <c r="HHY55" s="113"/>
      <c r="HHZ55" s="113"/>
      <c r="HIA55" s="113"/>
      <c r="HIB55" s="113"/>
      <c r="HIC55" s="113"/>
      <c r="HID55" s="113"/>
      <c r="HIE55" s="113"/>
      <c r="HIF55" s="113"/>
      <c r="HIG55" s="113"/>
      <c r="HIH55" s="113"/>
      <c r="HII55" s="113"/>
      <c r="HIJ55" s="113"/>
      <c r="HIK55" s="113"/>
      <c r="HIL55" s="113"/>
      <c r="HIM55" s="113"/>
      <c r="HIN55" s="113"/>
      <c r="HIO55" s="113"/>
      <c r="HIP55" s="113"/>
      <c r="HIQ55" s="113"/>
      <c r="HIR55" s="113"/>
      <c r="HIS55" s="113"/>
      <c r="HIT55" s="113"/>
      <c r="HIU55" s="113"/>
      <c r="HIV55" s="113"/>
      <c r="HIW55" s="113"/>
      <c r="HIX55" s="113"/>
      <c r="HIY55" s="113"/>
      <c r="HIZ55" s="113"/>
      <c r="HJA55" s="113"/>
      <c r="HJB55" s="113"/>
      <c r="HJC55" s="113"/>
      <c r="HJD55" s="113"/>
      <c r="HJE55" s="113"/>
      <c r="HJF55" s="113"/>
      <c r="HJG55" s="113"/>
      <c r="HJH55" s="113"/>
      <c r="HJI55" s="113"/>
      <c r="HJJ55" s="113"/>
      <c r="HJK55" s="113"/>
      <c r="HJL55" s="113"/>
      <c r="HJM55" s="113"/>
      <c r="HJN55" s="113"/>
      <c r="HJO55" s="113"/>
      <c r="HJP55" s="113"/>
      <c r="HJQ55" s="113"/>
      <c r="HJR55" s="113"/>
      <c r="HJS55" s="113"/>
      <c r="HJT55" s="113"/>
      <c r="HJU55" s="113"/>
      <c r="HJV55" s="113"/>
      <c r="HJW55" s="113"/>
      <c r="HJX55" s="113"/>
      <c r="HJY55" s="113"/>
      <c r="HJZ55" s="113"/>
      <c r="HKA55" s="113"/>
      <c r="HKB55" s="113"/>
      <c r="HKC55" s="113"/>
      <c r="HKD55" s="113"/>
      <c r="HKE55" s="113"/>
      <c r="HKF55" s="113"/>
      <c r="HKG55" s="113"/>
      <c r="HKH55" s="113"/>
      <c r="HKI55" s="113"/>
      <c r="HKJ55" s="113"/>
      <c r="HKK55" s="113"/>
      <c r="HKL55" s="113"/>
      <c r="HKM55" s="113"/>
      <c r="HKN55" s="113"/>
      <c r="HKO55" s="113"/>
      <c r="HKP55" s="113"/>
      <c r="HKQ55" s="113"/>
      <c r="HKR55" s="113"/>
      <c r="HKS55" s="113"/>
      <c r="HKT55" s="113"/>
      <c r="HKU55" s="113"/>
      <c r="HKV55" s="113"/>
      <c r="HKW55" s="113"/>
      <c r="HKX55" s="113"/>
      <c r="HKY55" s="113"/>
      <c r="HKZ55" s="113"/>
      <c r="HLA55" s="113"/>
      <c r="HLB55" s="113"/>
      <c r="HLC55" s="113"/>
      <c r="HLD55" s="113"/>
      <c r="HLE55" s="113"/>
      <c r="HLF55" s="113"/>
      <c r="HLG55" s="113"/>
      <c r="HLH55" s="113"/>
      <c r="HLI55" s="113"/>
      <c r="HLJ55" s="113"/>
      <c r="HLK55" s="113"/>
      <c r="HLL55" s="113"/>
      <c r="HLM55" s="113"/>
      <c r="HLN55" s="113"/>
      <c r="HLO55" s="113"/>
      <c r="HLP55" s="113"/>
      <c r="HLQ55" s="113"/>
      <c r="HLR55" s="113"/>
      <c r="HLS55" s="113"/>
      <c r="HLT55" s="113"/>
      <c r="HLU55" s="113"/>
      <c r="HLV55" s="113"/>
      <c r="HLW55" s="113"/>
      <c r="HLX55" s="113"/>
      <c r="HLY55" s="113"/>
      <c r="HLZ55" s="113"/>
      <c r="HMA55" s="113"/>
      <c r="HMB55" s="113"/>
      <c r="HMC55" s="113"/>
      <c r="HMD55" s="113"/>
      <c r="HME55" s="113"/>
      <c r="HMF55" s="113"/>
      <c r="HMG55" s="113"/>
      <c r="HMH55" s="113"/>
      <c r="HMI55" s="113"/>
      <c r="HMJ55" s="113"/>
      <c r="HMK55" s="113"/>
      <c r="HML55" s="113"/>
      <c r="HMM55" s="113"/>
      <c r="HMN55" s="113"/>
      <c r="HMO55" s="113"/>
      <c r="HMP55" s="113"/>
      <c r="HMQ55" s="113"/>
      <c r="HMR55" s="113"/>
      <c r="HMS55" s="113"/>
      <c r="HMT55" s="113"/>
      <c r="HMU55" s="113"/>
      <c r="HMV55" s="113"/>
      <c r="HMW55" s="113"/>
      <c r="HMX55" s="113"/>
      <c r="HMY55" s="113"/>
      <c r="HMZ55" s="113"/>
      <c r="HNA55" s="113"/>
      <c r="HNB55" s="113"/>
      <c r="HNC55" s="113"/>
      <c r="HND55" s="113"/>
      <c r="HNE55" s="113"/>
      <c r="HNF55" s="113"/>
      <c r="HNG55" s="113"/>
      <c r="HNH55" s="113"/>
      <c r="HNI55" s="113"/>
      <c r="HNJ55" s="113"/>
      <c r="HNK55" s="113"/>
      <c r="HNL55" s="113"/>
      <c r="HNM55" s="113"/>
      <c r="HNN55" s="113"/>
      <c r="HNO55" s="113"/>
      <c r="HNP55" s="113"/>
      <c r="HNQ55" s="113"/>
      <c r="HNR55" s="113"/>
      <c r="HNS55" s="113"/>
      <c r="HNT55" s="113"/>
      <c r="HNU55" s="113"/>
      <c r="HNV55" s="113"/>
      <c r="HNW55" s="113"/>
      <c r="HNX55" s="113"/>
      <c r="HNY55" s="113"/>
      <c r="HNZ55" s="113"/>
      <c r="HOA55" s="113"/>
      <c r="HOB55" s="113"/>
      <c r="HOC55" s="113"/>
      <c r="HOD55" s="113"/>
      <c r="HOE55" s="113"/>
      <c r="HOF55" s="113"/>
      <c r="HOG55" s="113"/>
      <c r="HOH55" s="113"/>
      <c r="HOI55" s="113"/>
      <c r="HOJ55" s="113"/>
      <c r="HOK55" s="113"/>
      <c r="HOL55" s="113"/>
      <c r="HOM55" s="113"/>
      <c r="HON55" s="113"/>
      <c r="HOO55" s="113"/>
      <c r="HOP55" s="113"/>
      <c r="HOQ55" s="113"/>
      <c r="HOR55" s="113"/>
      <c r="HOS55" s="113"/>
      <c r="HOT55" s="113"/>
      <c r="HOU55" s="113"/>
      <c r="HOV55" s="113"/>
      <c r="HOW55" s="113"/>
      <c r="HOX55" s="113"/>
      <c r="HOY55" s="113"/>
      <c r="HOZ55" s="113"/>
      <c r="HPA55" s="113"/>
      <c r="HPB55" s="113"/>
      <c r="HPC55" s="113"/>
      <c r="HPD55" s="113"/>
      <c r="HPE55" s="113"/>
      <c r="HPF55" s="113"/>
      <c r="HPG55" s="113"/>
      <c r="HPH55" s="113"/>
      <c r="HPI55" s="113"/>
      <c r="HPJ55" s="113"/>
      <c r="HPK55" s="113"/>
      <c r="HPL55" s="113"/>
      <c r="HPM55" s="113"/>
      <c r="HPN55" s="113"/>
      <c r="HPO55" s="113"/>
      <c r="HPP55" s="113"/>
      <c r="HPQ55" s="113"/>
      <c r="HPR55" s="113"/>
      <c r="HPS55" s="113"/>
      <c r="HPT55" s="113"/>
      <c r="HPU55" s="113"/>
      <c r="HPV55" s="113"/>
      <c r="HPW55" s="113"/>
      <c r="HPX55" s="113"/>
      <c r="HPY55" s="113"/>
      <c r="HPZ55" s="113"/>
      <c r="HQA55" s="113"/>
      <c r="HQB55" s="113"/>
      <c r="HQC55" s="113"/>
      <c r="HQD55" s="113"/>
      <c r="HQE55" s="113"/>
      <c r="HQF55" s="113"/>
      <c r="HQG55" s="113"/>
      <c r="HQH55" s="113"/>
      <c r="HQI55" s="113"/>
      <c r="HQJ55" s="113"/>
      <c r="HQK55" s="113"/>
      <c r="HQL55" s="113"/>
      <c r="HQM55" s="113"/>
      <c r="HQN55" s="113"/>
      <c r="HQO55" s="113"/>
      <c r="HQP55" s="113"/>
      <c r="HQQ55" s="113"/>
      <c r="HQR55" s="113"/>
      <c r="HQS55" s="113"/>
      <c r="HQT55" s="113"/>
      <c r="HQU55" s="113"/>
      <c r="HQV55" s="113"/>
      <c r="HQW55" s="113"/>
      <c r="HQX55" s="113"/>
      <c r="HQY55" s="113"/>
      <c r="HQZ55" s="113"/>
      <c r="HRA55" s="113"/>
      <c r="HRB55" s="113"/>
      <c r="HRC55" s="113"/>
      <c r="HRD55" s="113"/>
      <c r="HRE55" s="113"/>
      <c r="HRF55" s="113"/>
      <c r="HRG55" s="113"/>
      <c r="HRH55" s="113"/>
      <c r="HRI55" s="113"/>
      <c r="HRJ55" s="113"/>
      <c r="HRK55" s="113"/>
      <c r="HRL55" s="113"/>
      <c r="HRM55" s="113"/>
      <c r="HRN55" s="113"/>
      <c r="HRO55" s="113"/>
      <c r="HRP55" s="113"/>
      <c r="HRQ55" s="113"/>
      <c r="HRR55" s="113"/>
      <c r="HRS55" s="113"/>
      <c r="HRT55" s="113"/>
      <c r="HRU55" s="113"/>
      <c r="HRV55" s="113"/>
      <c r="HRW55" s="113"/>
      <c r="HRX55" s="113"/>
      <c r="HRY55" s="113"/>
      <c r="HRZ55" s="113"/>
      <c r="HSA55" s="113"/>
      <c r="HSB55" s="113"/>
      <c r="HSC55" s="113"/>
      <c r="HSD55" s="113"/>
      <c r="HSE55" s="113"/>
      <c r="HSF55" s="113"/>
      <c r="HSG55" s="113"/>
      <c r="HSH55" s="113"/>
      <c r="HSI55" s="113"/>
      <c r="HSJ55" s="113"/>
      <c r="HSK55" s="113"/>
      <c r="HSL55" s="113"/>
      <c r="HSM55" s="113"/>
      <c r="HSN55" s="113"/>
      <c r="HSO55" s="113"/>
      <c r="HSP55" s="113"/>
      <c r="HSQ55" s="113"/>
      <c r="HSR55" s="113"/>
      <c r="HSS55" s="113"/>
      <c r="HST55" s="113"/>
      <c r="HSU55" s="113"/>
      <c r="HSV55" s="113"/>
      <c r="HSW55" s="113"/>
      <c r="HSX55" s="113"/>
      <c r="HSY55" s="113"/>
      <c r="HSZ55" s="113"/>
      <c r="HTA55" s="113"/>
      <c r="HTB55" s="113"/>
      <c r="HTC55" s="113"/>
      <c r="HTD55" s="113"/>
      <c r="HTE55" s="113"/>
      <c r="HTF55" s="113"/>
      <c r="HTG55" s="113"/>
      <c r="HTH55" s="113"/>
      <c r="HTI55" s="113"/>
      <c r="HTJ55" s="113"/>
      <c r="HTK55" s="113"/>
      <c r="HTL55" s="113"/>
      <c r="HTM55" s="113"/>
      <c r="HTN55" s="113"/>
      <c r="HTO55" s="113"/>
      <c r="HTP55" s="113"/>
      <c r="HTQ55" s="113"/>
      <c r="HTR55" s="113"/>
      <c r="HTS55" s="113"/>
      <c r="HTT55" s="113"/>
      <c r="HTU55" s="113"/>
      <c r="HTV55" s="113"/>
      <c r="HTW55" s="113"/>
      <c r="HTX55" s="113"/>
      <c r="HTY55" s="113"/>
      <c r="HTZ55" s="113"/>
      <c r="HUA55" s="113"/>
      <c r="HUB55" s="113"/>
      <c r="HUC55" s="113"/>
      <c r="HUD55" s="113"/>
      <c r="HUE55" s="113"/>
      <c r="HUF55" s="113"/>
      <c r="HUG55" s="113"/>
      <c r="HUH55" s="113"/>
      <c r="HUI55" s="113"/>
      <c r="HUJ55" s="113"/>
      <c r="HUK55" s="113"/>
      <c r="HUL55" s="113"/>
      <c r="HUM55" s="113"/>
      <c r="HUN55" s="113"/>
      <c r="HUO55" s="113"/>
      <c r="HUP55" s="113"/>
      <c r="HUQ55" s="113"/>
      <c r="HUR55" s="113"/>
      <c r="HUS55" s="113"/>
      <c r="HUT55" s="113"/>
      <c r="HUU55" s="113"/>
      <c r="HUV55" s="113"/>
      <c r="HUW55" s="113"/>
      <c r="HUX55" s="113"/>
      <c r="HUY55" s="113"/>
      <c r="HUZ55" s="113"/>
      <c r="HVA55" s="113"/>
      <c r="HVB55" s="113"/>
      <c r="HVC55" s="113"/>
      <c r="HVD55" s="113"/>
      <c r="HVE55" s="113"/>
      <c r="HVF55" s="113"/>
      <c r="HVG55" s="113"/>
      <c r="HVH55" s="113"/>
      <c r="HVI55" s="113"/>
      <c r="HVJ55" s="113"/>
      <c r="HVK55" s="113"/>
      <c r="HVL55" s="113"/>
      <c r="HVM55" s="113"/>
      <c r="HVN55" s="113"/>
      <c r="HVO55" s="113"/>
      <c r="HVP55" s="113"/>
      <c r="HVQ55" s="113"/>
      <c r="HVR55" s="113"/>
      <c r="HVS55" s="113"/>
      <c r="HVT55" s="113"/>
      <c r="HVU55" s="113"/>
      <c r="HVV55" s="113"/>
      <c r="HVW55" s="113"/>
      <c r="HVX55" s="113"/>
      <c r="HVY55" s="113"/>
      <c r="HVZ55" s="113"/>
      <c r="HWA55" s="113"/>
      <c r="HWB55" s="113"/>
      <c r="HWC55" s="113"/>
      <c r="HWD55" s="113"/>
      <c r="HWE55" s="113"/>
      <c r="HWF55" s="113"/>
      <c r="HWG55" s="113"/>
      <c r="HWH55" s="113"/>
      <c r="HWI55" s="113"/>
      <c r="HWJ55" s="113"/>
      <c r="HWK55" s="113"/>
      <c r="HWL55" s="113"/>
      <c r="HWM55" s="113"/>
      <c r="HWN55" s="113"/>
      <c r="HWO55" s="113"/>
      <c r="HWP55" s="113"/>
      <c r="HWQ55" s="113"/>
      <c r="HWR55" s="113"/>
      <c r="HWS55" s="113"/>
      <c r="HWT55" s="113"/>
      <c r="HWU55" s="113"/>
      <c r="HWV55" s="113"/>
      <c r="HWW55" s="113"/>
      <c r="HWX55" s="113"/>
      <c r="HWY55" s="113"/>
      <c r="HWZ55" s="113"/>
      <c r="HXA55" s="113"/>
      <c r="HXB55" s="113"/>
      <c r="HXC55" s="113"/>
      <c r="HXD55" s="113"/>
      <c r="HXE55" s="113"/>
      <c r="HXF55" s="113"/>
      <c r="HXG55" s="113"/>
      <c r="HXH55" s="113"/>
      <c r="HXI55" s="113"/>
      <c r="HXJ55" s="113"/>
      <c r="HXK55" s="113"/>
      <c r="HXL55" s="113"/>
      <c r="HXM55" s="113"/>
      <c r="HXN55" s="113"/>
      <c r="HXO55" s="113"/>
      <c r="HXP55" s="113"/>
      <c r="HXQ55" s="113"/>
      <c r="HXR55" s="113"/>
      <c r="HXS55" s="113"/>
      <c r="HXT55" s="113"/>
      <c r="HXU55" s="113"/>
      <c r="HXV55" s="113"/>
      <c r="HXW55" s="113"/>
      <c r="HXX55" s="113"/>
      <c r="HXY55" s="113"/>
      <c r="HXZ55" s="113"/>
      <c r="HYA55" s="113"/>
      <c r="HYB55" s="113"/>
      <c r="HYC55" s="113"/>
      <c r="HYD55" s="113"/>
      <c r="HYE55" s="113"/>
      <c r="HYF55" s="113"/>
      <c r="HYG55" s="113"/>
      <c r="HYH55" s="113"/>
      <c r="HYI55" s="113"/>
      <c r="HYJ55" s="113"/>
      <c r="HYK55" s="113"/>
      <c r="HYL55" s="113"/>
      <c r="HYM55" s="113"/>
      <c r="HYN55" s="113"/>
      <c r="HYO55" s="113"/>
      <c r="HYP55" s="113"/>
      <c r="HYQ55" s="113"/>
      <c r="HYR55" s="113"/>
      <c r="HYS55" s="113"/>
      <c r="HYT55" s="113"/>
      <c r="HYU55" s="113"/>
      <c r="HYV55" s="113"/>
      <c r="HYW55" s="113"/>
      <c r="HYX55" s="113"/>
      <c r="HYY55" s="113"/>
      <c r="HYZ55" s="113"/>
      <c r="HZA55" s="113"/>
      <c r="HZB55" s="113"/>
      <c r="HZC55" s="113"/>
      <c r="HZD55" s="113"/>
      <c r="HZE55" s="113"/>
      <c r="HZF55" s="113"/>
      <c r="HZG55" s="113"/>
      <c r="HZH55" s="113"/>
      <c r="HZI55" s="113"/>
      <c r="HZJ55" s="113"/>
      <c r="HZK55" s="113"/>
      <c r="HZL55" s="113"/>
      <c r="HZM55" s="113"/>
      <c r="HZN55" s="113"/>
      <c r="HZO55" s="113"/>
      <c r="HZP55" s="113"/>
      <c r="HZQ55" s="113"/>
      <c r="HZR55" s="113"/>
      <c r="HZS55" s="113"/>
      <c r="HZT55" s="113"/>
      <c r="HZU55" s="113"/>
      <c r="HZV55" s="113"/>
      <c r="HZW55" s="113"/>
      <c r="HZX55" s="113"/>
      <c r="HZY55" s="113"/>
      <c r="HZZ55" s="113"/>
      <c r="IAA55" s="113"/>
      <c r="IAB55" s="113"/>
      <c r="IAC55" s="113"/>
      <c r="IAD55" s="113"/>
      <c r="IAE55" s="113"/>
      <c r="IAF55" s="113"/>
      <c r="IAG55" s="113"/>
      <c r="IAH55" s="113"/>
      <c r="IAI55" s="113"/>
      <c r="IAJ55" s="113"/>
      <c r="IAK55" s="113"/>
      <c r="IAL55" s="113"/>
      <c r="IAM55" s="113"/>
      <c r="IAN55" s="113"/>
      <c r="IAO55" s="113"/>
      <c r="IAP55" s="113"/>
      <c r="IAQ55" s="113"/>
      <c r="IAR55" s="113"/>
      <c r="IAS55" s="113"/>
      <c r="IAT55" s="113"/>
      <c r="IAU55" s="113"/>
      <c r="IAV55" s="113"/>
      <c r="IAW55" s="113"/>
      <c r="IAX55" s="113"/>
      <c r="IAY55" s="113"/>
      <c r="IAZ55" s="113"/>
      <c r="IBA55" s="113"/>
      <c r="IBB55" s="113"/>
      <c r="IBC55" s="113"/>
      <c r="IBD55" s="113"/>
      <c r="IBE55" s="113"/>
      <c r="IBF55" s="113"/>
      <c r="IBG55" s="113"/>
      <c r="IBH55" s="113"/>
      <c r="IBI55" s="113"/>
      <c r="IBJ55" s="113"/>
      <c r="IBK55" s="113"/>
      <c r="IBL55" s="113"/>
      <c r="IBM55" s="113"/>
      <c r="IBN55" s="113"/>
      <c r="IBO55" s="113"/>
      <c r="IBP55" s="113"/>
      <c r="IBQ55" s="113"/>
      <c r="IBR55" s="113"/>
      <c r="IBS55" s="113"/>
      <c r="IBT55" s="113"/>
      <c r="IBU55" s="113"/>
      <c r="IBV55" s="113"/>
      <c r="IBW55" s="113"/>
      <c r="IBX55" s="113"/>
      <c r="IBY55" s="113"/>
      <c r="IBZ55" s="113"/>
      <c r="ICA55" s="113"/>
      <c r="ICB55" s="113"/>
      <c r="ICC55" s="113"/>
      <c r="ICD55" s="113"/>
      <c r="ICE55" s="113"/>
      <c r="ICF55" s="113"/>
      <c r="ICG55" s="113"/>
      <c r="ICH55" s="113"/>
      <c r="ICI55" s="113"/>
      <c r="ICJ55" s="113"/>
      <c r="ICK55" s="113"/>
      <c r="ICL55" s="113"/>
      <c r="ICM55" s="113"/>
      <c r="ICN55" s="113"/>
      <c r="ICO55" s="113"/>
      <c r="ICP55" s="113"/>
      <c r="ICQ55" s="113"/>
      <c r="ICR55" s="113"/>
      <c r="ICS55" s="113"/>
      <c r="ICT55" s="113"/>
      <c r="ICU55" s="113"/>
      <c r="ICV55" s="113"/>
      <c r="ICW55" s="113"/>
      <c r="ICX55" s="113"/>
      <c r="ICY55" s="113"/>
      <c r="ICZ55" s="113"/>
      <c r="IDA55" s="113"/>
      <c r="IDB55" s="113"/>
      <c r="IDC55" s="113"/>
      <c r="IDD55" s="113"/>
      <c r="IDE55" s="113"/>
      <c r="IDF55" s="113"/>
      <c r="IDG55" s="113"/>
      <c r="IDH55" s="113"/>
      <c r="IDI55" s="113"/>
      <c r="IDJ55" s="113"/>
      <c r="IDK55" s="113"/>
      <c r="IDL55" s="113"/>
      <c r="IDM55" s="113"/>
      <c r="IDN55" s="113"/>
      <c r="IDO55" s="113"/>
      <c r="IDP55" s="113"/>
      <c r="IDQ55" s="113"/>
      <c r="IDR55" s="113"/>
      <c r="IDS55" s="113"/>
      <c r="IDT55" s="113"/>
      <c r="IDU55" s="113"/>
      <c r="IDV55" s="113"/>
      <c r="IDW55" s="113"/>
      <c r="IDX55" s="113"/>
      <c r="IDY55" s="113"/>
      <c r="IDZ55" s="113"/>
      <c r="IEA55" s="113"/>
      <c r="IEB55" s="113"/>
      <c r="IEC55" s="113"/>
      <c r="IED55" s="113"/>
      <c r="IEE55" s="113"/>
      <c r="IEF55" s="113"/>
      <c r="IEG55" s="113"/>
      <c r="IEH55" s="113"/>
      <c r="IEI55" s="113"/>
      <c r="IEJ55" s="113"/>
      <c r="IEK55" s="113"/>
      <c r="IEL55" s="113"/>
      <c r="IEM55" s="113"/>
      <c r="IEN55" s="113"/>
      <c r="IEO55" s="113"/>
      <c r="IEP55" s="113"/>
      <c r="IEQ55" s="113"/>
      <c r="IER55" s="113"/>
      <c r="IES55" s="113"/>
      <c r="IET55" s="113"/>
      <c r="IEU55" s="113"/>
      <c r="IEV55" s="113"/>
      <c r="IEW55" s="113"/>
      <c r="IEX55" s="113"/>
      <c r="IEY55" s="113"/>
      <c r="IEZ55" s="113"/>
      <c r="IFA55" s="113"/>
      <c r="IFB55" s="113"/>
      <c r="IFC55" s="113"/>
      <c r="IFD55" s="113"/>
      <c r="IFE55" s="113"/>
      <c r="IFF55" s="113"/>
      <c r="IFG55" s="113"/>
      <c r="IFH55" s="113"/>
      <c r="IFI55" s="113"/>
      <c r="IFJ55" s="113"/>
      <c r="IFK55" s="113"/>
      <c r="IFL55" s="113"/>
      <c r="IFM55" s="113"/>
      <c r="IFN55" s="113"/>
      <c r="IFO55" s="113"/>
      <c r="IFP55" s="113"/>
      <c r="IFQ55" s="113"/>
      <c r="IFR55" s="113"/>
      <c r="IFS55" s="113"/>
      <c r="IFT55" s="113"/>
      <c r="IFU55" s="113"/>
      <c r="IFV55" s="113"/>
      <c r="IFW55" s="113"/>
      <c r="IFX55" s="113"/>
      <c r="IFY55" s="113"/>
      <c r="IFZ55" s="113"/>
      <c r="IGA55" s="113"/>
      <c r="IGB55" s="113"/>
      <c r="IGC55" s="113"/>
      <c r="IGD55" s="113"/>
      <c r="IGE55" s="113"/>
      <c r="IGF55" s="113"/>
      <c r="IGG55" s="113"/>
      <c r="IGH55" s="113"/>
      <c r="IGI55" s="113"/>
      <c r="IGJ55" s="113"/>
      <c r="IGK55" s="113"/>
      <c r="IGL55" s="113"/>
      <c r="IGM55" s="113"/>
      <c r="IGN55" s="113"/>
      <c r="IGO55" s="113"/>
      <c r="IGP55" s="113"/>
      <c r="IGQ55" s="113"/>
      <c r="IGR55" s="113"/>
      <c r="IGS55" s="113"/>
      <c r="IGT55" s="113"/>
      <c r="IGU55" s="113"/>
      <c r="IGV55" s="113"/>
      <c r="IGW55" s="113"/>
      <c r="IGX55" s="113"/>
      <c r="IGY55" s="113"/>
      <c r="IGZ55" s="113"/>
      <c r="IHA55" s="113"/>
      <c r="IHB55" s="113"/>
      <c r="IHC55" s="113"/>
      <c r="IHD55" s="113"/>
      <c r="IHE55" s="113"/>
      <c r="IHF55" s="113"/>
      <c r="IHG55" s="113"/>
      <c r="IHH55" s="113"/>
      <c r="IHI55" s="113"/>
      <c r="IHJ55" s="113"/>
      <c r="IHK55" s="113"/>
      <c r="IHL55" s="113"/>
      <c r="IHM55" s="113"/>
      <c r="IHN55" s="113"/>
      <c r="IHO55" s="113"/>
      <c r="IHP55" s="113"/>
      <c r="IHQ55" s="113"/>
      <c r="IHR55" s="113"/>
      <c r="IHS55" s="113"/>
      <c r="IHT55" s="113"/>
      <c r="IHU55" s="113"/>
      <c r="IHV55" s="113"/>
      <c r="IHW55" s="113"/>
      <c r="IHX55" s="113"/>
      <c r="IHY55" s="113"/>
      <c r="IHZ55" s="113"/>
      <c r="IIA55" s="113"/>
      <c r="IIB55" s="113"/>
      <c r="IIC55" s="113"/>
      <c r="IID55" s="113"/>
      <c r="IIE55" s="113"/>
      <c r="IIF55" s="113"/>
      <c r="IIG55" s="113"/>
      <c r="IIH55" s="113"/>
      <c r="III55" s="113"/>
      <c r="IIJ55" s="113"/>
      <c r="IIK55" s="113"/>
      <c r="IIL55" s="113"/>
      <c r="IIM55" s="113"/>
      <c r="IIN55" s="113"/>
      <c r="IIO55" s="113"/>
      <c r="IIP55" s="113"/>
      <c r="IIQ55" s="113"/>
      <c r="IIR55" s="113"/>
      <c r="IIS55" s="113"/>
      <c r="IIT55" s="113"/>
      <c r="IIU55" s="113"/>
      <c r="IIV55" s="113"/>
      <c r="IIW55" s="113"/>
      <c r="IIX55" s="113"/>
      <c r="IIY55" s="113"/>
      <c r="IIZ55" s="113"/>
      <c r="IJA55" s="113"/>
      <c r="IJB55" s="113"/>
      <c r="IJC55" s="113"/>
      <c r="IJD55" s="113"/>
      <c r="IJE55" s="113"/>
      <c r="IJF55" s="113"/>
      <c r="IJG55" s="113"/>
      <c r="IJH55" s="113"/>
      <c r="IJI55" s="113"/>
      <c r="IJJ55" s="113"/>
      <c r="IJK55" s="113"/>
      <c r="IJL55" s="113"/>
      <c r="IJM55" s="113"/>
      <c r="IJN55" s="113"/>
      <c r="IJO55" s="113"/>
      <c r="IJP55" s="113"/>
      <c r="IJQ55" s="113"/>
      <c r="IJR55" s="113"/>
      <c r="IJS55" s="113"/>
      <c r="IJT55" s="113"/>
      <c r="IJU55" s="113"/>
      <c r="IJV55" s="113"/>
      <c r="IJW55" s="113"/>
      <c r="IJX55" s="113"/>
      <c r="IJY55" s="113"/>
      <c r="IJZ55" s="113"/>
      <c r="IKA55" s="113"/>
      <c r="IKB55" s="113"/>
      <c r="IKC55" s="113"/>
      <c r="IKD55" s="113"/>
      <c r="IKE55" s="113"/>
      <c r="IKF55" s="113"/>
      <c r="IKG55" s="113"/>
      <c r="IKH55" s="113"/>
      <c r="IKI55" s="113"/>
      <c r="IKJ55" s="113"/>
      <c r="IKK55" s="113"/>
      <c r="IKL55" s="113"/>
      <c r="IKM55" s="113"/>
      <c r="IKN55" s="113"/>
      <c r="IKO55" s="113"/>
      <c r="IKP55" s="113"/>
      <c r="IKQ55" s="113"/>
      <c r="IKR55" s="113"/>
      <c r="IKS55" s="113"/>
      <c r="IKT55" s="113"/>
      <c r="IKU55" s="113"/>
      <c r="IKV55" s="113"/>
      <c r="IKW55" s="113"/>
      <c r="IKX55" s="113"/>
      <c r="IKY55" s="113"/>
      <c r="IKZ55" s="113"/>
      <c r="ILA55" s="113"/>
      <c r="ILB55" s="113"/>
      <c r="ILC55" s="113"/>
      <c r="ILD55" s="113"/>
      <c r="ILE55" s="113"/>
      <c r="ILF55" s="113"/>
      <c r="ILG55" s="113"/>
      <c r="ILH55" s="113"/>
      <c r="ILI55" s="113"/>
      <c r="ILJ55" s="113"/>
      <c r="ILK55" s="113"/>
      <c r="ILL55" s="113"/>
      <c r="ILM55" s="113"/>
      <c r="ILN55" s="113"/>
      <c r="ILO55" s="113"/>
      <c r="ILP55" s="113"/>
      <c r="ILQ55" s="113"/>
      <c r="ILR55" s="113"/>
      <c r="ILS55" s="113"/>
      <c r="ILT55" s="113"/>
      <c r="ILU55" s="113"/>
      <c r="ILV55" s="113"/>
      <c r="ILW55" s="113"/>
      <c r="ILX55" s="113"/>
      <c r="ILY55" s="113"/>
      <c r="ILZ55" s="113"/>
      <c r="IMA55" s="113"/>
      <c r="IMB55" s="113"/>
      <c r="IMC55" s="113"/>
      <c r="IMD55" s="113"/>
      <c r="IME55" s="113"/>
      <c r="IMF55" s="113"/>
      <c r="IMG55" s="113"/>
      <c r="IMH55" s="113"/>
      <c r="IMI55" s="113"/>
      <c r="IMJ55" s="113"/>
      <c r="IMK55" s="113"/>
      <c r="IML55" s="113"/>
      <c r="IMM55" s="113"/>
      <c r="IMN55" s="113"/>
      <c r="IMO55" s="113"/>
      <c r="IMP55" s="113"/>
      <c r="IMQ55" s="113"/>
      <c r="IMR55" s="113"/>
      <c r="IMS55" s="113"/>
      <c r="IMT55" s="113"/>
      <c r="IMU55" s="113"/>
      <c r="IMV55" s="113"/>
      <c r="IMW55" s="113"/>
      <c r="IMX55" s="113"/>
      <c r="IMY55" s="113"/>
      <c r="IMZ55" s="113"/>
      <c r="INA55" s="113"/>
      <c r="INB55" s="113"/>
      <c r="INC55" s="113"/>
      <c r="IND55" s="113"/>
      <c r="INE55" s="113"/>
      <c r="INF55" s="113"/>
      <c r="ING55" s="113"/>
      <c r="INH55" s="113"/>
      <c r="INI55" s="113"/>
      <c r="INJ55" s="113"/>
      <c r="INK55" s="113"/>
      <c r="INL55" s="113"/>
      <c r="INM55" s="113"/>
      <c r="INN55" s="113"/>
      <c r="INO55" s="113"/>
      <c r="INP55" s="113"/>
      <c r="INQ55" s="113"/>
      <c r="INR55" s="113"/>
      <c r="INS55" s="113"/>
      <c r="INT55" s="113"/>
      <c r="INU55" s="113"/>
      <c r="INV55" s="113"/>
      <c r="INW55" s="113"/>
      <c r="INX55" s="113"/>
      <c r="INY55" s="113"/>
      <c r="INZ55" s="113"/>
      <c r="IOA55" s="113"/>
      <c r="IOB55" s="113"/>
      <c r="IOC55" s="113"/>
      <c r="IOD55" s="113"/>
      <c r="IOE55" s="113"/>
      <c r="IOF55" s="113"/>
      <c r="IOG55" s="113"/>
      <c r="IOH55" s="113"/>
      <c r="IOI55" s="113"/>
      <c r="IOJ55" s="113"/>
      <c r="IOK55" s="113"/>
      <c r="IOL55" s="113"/>
      <c r="IOM55" s="113"/>
      <c r="ION55" s="113"/>
      <c r="IOO55" s="113"/>
      <c r="IOP55" s="113"/>
      <c r="IOQ55" s="113"/>
      <c r="IOR55" s="113"/>
      <c r="IOS55" s="113"/>
      <c r="IOT55" s="113"/>
      <c r="IOU55" s="113"/>
      <c r="IOV55" s="113"/>
      <c r="IOW55" s="113"/>
      <c r="IOX55" s="113"/>
      <c r="IOY55" s="113"/>
      <c r="IOZ55" s="113"/>
      <c r="IPA55" s="113"/>
      <c r="IPB55" s="113"/>
      <c r="IPC55" s="113"/>
      <c r="IPD55" s="113"/>
      <c r="IPE55" s="113"/>
      <c r="IPF55" s="113"/>
      <c r="IPG55" s="113"/>
      <c r="IPH55" s="113"/>
      <c r="IPI55" s="113"/>
      <c r="IPJ55" s="113"/>
      <c r="IPK55" s="113"/>
      <c r="IPL55" s="113"/>
      <c r="IPM55" s="113"/>
      <c r="IPN55" s="113"/>
      <c r="IPO55" s="113"/>
      <c r="IPP55" s="113"/>
      <c r="IPQ55" s="113"/>
      <c r="IPR55" s="113"/>
      <c r="IPS55" s="113"/>
      <c r="IPT55" s="113"/>
      <c r="IPU55" s="113"/>
      <c r="IPV55" s="113"/>
      <c r="IPW55" s="113"/>
      <c r="IPX55" s="113"/>
      <c r="IPY55" s="113"/>
      <c r="IPZ55" s="113"/>
      <c r="IQA55" s="113"/>
      <c r="IQB55" s="113"/>
      <c r="IQC55" s="113"/>
      <c r="IQD55" s="113"/>
      <c r="IQE55" s="113"/>
      <c r="IQF55" s="113"/>
      <c r="IQG55" s="113"/>
      <c r="IQH55" s="113"/>
      <c r="IQI55" s="113"/>
      <c r="IQJ55" s="113"/>
      <c r="IQK55" s="113"/>
      <c r="IQL55" s="113"/>
      <c r="IQM55" s="113"/>
      <c r="IQN55" s="113"/>
      <c r="IQO55" s="113"/>
      <c r="IQP55" s="113"/>
      <c r="IQQ55" s="113"/>
      <c r="IQR55" s="113"/>
      <c r="IQS55" s="113"/>
      <c r="IQT55" s="113"/>
      <c r="IQU55" s="113"/>
      <c r="IQV55" s="113"/>
      <c r="IQW55" s="113"/>
      <c r="IQX55" s="113"/>
      <c r="IQY55" s="113"/>
      <c r="IQZ55" s="113"/>
      <c r="IRA55" s="113"/>
      <c r="IRB55" s="113"/>
      <c r="IRC55" s="113"/>
      <c r="IRD55" s="113"/>
      <c r="IRE55" s="113"/>
      <c r="IRF55" s="113"/>
      <c r="IRG55" s="113"/>
      <c r="IRH55" s="113"/>
      <c r="IRI55" s="113"/>
      <c r="IRJ55" s="113"/>
      <c r="IRK55" s="113"/>
      <c r="IRL55" s="113"/>
      <c r="IRM55" s="113"/>
      <c r="IRN55" s="113"/>
      <c r="IRO55" s="113"/>
      <c r="IRP55" s="113"/>
      <c r="IRQ55" s="113"/>
      <c r="IRR55" s="113"/>
      <c r="IRS55" s="113"/>
      <c r="IRT55" s="113"/>
      <c r="IRU55" s="113"/>
      <c r="IRV55" s="113"/>
      <c r="IRW55" s="113"/>
      <c r="IRX55" s="113"/>
      <c r="IRY55" s="113"/>
      <c r="IRZ55" s="113"/>
      <c r="ISA55" s="113"/>
      <c r="ISB55" s="113"/>
      <c r="ISC55" s="113"/>
      <c r="ISD55" s="113"/>
      <c r="ISE55" s="113"/>
      <c r="ISF55" s="113"/>
      <c r="ISG55" s="113"/>
      <c r="ISH55" s="113"/>
      <c r="ISI55" s="113"/>
      <c r="ISJ55" s="113"/>
      <c r="ISK55" s="113"/>
      <c r="ISL55" s="113"/>
      <c r="ISM55" s="113"/>
      <c r="ISN55" s="113"/>
      <c r="ISO55" s="113"/>
      <c r="ISP55" s="113"/>
      <c r="ISQ55" s="113"/>
      <c r="ISR55" s="113"/>
      <c r="ISS55" s="113"/>
      <c r="IST55" s="113"/>
      <c r="ISU55" s="113"/>
      <c r="ISV55" s="113"/>
      <c r="ISW55" s="113"/>
      <c r="ISX55" s="113"/>
      <c r="ISY55" s="113"/>
      <c r="ISZ55" s="113"/>
      <c r="ITA55" s="113"/>
      <c r="ITB55" s="113"/>
      <c r="ITC55" s="113"/>
      <c r="ITD55" s="113"/>
      <c r="ITE55" s="113"/>
      <c r="ITF55" s="113"/>
      <c r="ITG55" s="113"/>
      <c r="ITH55" s="113"/>
      <c r="ITI55" s="113"/>
      <c r="ITJ55" s="113"/>
      <c r="ITK55" s="113"/>
      <c r="ITL55" s="113"/>
      <c r="ITM55" s="113"/>
      <c r="ITN55" s="113"/>
      <c r="ITO55" s="113"/>
      <c r="ITP55" s="113"/>
      <c r="ITQ55" s="113"/>
      <c r="ITR55" s="113"/>
      <c r="ITS55" s="113"/>
      <c r="ITT55" s="113"/>
      <c r="ITU55" s="113"/>
      <c r="ITV55" s="113"/>
      <c r="ITW55" s="113"/>
      <c r="ITX55" s="113"/>
      <c r="ITY55" s="113"/>
      <c r="ITZ55" s="113"/>
      <c r="IUA55" s="113"/>
      <c r="IUB55" s="113"/>
      <c r="IUC55" s="113"/>
      <c r="IUD55" s="113"/>
      <c r="IUE55" s="113"/>
      <c r="IUF55" s="113"/>
      <c r="IUG55" s="113"/>
      <c r="IUH55" s="113"/>
      <c r="IUI55" s="113"/>
      <c r="IUJ55" s="113"/>
      <c r="IUK55" s="113"/>
      <c r="IUL55" s="113"/>
      <c r="IUM55" s="113"/>
      <c r="IUN55" s="113"/>
      <c r="IUO55" s="113"/>
      <c r="IUP55" s="113"/>
      <c r="IUQ55" s="113"/>
      <c r="IUR55" s="113"/>
      <c r="IUS55" s="113"/>
      <c r="IUT55" s="113"/>
      <c r="IUU55" s="113"/>
      <c r="IUV55" s="113"/>
      <c r="IUW55" s="113"/>
      <c r="IUX55" s="113"/>
      <c r="IUY55" s="113"/>
      <c r="IUZ55" s="113"/>
      <c r="IVA55" s="113"/>
      <c r="IVB55" s="113"/>
      <c r="IVC55" s="113"/>
      <c r="IVD55" s="113"/>
      <c r="IVE55" s="113"/>
      <c r="IVF55" s="113"/>
      <c r="IVG55" s="113"/>
      <c r="IVH55" s="113"/>
      <c r="IVI55" s="113"/>
      <c r="IVJ55" s="113"/>
      <c r="IVK55" s="113"/>
      <c r="IVL55" s="113"/>
      <c r="IVM55" s="113"/>
      <c r="IVN55" s="113"/>
      <c r="IVO55" s="113"/>
      <c r="IVP55" s="113"/>
      <c r="IVQ55" s="113"/>
      <c r="IVR55" s="113"/>
      <c r="IVS55" s="113"/>
      <c r="IVT55" s="113"/>
      <c r="IVU55" s="113"/>
      <c r="IVV55" s="113"/>
      <c r="IVW55" s="113"/>
      <c r="IVX55" s="113"/>
      <c r="IVY55" s="113"/>
      <c r="IVZ55" s="113"/>
      <c r="IWA55" s="113"/>
      <c r="IWB55" s="113"/>
      <c r="IWC55" s="113"/>
      <c r="IWD55" s="113"/>
      <c r="IWE55" s="113"/>
      <c r="IWF55" s="113"/>
      <c r="IWG55" s="113"/>
      <c r="IWH55" s="113"/>
      <c r="IWI55" s="113"/>
      <c r="IWJ55" s="113"/>
      <c r="IWK55" s="113"/>
      <c r="IWL55" s="113"/>
      <c r="IWM55" s="113"/>
      <c r="IWN55" s="113"/>
      <c r="IWO55" s="113"/>
      <c r="IWP55" s="113"/>
      <c r="IWQ55" s="113"/>
      <c r="IWR55" s="113"/>
      <c r="IWS55" s="113"/>
      <c r="IWT55" s="113"/>
      <c r="IWU55" s="113"/>
      <c r="IWV55" s="113"/>
      <c r="IWW55" s="113"/>
      <c r="IWX55" s="113"/>
      <c r="IWY55" s="113"/>
      <c r="IWZ55" s="113"/>
      <c r="IXA55" s="113"/>
      <c r="IXB55" s="113"/>
      <c r="IXC55" s="113"/>
      <c r="IXD55" s="113"/>
      <c r="IXE55" s="113"/>
      <c r="IXF55" s="113"/>
      <c r="IXG55" s="113"/>
      <c r="IXH55" s="113"/>
      <c r="IXI55" s="113"/>
      <c r="IXJ55" s="113"/>
      <c r="IXK55" s="113"/>
      <c r="IXL55" s="113"/>
      <c r="IXM55" s="113"/>
      <c r="IXN55" s="113"/>
      <c r="IXO55" s="113"/>
      <c r="IXP55" s="113"/>
      <c r="IXQ55" s="113"/>
      <c r="IXR55" s="113"/>
      <c r="IXS55" s="113"/>
      <c r="IXT55" s="113"/>
      <c r="IXU55" s="113"/>
      <c r="IXV55" s="113"/>
      <c r="IXW55" s="113"/>
      <c r="IXX55" s="113"/>
      <c r="IXY55" s="113"/>
      <c r="IXZ55" s="113"/>
      <c r="IYA55" s="113"/>
      <c r="IYB55" s="113"/>
      <c r="IYC55" s="113"/>
      <c r="IYD55" s="113"/>
      <c r="IYE55" s="113"/>
      <c r="IYF55" s="113"/>
      <c r="IYG55" s="113"/>
      <c r="IYH55" s="113"/>
      <c r="IYI55" s="113"/>
      <c r="IYJ55" s="113"/>
      <c r="IYK55" s="113"/>
      <c r="IYL55" s="113"/>
      <c r="IYM55" s="113"/>
      <c r="IYN55" s="113"/>
      <c r="IYO55" s="113"/>
      <c r="IYP55" s="113"/>
      <c r="IYQ55" s="113"/>
      <c r="IYR55" s="113"/>
      <c r="IYS55" s="113"/>
      <c r="IYT55" s="113"/>
      <c r="IYU55" s="113"/>
      <c r="IYV55" s="113"/>
      <c r="IYW55" s="113"/>
      <c r="IYX55" s="113"/>
      <c r="IYY55" s="113"/>
      <c r="IYZ55" s="113"/>
      <c r="IZA55" s="113"/>
      <c r="IZB55" s="113"/>
      <c r="IZC55" s="113"/>
      <c r="IZD55" s="113"/>
      <c r="IZE55" s="113"/>
      <c r="IZF55" s="113"/>
      <c r="IZG55" s="113"/>
      <c r="IZH55" s="113"/>
      <c r="IZI55" s="113"/>
      <c r="IZJ55" s="113"/>
      <c r="IZK55" s="113"/>
      <c r="IZL55" s="113"/>
      <c r="IZM55" s="113"/>
      <c r="IZN55" s="113"/>
      <c r="IZO55" s="113"/>
      <c r="IZP55" s="113"/>
      <c r="IZQ55" s="113"/>
      <c r="IZR55" s="113"/>
      <c r="IZS55" s="113"/>
      <c r="IZT55" s="113"/>
      <c r="IZU55" s="113"/>
      <c r="IZV55" s="113"/>
      <c r="IZW55" s="113"/>
      <c r="IZX55" s="113"/>
      <c r="IZY55" s="113"/>
      <c r="IZZ55" s="113"/>
      <c r="JAA55" s="113"/>
      <c r="JAB55" s="113"/>
      <c r="JAC55" s="113"/>
      <c r="JAD55" s="113"/>
      <c r="JAE55" s="113"/>
      <c r="JAF55" s="113"/>
      <c r="JAG55" s="113"/>
      <c r="JAH55" s="113"/>
      <c r="JAI55" s="113"/>
      <c r="JAJ55" s="113"/>
      <c r="JAK55" s="113"/>
      <c r="JAL55" s="113"/>
      <c r="JAM55" s="113"/>
      <c r="JAN55" s="113"/>
      <c r="JAO55" s="113"/>
      <c r="JAP55" s="113"/>
      <c r="JAQ55" s="113"/>
      <c r="JAR55" s="113"/>
      <c r="JAS55" s="113"/>
      <c r="JAT55" s="113"/>
      <c r="JAU55" s="113"/>
      <c r="JAV55" s="113"/>
      <c r="JAW55" s="113"/>
      <c r="JAX55" s="113"/>
      <c r="JAY55" s="113"/>
      <c r="JAZ55" s="113"/>
      <c r="JBA55" s="113"/>
      <c r="JBB55" s="113"/>
      <c r="JBC55" s="113"/>
      <c r="JBD55" s="113"/>
      <c r="JBE55" s="113"/>
      <c r="JBF55" s="113"/>
      <c r="JBG55" s="113"/>
      <c r="JBH55" s="113"/>
      <c r="JBI55" s="113"/>
      <c r="JBJ55" s="113"/>
      <c r="JBK55" s="113"/>
      <c r="JBL55" s="113"/>
      <c r="JBM55" s="113"/>
      <c r="JBN55" s="113"/>
      <c r="JBO55" s="113"/>
      <c r="JBP55" s="113"/>
      <c r="JBQ55" s="113"/>
      <c r="JBR55" s="113"/>
      <c r="JBS55" s="113"/>
      <c r="JBT55" s="113"/>
      <c r="JBU55" s="113"/>
      <c r="JBV55" s="113"/>
      <c r="JBW55" s="113"/>
      <c r="JBX55" s="113"/>
      <c r="JBY55" s="113"/>
      <c r="JBZ55" s="113"/>
      <c r="JCA55" s="113"/>
      <c r="JCB55" s="113"/>
      <c r="JCC55" s="113"/>
      <c r="JCD55" s="113"/>
      <c r="JCE55" s="113"/>
      <c r="JCF55" s="113"/>
      <c r="JCG55" s="113"/>
      <c r="JCH55" s="113"/>
      <c r="JCI55" s="113"/>
      <c r="JCJ55" s="113"/>
      <c r="JCK55" s="113"/>
      <c r="JCL55" s="113"/>
      <c r="JCM55" s="113"/>
      <c r="JCN55" s="113"/>
      <c r="JCO55" s="113"/>
      <c r="JCP55" s="113"/>
      <c r="JCQ55" s="113"/>
      <c r="JCR55" s="113"/>
      <c r="JCS55" s="113"/>
      <c r="JCT55" s="113"/>
      <c r="JCU55" s="113"/>
      <c r="JCV55" s="113"/>
      <c r="JCW55" s="113"/>
      <c r="JCX55" s="113"/>
      <c r="JCY55" s="113"/>
      <c r="JCZ55" s="113"/>
      <c r="JDA55" s="113"/>
      <c r="JDB55" s="113"/>
      <c r="JDC55" s="113"/>
      <c r="JDD55" s="113"/>
      <c r="JDE55" s="113"/>
      <c r="JDF55" s="113"/>
      <c r="JDG55" s="113"/>
      <c r="JDH55" s="113"/>
      <c r="JDI55" s="113"/>
      <c r="JDJ55" s="113"/>
      <c r="JDK55" s="113"/>
      <c r="JDL55" s="113"/>
      <c r="JDM55" s="113"/>
      <c r="JDN55" s="113"/>
      <c r="JDO55" s="113"/>
      <c r="JDP55" s="113"/>
      <c r="JDQ55" s="113"/>
      <c r="JDR55" s="113"/>
      <c r="JDS55" s="113"/>
      <c r="JDT55" s="113"/>
      <c r="JDU55" s="113"/>
      <c r="JDV55" s="113"/>
      <c r="JDW55" s="113"/>
      <c r="JDX55" s="113"/>
      <c r="JDY55" s="113"/>
      <c r="JDZ55" s="113"/>
      <c r="JEA55" s="113"/>
      <c r="JEB55" s="113"/>
      <c r="JEC55" s="113"/>
      <c r="JED55" s="113"/>
      <c r="JEE55" s="113"/>
      <c r="JEF55" s="113"/>
      <c r="JEG55" s="113"/>
      <c r="JEH55" s="113"/>
      <c r="JEI55" s="113"/>
      <c r="JEJ55" s="113"/>
      <c r="JEK55" s="113"/>
      <c r="JEL55" s="113"/>
      <c r="JEM55" s="113"/>
      <c r="JEN55" s="113"/>
      <c r="JEO55" s="113"/>
      <c r="JEP55" s="113"/>
      <c r="JEQ55" s="113"/>
      <c r="JER55" s="113"/>
      <c r="JES55" s="113"/>
      <c r="JET55" s="113"/>
      <c r="JEU55" s="113"/>
      <c r="JEV55" s="113"/>
      <c r="JEW55" s="113"/>
      <c r="JEX55" s="113"/>
      <c r="JEY55" s="113"/>
      <c r="JEZ55" s="113"/>
      <c r="JFA55" s="113"/>
      <c r="JFB55" s="113"/>
      <c r="JFC55" s="113"/>
      <c r="JFD55" s="113"/>
      <c r="JFE55" s="113"/>
      <c r="JFF55" s="113"/>
      <c r="JFG55" s="113"/>
      <c r="JFH55" s="113"/>
      <c r="JFI55" s="113"/>
      <c r="JFJ55" s="113"/>
      <c r="JFK55" s="113"/>
      <c r="JFL55" s="113"/>
      <c r="JFM55" s="113"/>
      <c r="JFN55" s="113"/>
      <c r="JFO55" s="113"/>
      <c r="JFP55" s="113"/>
      <c r="JFQ55" s="113"/>
      <c r="JFR55" s="113"/>
      <c r="JFS55" s="113"/>
      <c r="JFT55" s="113"/>
      <c r="JFU55" s="113"/>
      <c r="JFV55" s="113"/>
      <c r="JFW55" s="113"/>
      <c r="JFX55" s="113"/>
      <c r="JFY55" s="113"/>
      <c r="JFZ55" s="113"/>
      <c r="JGA55" s="113"/>
      <c r="JGB55" s="113"/>
      <c r="JGC55" s="113"/>
      <c r="JGD55" s="113"/>
      <c r="JGE55" s="113"/>
      <c r="JGF55" s="113"/>
      <c r="JGG55" s="113"/>
      <c r="JGH55" s="113"/>
      <c r="JGI55" s="113"/>
      <c r="JGJ55" s="113"/>
      <c r="JGK55" s="113"/>
      <c r="JGL55" s="113"/>
      <c r="JGM55" s="113"/>
      <c r="JGN55" s="113"/>
      <c r="JGO55" s="113"/>
      <c r="JGP55" s="113"/>
      <c r="JGQ55" s="113"/>
      <c r="JGR55" s="113"/>
      <c r="JGS55" s="113"/>
      <c r="JGT55" s="113"/>
      <c r="JGU55" s="113"/>
      <c r="JGV55" s="113"/>
      <c r="JGW55" s="113"/>
      <c r="JGX55" s="113"/>
      <c r="JGY55" s="113"/>
      <c r="JGZ55" s="113"/>
      <c r="JHA55" s="113"/>
      <c r="JHB55" s="113"/>
      <c r="JHC55" s="113"/>
      <c r="JHD55" s="113"/>
      <c r="JHE55" s="113"/>
      <c r="JHF55" s="113"/>
      <c r="JHG55" s="113"/>
      <c r="JHH55" s="113"/>
      <c r="JHI55" s="113"/>
      <c r="JHJ55" s="113"/>
      <c r="JHK55" s="113"/>
      <c r="JHL55" s="113"/>
      <c r="JHM55" s="113"/>
      <c r="JHN55" s="113"/>
      <c r="JHO55" s="113"/>
      <c r="JHP55" s="113"/>
      <c r="JHQ55" s="113"/>
      <c r="JHR55" s="113"/>
      <c r="JHS55" s="113"/>
      <c r="JHT55" s="113"/>
      <c r="JHU55" s="113"/>
      <c r="JHV55" s="113"/>
      <c r="JHW55" s="113"/>
      <c r="JHX55" s="113"/>
      <c r="JHY55" s="113"/>
      <c r="JHZ55" s="113"/>
      <c r="JIA55" s="113"/>
      <c r="JIB55" s="113"/>
      <c r="JIC55" s="113"/>
      <c r="JID55" s="113"/>
      <c r="JIE55" s="113"/>
      <c r="JIF55" s="113"/>
      <c r="JIG55" s="113"/>
      <c r="JIH55" s="113"/>
      <c r="JII55" s="113"/>
      <c r="JIJ55" s="113"/>
      <c r="JIK55" s="113"/>
      <c r="JIL55" s="113"/>
      <c r="JIM55" s="113"/>
      <c r="JIN55" s="113"/>
      <c r="JIO55" s="113"/>
      <c r="JIP55" s="113"/>
      <c r="JIQ55" s="113"/>
      <c r="JIR55" s="113"/>
      <c r="JIS55" s="113"/>
      <c r="JIT55" s="113"/>
      <c r="JIU55" s="113"/>
      <c r="JIV55" s="113"/>
      <c r="JIW55" s="113"/>
      <c r="JIX55" s="113"/>
      <c r="JIY55" s="113"/>
      <c r="JIZ55" s="113"/>
      <c r="JJA55" s="113"/>
      <c r="JJB55" s="113"/>
      <c r="JJC55" s="113"/>
      <c r="JJD55" s="113"/>
      <c r="JJE55" s="113"/>
      <c r="JJF55" s="113"/>
      <c r="JJG55" s="113"/>
      <c r="JJH55" s="113"/>
      <c r="JJI55" s="113"/>
      <c r="JJJ55" s="113"/>
      <c r="JJK55" s="113"/>
      <c r="JJL55" s="113"/>
      <c r="JJM55" s="113"/>
      <c r="JJN55" s="113"/>
      <c r="JJO55" s="113"/>
      <c r="JJP55" s="113"/>
      <c r="JJQ55" s="113"/>
      <c r="JJR55" s="113"/>
      <c r="JJS55" s="113"/>
      <c r="JJT55" s="113"/>
      <c r="JJU55" s="113"/>
      <c r="JJV55" s="113"/>
      <c r="JJW55" s="113"/>
      <c r="JJX55" s="113"/>
      <c r="JJY55" s="113"/>
      <c r="JJZ55" s="113"/>
      <c r="JKA55" s="113"/>
      <c r="JKB55" s="113"/>
      <c r="JKC55" s="113"/>
      <c r="JKD55" s="113"/>
      <c r="JKE55" s="113"/>
      <c r="JKF55" s="113"/>
      <c r="JKG55" s="113"/>
      <c r="JKH55" s="113"/>
      <c r="JKI55" s="113"/>
      <c r="JKJ55" s="113"/>
      <c r="JKK55" s="113"/>
      <c r="JKL55" s="113"/>
      <c r="JKM55" s="113"/>
      <c r="JKN55" s="113"/>
      <c r="JKO55" s="113"/>
      <c r="JKP55" s="113"/>
      <c r="JKQ55" s="113"/>
      <c r="JKR55" s="113"/>
      <c r="JKS55" s="113"/>
      <c r="JKT55" s="113"/>
      <c r="JKU55" s="113"/>
      <c r="JKV55" s="113"/>
      <c r="JKW55" s="113"/>
      <c r="JKX55" s="113"/>
      <c r="JKY55" s="113"/>
      <c r="JKZ55" s="113"/>
      <c r="JLA55" s="113"/>
      <c r="JLB55" s="113"/>
      <c r="JLC55" s="113"/>
      <c r="JLD55" s="113"/>
      <c r="JLE55" s="113"/>
      <c r="JLF55" s="113"/>
      <c r="JLG55" s="113"/>
      <c r="JLH55" s="113"/>
      <c r="JLI55" s="113"/>
      <c r="JLJ55" s="113"/>
      <c r="JLK55" s="113"/>
      <c r="JLL55" s="113"/>
      <c r="JLM55" s="113"/>
      <c r="JLN55" s="113"/>
      <c r="JLO55" s="113"/>
      <c r="JLP55" s="113"/>
      <c r="JLQ55" s="113"/>
      <c r="JLR55" s="113"/>
      <c r="JLS55" s="113"/>
      <c r="JLT55" s="113"/>
      <c r="JLU55" s="113"/>
      <c r="JLV55" s="113"/>
      <c r="JLW55" s="113"/>
      <c r="JLX55" s="113"/>
      <c r="JLY55" s="113"/>
      <c r="JLZ55" s="113"/>
      <c r="JMA55" s="113"/>
      <c r="JMB55" s="113"/>
      <c r="JMC55" s="113"/>
      <c r="JMD55" s="113"/>
      <c r="JME55" s="113"/>
      <c r="JMF55" s="113"/>
      <c r="JMG55" s="113"/>
      <c r="JMH55" s="113"/>
      <c r="JMI55" s="113"/>
      <c r="JMJ55" s="113"/>
      <c r="JMK55" s="113"/>
      <c r="JML55" s="113"/>
      <c r="JMM55" s="113"/>
      <c r="JMN55" s="113"/>
      <c r="JMO55" s="113"/>
      <c r="JMP55" s="113"/>
      <c r="JMQ55" s="113"/>
      <c r="JMR55" s="113"/>
      <c r="JMS55" s="113"/>
      <c r="JMT55" s="113"/>
      <c r="JMU55" s="113"/>
      <c r="JMV55" s="113"/>
      <c r="JMW55" s="113"/>
      <c r="JMX55" s="113"/>
      <c r="JMY55" s="113"/>
      <c r="JMZ55" s="113"/>
      <c r="JNA55" s="113"/>
      <c r="JNB55" s="113"/>
      <c r="JNC55" s="113"/>
      <c r="JND55" s="113"/>
      <c r="JNE55" s="113"/>
      <c r="JNF55" s="113"/>
      <c r="JNG55" s="113"/>
      <c r="JNH55" s="113"/>
      <c r="JNI55" s="113"/>
      <c r="JNJ55" s="113"/>
      <c r="JNK55" s="113"/>
      <c r="JNL55" s="113"/>
      <c r="JNM55" s="113"/>
      <c r="JNN55" s="113"/>
      <c r="JNO55" s="113"/>
      <c r="JNP55" s="113"/>
      <c r="JNQ55" s="113"/>
      <c r="JNR55" s="113"/>
      <c r="JNS55" s="113"/>
      <c r="JNT55" s="113"/>
      <c r="JNU55" s="113"/>
      <c r="JNV55" s="113"/>
      <c r="JNW55" s="113"/>
      <c r="JNX55" s="113"/>
      <c r="JNY55" s="113"/>
      <c r="JNZ55" s="113"/>
      <c r="JOA55" s="113"/>
      <c r="JOB55" s="113"/>
      <c r="JOC55" s="113"/>
      <c r="JOD55" s="113"/>
      <c r="JOE55" s="113"/>
      <c r="JOF55" s="113"/>
      <c r="JOG55" s="113"/>
      <c r="JOH55" s="113"/>
      <c r="JOI55" s="113"/>
      <c r="JOJ55" s="113"/>
      <c r="JOK55" s="113"/>
      <c r="JOL55" s="113"/>
      <c r="JOM55" s="113"/>
      <c r="JON55" s="113"/>
      <c r="JOO55" s="113"/>
      <c r="JOP55" s="113"/>
      <c r="JOQ55" s="113"/>
      <c r="JOR55" s="113"/>
      <c r="JOS55" s="113"/>
      <c r="JOT55" s="113"/>
      <c r="JOU55" s="113"/>
      <c r="JOV55" s="113"/>
      <c r="JOW55" s="113"/>
      <c r="JOX55" s="113"/>
      <c r="JOY55" s="113"/>
      <c r="JOZ55" s="113"/>
      <c r="JPA55" s="113"/>
      <c r="JPB55" s="113"/>
      <c r="JPC55" s="113"/>
      <c r="JPD55" s="113"/>
      <c r="JPE55" s="113"/>
      <c r="JPF55" s="113"/>
      <c r="JPG55" s="113"/>
      <c r="JPH55" s="113"/>
      <c r="JPI55" s="113"/>
      <c r="JPJ55" s="113"/>
      <c r="JPK55" s="113"/>
      <c r="JPL55" s="113"/>
      <c r="JPM55" s="113"/>
      <c r="JPN55" s="113"/>
      <c r="JPO55" s="113"/>
      <c r="JPP55" s="113"/>
      <c r="JPQ55" s="113"/>
      <c r="JPR55" s="113"/>
      <c r="JPS55" s="113"/>
      <c r="JPT55" s="113"/>
      <c r="JPU55" s="113"/>
      <c r="JPV55" s="113"/>
      <c r="JPW55" s="113"/>
      <c r="JPX55" s="113"/>
      <c r="JPY55" s="113"/>
      <c r="JPZ55" s="113"/>
      <c r="JQA55" s="113"/>
      <c r="JQB55" s="113"/>
      <c r="JQC55" s="113"/>
      <c r="JQD55" s="113"/>
      <c r="JQE55" s="113"/>
      <c r="JQF55" s="113"/>
      <c r="JQG55" s="113"/>
      <c r="JQH55" s="113"/>
      <c r="JQI55" s="113"/>
      <c r="JQJ55" s="113"/>
      <c r="JQK55" s="113"/>
      <c r="JQL55" s="113"/>
      <c r="JQM55" s="113"/>
      <c r="JQN55" s="113"/>
      <c r="JQO55" s="113"/>
      <c r="JQP55" s="113"/>
      <c r="JQQ55" s="113"/>
      <c r="JQR55" s="113"/>
      <c r="JQS55" s="113"/>
      <c r="JQT55" s="113"/>
      <c r="JQU55" s="113"/>
      <c r="JQV55" s="113"/>
      <c r="JQW55" s="113"/>
      <c r="JQX55" s="113"/>
      <c r="JQY55" s="113"/>
      <c r="JQZ55" s="113"/>
      <c r="JRA55" s="113"/>
      <c r="JRB55" s="113"/>
      <c r="JRC55" s="113"/>
      <c r="JRD55" s="113"/>
      <c r="JRE55" s="113"/>
      <c r="JRF55" s="113"/>
      <c r="JRG55" s="113"/>
      <c r="JRH55" s="113"/>
      <c r="JRI55" s="113"/>
      <c r="JRJ55" s="113"/>
      <c r="JRK55" s="113"/>
      <c r="JRL55" s="113"/>
      <c r="JRM55" s="113"/>
      <c r="JRN55" s="113"/>
      <c r="JRO55" s="113"/>
      <c r="JRP55" s="113"/>
      <c r="JRQ55" s="113"/>
      <c r="JRR55" s="113"/>
      <c r="JRS55" s="113"/>
      <c r="JRT55" s="113"/>
      <c r="JRU55" s="113"/>
      <c r="JRV55" s="113"/>
      <c r="JRW55" s="113"/>
      <c r="JRX55" s="113"/>
      <c r="JRY55" s="113"/>
      <c r="JRZ55" s="113"/>
      <c r="JSA55" s="113"/>
      <c r="JSB55" s="113"/>
      <c r="JSC55" s="113"/>
      <c r="JSD55" s="113"/>
      <c r="JSE55" s="113"/>
      <c r="JSF55" s="113"/>
      <c r="JSG55" s="113"/>
      <c r="JSH55" s="113"/>
      <c r="JSI55" s="113"/>
      <c r="JSJ55" s="113"/>
      <c r="JSK55" s="113"/>
      <c r="JSL55" s="113"/>
      <c r="JSM55" s="113"/>
      <c r="JSN55" s="113"/>
      <c r="JSO55" s="113"/>
      <c r="JSP55" s="113"/>
      <c r="JSQ55" s="113"/>
      <c r="JSR55" s="113"/>
      <c r="JSS55" s="113"/>
      <c r="JST55" s="113"/>
      <c r="JSU55" s="113"/>
      <c r="JSV55" s="113"/>
      <c r="JSW55" s="113"/>
      <c r="JSX55" s="113"/>
      <c r="JSY55" s="113"/>
      <c r="JSZ55" s="113"/>
      <c r="JTA55" s="113"/>
      <c r="JTB55" s="113"/>
      <c r="JTC55" s="113"/>
      <c r="JTD55" s="113"/>
      <c r="JTE55" s="113"/>
      <c r="JTF55" s="113"/>
      <c r="JTG55" s="113"/>
      <c r="JTH55" s="113"/>
      <c r="JTI55" s="113"/>
      <c r="JTJ55" s="113"/>
      <c r="JTK55" s="113"/>
      <c r="JTL55" s="113"/>
      <c r="JTM55" s="113"/>
      <c r="JTN55" s="113"/>
      <c r="JTO55" s="113"/>
      <c r="JTP55" s="113"/>
      <c r="JTQ55" s="113"/>
      <c r="JTR55" s="113"/>
      <c r="JTS55" s="113"/>
      <c r="JTT55" s="113"/>
      <c r="JTU55" s="113"/>
      <c r="JTV55" s="113"/>
      <c r="JTW55" s="113"/>
      <c r="JTX55" s="113"/>
      <c r="JTY55" s="113"/>
      <c r="JTZ55" s="113"/>
      <c r="JUA55" s="113"/>
      <c r="JUB55" s="113"/>
      <c r="JUC55" s="113"/>
      <c r="JUD55" s="113"/>
      <c r="JUE55" s="113"/>
      <c r="JUF55" s="113"/>
      <c r="JUG55" s="113"/>
      <c r="JUH55" s="113"/>
      <c r="JUI55" s="113"/>
      <c r="JUJ55" s="113"/>
      <c r="JUK55" s="113"/>
      <c r="JUL55" s="113"/>
      <c r="JUM55" s="113"/>
      <c r="JUN55" s="113"/>
      <c r="JUO55" s="113"/>
      <c r="JUP55" s="113"/>
      <c r="JUQ55" s="113"/>
      <c r="JUR55" s="113"/>
      <c r="JUS55" s="113"/>
      <c r="JUT55" s="113"/>
      <c r="JUU55" s="113"/>
      <c r="JUV55" s="113"/>
      <c r="JUW55" s="113"/>
      <c r="JUX55" s="113"/>
      <c r="JUY55" s="113"/>
      <c r="JUZ55" s="113"/>
      <c r="JVA55" s="113"/>
      <c r="JVB55" s="113"/>
      <c r="JVC55" s="113"/>
      <c r="JVD55" s="113"/>
      <c r="JVE55" s="113"/>
      <c r="JVF55" s="113"/>
      <c r="JVG55" s="113"/>
      <c r="JVH55" s="113"/>
      <c r="JVI55" s="113"/>
      <c r="JVJ55" s="113"/>
      <c r="JVK55" s="113"/>
      <c r="JVL55" s="113"/>
      <c r="JVM55" s="113"/>
      <c r="JVN55" s="113"/>
      <c r="JVO55" s="113"/>
      <c r="JVP55" s="113"/>
      <c r="JVQ55" s="113"/>
      <c r="JVR55" s="113"/>
      <c r="JVS55" s="113"/>
      <c r="JVT55" s="113"/>
      <c r="JVU55" s="113"/>
      <c r="JVV55" s="113"/>
      <c r="JVW55" s="113"/>
      <c r="JVX55" s="113"/>
      <c r="JVY55" s="113"/>
      <c r="JVZ55" s="113"/>
      <c r="JWA55" s="113"/>
      <c r="JWB55" s="113"/>
      <c r="JWC55" s="113"/>
      <c r="JWD55" s="113"/>
      <c r="JWE55" s="113"/>
      <c r="JWF55" s="113"/>
      <c r="JWG55" s="113"/>
      <c r="JWH55" s="113"/>
      <c r="JWI55" s="113"/>
      <c r="JWJ55" s="113"/>
      <c r="JWK55" s="113"/>
      <c r="JWL55" s="113"/>
      <c r="JWM55" s="113"/>
      <c r="JWN55" s="113"/>
      <c r="JWO55" s="113"/>
      <c r="JWP55" s="113"/>
      <c r="JWQ55" s="113"/>
      <c r="JWR55" s="113"/>
      <c r="JWS55" s="113"/>
      <c r="JWT55" s="113"/>
      <c r="JWU55" s="113"/>
      <c r="JWV55" s="113"/>
      <c r="JWW55" s="113"/>
      <c r="JWX55" s="113"/>
      <c r="JWY55" s="113"/>
      <c r="JWZ55" s="113"/>
      <c r="JXA55" s="113"/>
      <c r="JXB55" s="113"/>
      <c r="JXC55" s="113"/>
      <c r="JXD55" s="113"/>
      <c r="JXE55" s="113"/>
      <c r="JXF55" s="113"/>
      <c r="JXG55" s="113"/>
      <c r="JXH55" s="113"/>
      <c r="JXI55" s="113"/>
      <c r="JXJ55" s="113"/>
      <c r="JXK55" s="113"/>
      <c r="JXL55" s="113"/>
      <c r="JXM55" s="113"/>
      <c r="JXN55" s="113"/>
      <c r="JXO55" s="113"/>
      <c r="JXP55" s="113"/>
      <c r="JXQ55" s="113"/>
      <c r="JXR55" s="113"/>
      <c r="JXS55" s="113"/>
      <c r="JXT55" s="113"/>
      <c r="JXU55" s="113"/>
      <c r="JXV55" s="113"/>
      <c r="JXW55" s="113"/>
      <c r="JXX55" s="113"/>
      <c r="JXY55" s="113"/>
      <c r="JXZ55" s="113"/>
      <c r="JYA55" s="113"/>
      <c r="JYB55" s="113"/>
      <c r="JYC55" s="113"/>
      <c r="JYD55" s="113"/>
      <c r="JYE55" s="113"/>
      <c r="JYF55" s="113"/>
      <c r="JYG55" s="113"/>
      <c r="JYH55" s="113"/>
      <c r="JYI55" s="113"/>
      <c r="JYJ55" s="113"/>
      <c r="JYK55" s="113"/>
      <c r="JYL55" s="113"/>
      <c r="JYM55" s="113"/>
      <c r="JYN55" s="113"/>
      <c r="JYO55" s="113"/>
      <c r="JYP55" s="113"/>
      <c r="JYQ55" s="113"/>
      <c r="JYR55" s="113"/>
      <c r="JYS55" s="113"/>
      <c r="JYT55" s="113"/>
      <c r="JYU55" s="113"/>
      <c r="JYV55" s="113"/>
      <c r="JYW55" s="113"/>
      <c r="JYX55" s="113"/>
      <c r="JYY55" s="113"/>
      <c r="JYZ55" s="113"/>
      <c r="JZA55" s="113"/>
      <c r="JZB55" s="113"/>
      <c r="JZC55" s="113"/>
      <c r="JZD55" s="113"/>
      <c r="JZE55" s="113"/>
      <c r="JZF55" s="113"/>
      <c r="JZG55" s="113"/>
      <c r="JZH55" s="113"/>
      <c r="JZI55" s="113"/>
      <c r="JZJ55" s="113"/>
      <c r="JZK55" s="113"/>
      <c r="JZL55" s="113"/>
      <c r="JZM55" s="113"/>
      <c r="JZN55" s="113"/>
      <c r="JZO55" s="113"/>
      <c r="JZP55" s="113"/>
      <c r="JZQ55" s="113"/>
      <c r="JZR55" s="113"/>
      <c r="JZS55" s="113"/>
      <c r="JZT55" s="113"/>
      <c r="JZU55" s="113"/>
      <c r="JZV55" s="113"/>
      <c r="JZW55" s="113"/>
      <c r="JZX55" s="113"/>
      <c r="JZY55" s="113"/>
      <c r="JZZ55" s="113"/>
      <c r="KAA55" s="113"/>
      <c r="KAB55" s="113"/>
      <c r="KAC55" s="113"/>
      <c r="KAD55" s="113"/>
      <c r="KAE55" s="113"/>
      <c r="KAF55" s="113"/>
      <c r="KAG55" s="113"/>
      <c r="KAH55" s="113"/>
      <c r="KAI55" s="113"/>
      <c r="KAJ55" s="113"/>
      <c r="KAK55" s="113"/>
      <c r="KAL55" s="113"/>
      <c r="KAM55" s="113"/>
      <c r="KAN55" s="113"/>
      <c r="KAO55" s="113"/>
      <c r="KAP55" s="113"/>
      <c r="KAQ55" s="113"/>
      <c r="KAR55" s="113"/>
      <c r="KAS55" s="113"/>
      <c r="KAT55" s="113"/>
      <c r="KAU55" s="113"/>
      <c r="KAV55" s="113"/>
      <c r="KAW55" s="113"/>
      <c r="KAX55" s="113"/>
      <c r="KAY55" s="113"/>
      <c r="KAZ55" s="113"/>
      <c r="KBA55" s="113"/>
      <c r="KBB55" s="113"/>
      <c r="KBC55" s="113"/>
      <c r="KBD55" s="113"/>
      <c r="KBE55" s="113"/>
      <c r="KBF55" s="113"/>
      <c r="KBG55" s="113"/>
      <c r="KBH55" s="113"/>
      <c r="KBI55" s="113"/>
      <c r="KBJ55" s="113"/>
      <c r="KBK55" s="113"/>
      <c r="KBL55" s="113"/>
      <c r="KBM55" s="113"/>
      <c r="KBN55" s="113"/>
      <c r="KBO55" s="113"/>
      <c r="KBP55" s="113"/>
      <c r="KBQ55" s="113"/>
      <c r="KBR55" s="113"/>
      <c r="KBS55" s="113"/>
      <c r="KBT55" s="113"/>
      <c r="KBU55" s="113"/>
      <c r="KBV55" s="113"/>
      <c r="KBW55" s="113"/>
      <c r="KBX55" s="113"/>
      <c r="KBY55" s="113"/>
      <c r="KBZ55" s="113"/>
      <c r="KCA55" s="113"/>
      <c r="KCB55" s="113"/>
      <c r="KCC55" s="113"/>
      <c r="KCD55" s="113"/>
      <c r="KCE55" s="113"/>
      <c r="KCF55" s="113"/>
      <c r="KCG55" s="113"/>
      <c r="KCH55" s="113"/>
      <c r="KCI55" s="113"/>
      <c r="KCJ55" s="113"/>
      <c r="KCK55" s="113"/>
      <c r="KCL55" s="113"/>
      <c r="KCM55" s="113"/>
      <c r="KCN55" s="113"/>
      <c r="KCO55" s="113"/>
      <c r="KCP55" s="113"/>
      <c r="KCQ55" s="113"/>
      <c r="KCR55" s="113"/>
      <c r="KCS55" s="113"/>
      <c r="KCT55" s="113"/>
      <c r="KCU55" s="113"/>
      <c r="KCV55" s="113"/>
      <c r="KCW55" s="113"/>
      <c r="KCX55" s="113"/>
      <c r="KCY55" s="113"/>
      <c r="KCZ55" s="113"/>
      <c r="KDA55" s="113"/>
      <c r="KDB55" s="113"/>
      <c r="KDC55" s="113"/>
      <c r="KDD55" s="113"/>
      <c r="KDE55" s="113"/>
      <c r="KDF55" s="113"/>
      <c r="KDG55" s="113"/>
      <c r="KDH55" s="113"/>
      <c r="KDI55" s="113"/>
      <c r="KDJ55" s="113"/>
      <c r="KDK55" s="113"/>
      <c r="KDL55" s="113"/>
      <c r="KDM55" s="113"/>
      <c r="KDN55" s="113"/>
      <c r="KDO55" s="113"/>
      <c r="KDP55" s="113"/>
      <c r="KDQ55" s="113"/>
      <c r="KDR55" s="113"/>
      <c r="KDS55" s="113"/>
      <c r="KDT55" s="113"/>
      <c r="KDU55" s="113"/>
      <c r="KDV55" s="113"/>
      <c r="KDW55" s="113"/>
      <c r="KDX55" s="113"/>
      <c r="KDY55" s="113"/>
      <c r="KDZ55" s="113"/>
      <c r="KEA55" s="113"/>
      <c r="KEB55" s="113"/>
      <c r="KEC55" s="113"/>
      <c r="KED55" s="113"/>
      <c r="KEE55" s="113"/>
      <c r="KEF55" s="113"/>
      <c r="KEG55" s="113"/>
      <c r="KEH55" s="113"/>
      <c r="KEI55" s="113"/>
      <c r="KEJ55" s="113"/>
      <c r="KEK55" s="113"/>
      <c r="KEL55" s="113"/>
      <c r="KEM55" s="113"/>
      <c r="KEN55" s="113"/>
      <c r="KEO55" s="113"/>
      <c r="KEP55" s="113"/>
      <c r="KEQ55" s="113"/>
      <c r="KER55" s="113"/>
      <c r="KES55" s="113"/>
      <c r="KET55" s="113"/>
      <c r="KEU55" s="113"/>
      <c r="KEV55" s="113"/>
      <c r="KEW55" s="113"/>
      <c r="KEX55" s="113"/>
      <c r="KEY55" s="113"/>
      <c r="KEZ55" s="113"/>
      <c r="KFA55" s="113"/>
      <c r="KFB55" s="113"/>
      <c r="KFC55" s="113"/>
      <c r="KFD55" s="113"/>
      <c r="KFE55" s="113"/>
      <c r="KFF55" s="113"/>
      <c r="KFG55" s="113"/>
      <c r="KFH55" s="113"/>
      <c r="KFI55" s="113"/>
      <c r="KFJ55" s="113"/>
      <c r="KFK55" s="113"/>
      <c r="KFL55" s="113"/>
      <c r="KFM55" s="113"/>
      <c r="KFN55" s="113"/>
      <c r="KFO55" s="113"/>
      <c r="KFP55" s="113"/>
      <c r="KFQ55" s="113"/>
      <c r="KFR55" s="113"/>
      <c r="KFS55" s="113"/>
      <c r="KFT55" s="113"/>
      <c r="KFU55" s="113"/>
      <c r="KFV55" s="113"/>
      <c r="KFW55" s="113"/>
      <c r="KFX55" s="113"/>
      <c r="KFY55" s="113"/>
      <c r="KFZ55" s="113"/>
      <c r="KGA55" s="113"/>
      <c r="KGB55" s="113"/>
      <c r="KGC55" s="113"/>
      <c r="KGD55" s="113"/>
      <c r="KGE55" s="113"/>
      <c r="KGF55" s="113"/>
      <c r="KGG55" s="113"/>
      <c r="KGH55" s="113"/>
      <c r="KGI55" s="113"/>
      <c r="KGJ55" s="113"/>
      <c r="KGK55" s="113"/>
      <c r="KGL55" s="113"/>
      <c r="KGM55" s="113"/>
      <c r="KGN55" s="113"/>
      <c r="KGO55" s="113"/>
      <c r="KGP55" s="113"/>
      <c r="KGQ55" s="113"/>
      <c r="KGR55" s="113"/>
      <c r="KGS55" s="113"/>
      <c r="KGT55" s="113"/>
      <c r="KGU55" s="113"/>
      <c r="KGV55" s="113"/>
      <c r="KGW55" s="113"/>
      <c r="KGX55" s="113"/>
      <c r="KGY55" s="113"/>
      <c r="KGZ55" s="113"/>
      <c r="KHA55" s="113"/>
      <c r="KHB55" s="113"/>
      <c r="KHC55" s="113"/>
      <c r="KHD55" s="113"/>
      <c r="KHE55" s="113"/>
      <c r="KHF55" s="113"/>
      <c r="KHG55" s="113"/>
      <c r="KHH55" s="113"/>
      <c r="KHI55" s="113"/>
      <c r="KHJ55" s="113"/>
      <c r="KHK55" s="113"/>
      <c r="KHL55" s="113"/>
      <c r="KHM55" s="113"/>
      <c r="KHN55" s="113"/>
      <c r="KHO55" s="113"/>
      <c r="KHP55" s="113"/>
      <c r="KHQ55" s="113"/>
      <c r="KHR55" s="113"/>
      <c r="KHS55" s="113"/>
      <c r="KHT55" s="113"/>
      <c r="KHU55" s="113"/>
      <c r="KHV55" s="113"/>
      <c r="KHW55" s="113"/>
      <c r="KHX55" s="113"/>
      <c r="KHY55" s="113"/>
      <c r="KHZ55" s="113"/>
      <c r="KIA55" s="113"/>
      <c r="KIB55" s="113"/>
      <c r="KIC55" s="113"/>
      <c r="KID55" s="113"/>
      <c r="KIE55" s="113"/>
      <c r="KIF55" s="113"/>
      <c r="KIG55" s="113"/>
      <c r="KIH55" s="113"/>
      <c r="KII55" s="113"/>
      <c r="KIJ55" s="113"/>
      <c r="KIK55" s="113"/>
      <c r="KIL55" s="113"/>
      <c r="KIM55" s="113"/>
      <c r="KIN55" s="113"/>
      <c r="KIO55" s="113"/>
      <c r="KIP55" s="113"/>
      <c r="KIQ55" s="113"/>
      <c r="KIR55" s="113"/>
      <c r="KIS55" s="113"/>
      <c r="KIT55" s="113"/>
      <c r="KIU55" s="113"/>
      <c r="KIV55" s="113"/>
      <c r="KIW55" s="113"/>
      <c r="KIX55" s="113"/>
      <c r="KIY55" s="113"/>
      <c r="KIZ55" s="113"/>
      <c r="KJA55" s="113"/>
      <c r="KJB55" s="113"/>
      <c r="KJC55" s="113"/>
      <c r="KJD55" s="113"/>
      <c r="KJE55" s="113"/>
      <c r="KJF55" s="113"/>
      <c r="KJG55" s="113"/>
      <c r="KJH55" s="113"/>
      <c r="KJI55" s="113"/>
      <c r="KJJ55" s="113"/>
      <c r="KJK55" s="113"/>
      <c r="KJL55" s="113"/>
      <c r="KJM55" s="113"/>
      <c r="KJN55" s="113"/>
      <c r="KJO55" s="113"/>
      <c r="KJP55" s="113"/>
      <c r="KJQ55" s="113"/>
      <c r="KJR55" s="113"/>
      <c r="KJS55" s="113"/>
      <c r="KJT55" s="113"/>
      <c r="KJU55" s="113"/>
      <c r="KJV55" s="113"/>
      <c r="KJW55" s="113"/>
      <c r="KJX55" s="113"/>
      <c r="KJY55" s="113"/>
      <c r="KJZ55" s="113"/>
      <c r="KKA55" s="113"/>
      <c r="KKB55" s="113"/>
      <c r="KKC55" s="113"/>
      <c r="KKD55" s="113"/>
      <c r="KKE55" s="113"/>
      <c r="KKF55" s="113"/>
      <c r="KKG55" s="113"/>
      <c r="KKH55" s="113"/>
      <c r="KKI55" s="113"/>
      <c r="KKJ55" s="113"/>
      <c r="KKK55" s="113"/>
      <c r="KKL55" s="113"/>
      <c r="KKM55" s="113"/>
      <c r="KKN55" s="113"/>
      <c r="KKO55" s="113"/>
      <c r="KKP55" s="113"/>
      <c r="KKQ55" s="113"/>
      <c r="KKR55" s="113"/>
      <c r="KKS55" s="113"/>
      <c r="KKT55" s="113"/>
      <c r="KKU55" s="113"/>
      <c r="KKV55" s="113"/>
      <c r="KKW55" s="113"/>
      <c r="KKX55" s="113"/>
      <c r="KKY55" s="113"/>
      <c r="KKZ55" s="113"/>
      <c r="KLA55" s="113"/>
      <c r="KLB55" s="113"/>
      <c r="KLC55" s="113"/>
      <c r="KLD55" s="113"/>
      <c r="KLE55" s="113"/>
      <c r="KLF55" s="113"/>
      <c r="KLG55" s="113"/>
      <c r="KLH55" s="113"/>
      <c r="KLI55" s="113"/>
      <c r="KLJ55" s="113"/>
      <c r="KLK55" s="113"/>
      <c r="KLL55" s="113"/>
      <c r="KLM55" s="113"/>
      <c r="KLN55" s="113"/>
      <c r="KLO55" s="113"/>
      <c r="KLP55" s="113"/>
      <c r="KLQ55" s="113"/>
      <c r="KLR55" s="113"/>
      <c r="KLS55" s="113"/>
      <c r="KLT55" s="113"/>
      <c r="KLU55" s="113"/>
      <c r="KLV55" s="113"/>
      <c r="KLW55" s="113"/>
      <c r="KLX55" s="113"/>
      <c r="KLY55" s="113"/>
      <c r="KLZ55" s="113"/>
      <c r="KMA55" s="113"/>
      <c r="KMB55" s="113"/>
      <c r="KMC55" s="113"/>
      <c r="KMD55" s="113"/>
      <c r="KME55" s="113"/>
      <c r="KMF55" s="113"/>
      <c r="KMG55" s="113"/>
      <c r="KMH55" s="113"/>
      <c r="KMI55" s="113"/>
      <c r="KMJ55" s="113"/>
      <c r="KMK55" s="113"/>
      <c r="KML55" s="113"/>
      <c r="KMM55" s="113"/>
      <c r="KMN55" s="113"/>
      <c r="KMO55" s="113"/>
      <c r="KMP55" s="113"/>
      <c r="KMQ55" s="113"/>
      <c r="KMR55" s="113"/>
      <c r="KMS55" s="113"/>
      <c r="KMT55" s="113"/>
      <c r="KMU55" s="113"/>
      <c r="KMV55" s="113"/>
      <c r="KMW55" s="113"/>
      <c r="KMX55" s="113"/>
      <c r="KMY55" s="113"/>
      <c r="KMZ55" s="113"/>
      <c r="KNA55" s="113"/>
      <c r="KNB55" s="113"/>
      <c r="KNC55" s="113"/>
      <c r="KND55" s="113"/>
      <c r="KNE55" s="113"/>
      <c r="KNF55" s="113"/>
      <c r="KNG55" s="113"/>
      <c r="KNH55" s="113"/>
      <c r="KNI55" s="113"/>
      <c r="KNJ55" s="113"/>
      <c r="KNK55" s="113"/>
      <c r="KNL55" s="113"/>
      <c r="KNM55" s="113"/>
      <c r="KNN55" s="113"/>
      <c r="KNO55" s="113"/>
      <c r="KNP55" s="113"/>
      <c r="KNQ55" s="113"/>
      <c r="KNR55" s="113"/>
      <c r="KNS55" s="113"/>
      <c r="KNT55" s="113"/>
      <c r="KNU55" s="113"/>
      <c r="KNV55" s="113"/>
      <c r="KNW55" s="113"/>
      <c r="KNX55" s="113"/>
      <c r="KNY55" s="113"/>
      <c r="KNZ55" s="113"/>
      <c r="KOA55" s="113"/>
      <c r="KOB55" s="113"/>
      <c r="KOC55" s="113"/>
      <c r="KOD55" s="113"/>
      <c r="KOE55" s="113"/>
      <c r="KOF55" s="113"/>
      <c r="KOG55" s="113"/>
      <c r="KOH55" s="113"/>
      <c r="KOI55" s="113"/>
      <c r="KOJ55" s="113"/>
      <c r="KOK55" s="113"/>
      <c r="KOL55" s="113"/>
      <c r="KOM55" s="113"/>
      <c r="KON55" s="113"/>
      <c r="KOO55" s="113"/>
      <c r="KOP55" s="113"/>
      <c r="KOQ55" s="113"/>
      <c r="KOR55" s="113"/>
      <c r="KOS55" s="113"/>
      <c r="KOT55" s="113"/>
      <c r="KOU55" s="113"/>
      <c r="KOV55" s="113"/>
      <c r="KOW55" s="113"/>
      <c r="KOX55" s="113"/>
      <c r="KOY55" s="113"/>
      <c r="KOZ55" s="113"/>
      <c r="KPA55" s="113"/>
      <c r="KPB55" s="113"/>
      <c r="KPC55" s="113"/>
      <c r="KPD55" s="113"/>
      <c r="KPE55" s="113"/>
      <c r="KPF55" s="113"/>
      <c r="KPG55" s="113"/>
      <c r="KPH55" s="113"/>
      <c r="KPI55" s="113"/>
      <c r="KPJ55" s="113"/>
      <c r="KPK55" s="113"/>
      <c r="KPL55" s="113"/>
      <c r="KPM55" s="113"/>
      <c r="KPN55" s="113"/>
      <c r="KPO55" s="113"/>
      <c r="KPP55" s="113"/>
      <c r="KPQ55" s="113"/>
      <c r="KPR55" s="113"/>
      <c r="KPS55" s="113"/>
      <c r="KPT55" s="113"/>
      <c r="KPU55" s="113"/>
      <c r="KPV55" s="113"/>
      <c r="KPW55" s="113"/>
      <c r="KPX55" s="113"/>
      <c r="KPY55" s="113"/>
      <c r="KPZ55" s="113"/>
      <c r="KQA55" s="113"/>
      <c r="KQB55" s="113"/>
      <c r="KQC55" s="113"/>
      <c r="KQD55" s="113"/>
      <c r="KQE55" s="113"/>
      <c r="KQF55" s="113"/>
      <c r="KQG55" s="113"/>
      <c r="KQH55" s="113"/>
      <c r="KQI55" s="113"/>
      <c r="KQJ55" s="113"/>
      <c r="KQK55" s="113"/>
      <c r="KQL55" s="113"/>
      <c r="KQM55" s="113"/>
      <c r="KQN55" s="113"/>
      <c r="KQO55" s="113"/>
      <c r="KQP55" s="113"/>
      <c r="KQQ55" s="113"/>
      <c r="KQR55" s="113"/>
      <c r="KQS55" s="113"/>
      <c r="KQT55" s="113"/>
      <c r="KQU55" s="113"/>
      <c r="KQV55" s="113"/>
      <c r="KQW55" s="113"/>
      <c r="KQX55" s="113"/>
      <c r="KQY55" s="113"/>
      <c r="KQZ55" s="113"/>
      <c r="KRA55" s="113"/>
      <c r="KRB55" s="113"/>
      <c r="KRC55" s="113"/>
      <c r="KRD55" s="113"/>
      <c r="KRE55" s="113"/>
      <c r="KRF55" s="113"/>
      <c r="KRG55" s="113"/>
      <c r="KRH55" s="113"/>
      <c r="KRI55" s="113"/>
      <c r="KRJ55" s="113"/>
      <c r="KRK55" s="113"/>
      <c r="KRL55" s="113"/>
      <c r="KRM55" s="113"/>
      <c r="KRN55" s="113"/>
      <c r="KRO55" s="113"/>
      <c r="KRP55" s="113"/>
      <c r="KRQ55" s="113"/>
      <c r="KRR55" s="113"/>
      <c r="KRS55" s="113"/>
      <c r="KRT55" s="113"/>
      <c r="KRU55" s="113"/>
      <c r="KRV55" s="113"/>
      <c r="KRW55" s="113"/>
      <c r="KRX55" s="113"/>
      <c r="KRY55" s="113"/>
      <c r="KRZ55" s="113"/>
      <c r="KSA55" s="113"/>
      <c r="KSB55" s="113"/>
      <c r="KSC55" s="113"/>
      <c r="KSD55" s="113"/>
      <c r="KSE55" s="113"/>
      <c r="KSF55" s="113"/>
      <c r="KSG55" s="113"/>
      <c r="KSH55" s="113"/>
      <c r="KSI55" s="113"/>
      <c r="KSJ55" s="113"/>
      <c r="KSK55" s="113"/>
      <c r="KSL55" s="113"/>
      <c r="KSM55" s="113"/>
      <c r="KSN55" s="113"/>
      <c r="KSO55" s="113"/>
      <c r="KSP55" s="113"/>
      <c r="KSQ55" s="113"/>
      <c r="KSR55" s="113"/>
      <c r="KSS55" s="113"/>
      <c r="KST55" s="113"/>
      <c r="KSU55" s="113"/>
      <c r="KSV55" s="113"/>
      <c r="KSW55" s="113"/>
      <c r="KSX55" s="113"/>
      <c r="KSY55" s="113"/>
      <c r="KSZ55" s="113"/>
      <c r="KTA55" s="113"/>
      <c r="KTB55" s="113"/>
      <c r="KTC55" s="113"/>
      <c r="KTD55" s="113"/>
      <c r="KTE55" s="113"/>
      <c r="KTF55" s="113"/>
      <c r="KTG55" s="113"/>
      <c r="KTH55" s="113"/>
      <c r="KTI55" s="113"/>
      <c r="KTJ55" s="113"/>
      <c r="KTK55" s="113"/>
      <c r="KTL55" s="113"/>
      <c r="KTM55" s="113"/>
      <c r="KTN55" s="113"/>
      <c r="KTO55" s="113"/>
      <c r="KTP55" s="113"/>
      <c r="KTQ55" s="113"/>
      <c r="KTR55" s="113"/>
      <c r="KTS55" s="113"/>
      <c r="KTT55" s="113"/>
      <c r="KTU55" s="113"/>
      <c r="KTV55" s="113"/>
      <c r="KTW55" s="113"/>
      <c r="KTX55" s="113"/>
      <c r="KTY55" s="113"/>
      <c r="KTZ55" s="113"/>
      <c r="KUA55" s="113"/>
      <c r="KUB55" s="113"/>
      <c r="KUC55" s="113"/>
      <c r="KUD55" s="113"/>
      <c r="KUE55" s="113"/>
      <c r="KUF55" s="113"/>
      <c r="KUG55" s="113"/>
      <c r="KUH55" s="113"/>
      <c r="KUI55" s="113"/>
      <c r="KUJ55" s="113"/>
      <c r="KUK55" s="113"/>
      <c r="KUL55" s="113"/>
      <c r="KUM55" s="113"/>
      <c r="KUN55" s="113"/>
      <c r="KUO55" s="113"/>
      <c r="KUP55" s="113"/>
      <c r="KUQ55" s="113"/>
      <c r="KUR55" s="113"/>
      <c r="KUS55" s="113"/>
      <c r="KUT55" s="113"/>
      <c r="KUU55" s="113"/>
      <c r="KUV55" s="113"/>
      <c r="KUW55" s="113"/>
      <c r="KUX55" s="113"/>
      <c r="KUY55" s="113"/>
      <c r="KUZ55" s="113"/>
      <c r="KVA55" s="113"/>
      <c r="KVB55" s="113"/>
      <c r="KVC55" s="113"/>
      <c r="KVD55" s="113"/>
      <c r="KVE55" s="113"/>
      <c r="KVF55" s="113"/>
      <c r="KVG55" s="113"/>
      <c r="KVH55" s="113"/>
      <c r="KVI55" s="113"/>
      <c r="KVJ55" s="113"/>
      <c r="KVK55" s="113"/>
      <c r="KVL55" s="113"/>
      <c r="KVM55" s="113"/>
      <c r="KVN55" s="113"/>
      <c r="KVO55" s="113"/>
      <c r="KVP55" s="113"/>
      <c r="KVQ55" s="113"/>
      <c r="KVR55" s="113"/>
      <c r="KVS55" s="113"/>
      <c r="KVT55" s="113"/>
      <c r="KVU55" s="113"/>
      <c r="KVV55" s="113"/>
      <c r="KVW55" s="113"/>
      <c r="KVX55" s="113"/>
      <c r="KVY55" s="113"/>
      <c r="KVZ55" s="113"/>
      <c r="KWA55" s="113"/>
      <c r="KWB55" s="113"/>
      <c r="KWC55" s="113"/>
      <c r="KWD55" s="113"/>
      <c r="KWE55" s="113"/>
      <c r="KWF55" s="113"/>
      <c r="KWG55" s="113"/>
      <c r="KWH55" s="113"/>
      <c r="KWI55" s="113"/>
      <c r="KWJ55" s="113"/>
      <c r="KWK55" s="113"/>
      <c r="KWL55" s="113"/>
      <c r="KWM55" s="113"/>
      <c r="KWN55" s="113"/>
      <c r="KWO55" s="113"/>
      <c r="KWP55" s="113"/>
      <c r="KWQ55" s="113"/>
      <c r="KWR55" s="113"/>
      <c r="KWS55" s="113"/>
      <c r="KWT55" s="113"/>
      <c r="KWU55" s="113"/>
      <c r="KWV55" s="113"/>
      <c r="KWW55" s="113"/>
      <c r="KWX55" s="113"/>
      <c r="KWY55" s="113"/>
      <c r="KWZ55" s="113"/>
      <c r="KXA55" s="113"/>
      <c r="KXB55" s="113"/>
      <c r="KXC55" s="113"/>
      <c r="KXD55" s="113"/>
      <c r="KXE55" s="113"/>
      <c r="KXF55" s="113"/>
      <c r="KXG55" s="113"/>
      <c r="KXH55" s="113"/>
      <c r="KXI55" s="113"/>
      <c r="KXJ55" s="113"/>
      <c r="KXK55" s="113"/>
      <c r="KXL55" s="113"/>
      <c r="KXM55" s="113"/>
      <c r="KXN55" s="113"/>
      <c r="KXO55" s="113"/>
      <c r="KXP55" s="113"/>
      <c r="KXQ55" s="113"/>
      <c r="KXR55" s="113"/>
      <c r="KXS55" s="113"/>
      <c r="KXT55" s="113"/>
      <c r="KXU55" s="113"/>
      <c r="KXV55" s="113"/>
      <c r="KXW55" s="113"/>
      <c r="KXX55" s="113"/>
      <c r="KXY55" s="113"/>
      <c r="KXZ55" s="113"/>
      <c r="KYA55" s="113"/>
      <c r="KYB55" s="113"/>
      <c r="KYC55" s="113"/>
      <c r="KYD55" s="113"/>
      <c r="KYE55" s="113"/>
      <c r="KYF55" s="113"/>
      <c r="KYG55" s="113"/>
      <c r="KYH55" s="113"/>
      <c r="KYI55" s="113"/>
      <c r="KYJ55" s="113"/>
      <c r="KYK55" s="113"/>
      <c r="KYL55" s="113"/>
      <c r="KYM55" s="113"/>
      <c r="KYN55" s="113"/>
      <c r="KYO55" s="113"/>
      <c r="KYP55" s="113"/>
      <c r="KYQ55" s="113"/>
      <c r="KYR55" s="113"/>
      <c r="KYS55" s="113"/>
      <c r="KYT55" s="113"/>
      <c r="KYU55" s="113"/>
      <c r="KYV55" s="113"/>
      <c r="KYW55" s="113"/>
      <c r="KYX55" s="113"/>
      <c r="KYY55" s="113"/>
      <c r="KYZ55" s="113"/>
      <c r="KZA55" s="113"/>
      <c r="KZB55" s="113"/>
      <c r="KZC55" s="113"/>
      <c r="KZD55" s="113"/>
      <c r="KZE55" s="113"/>
      <c r="KZF55" s="113"/>
      <c r="KZG55" s="113"/>
      <c r="KZH55" s="113"/>
      <c r="KZI55" s="113"/>
      <c r="KZJ55" s="113"/>
      <c r="KZK55" s="113"/>
      <c r="KZL55" s="113"/>
      <c r="KZM55" s="113"/>
      <c r="KZN55" s="113"/>
      <c r="KZO55" s="113"/>
      <c r="KZP55" s="113"/>
      <c r="KZQ55" s="113"/>
      <c r="KZR55" s="113"/>
      <c r="KZS55" s="113"/>
      <c r="KZT55" s="113"/>
      <c r="KZU55" s="113"/>
      <c r="KZV55" s="113"/>
      <c r="KZW55" s="113"/>
      <c r="KZX55" s="113"/>
      <c r="KZY55" s="113"/>
      <c r="KZZ55" s="113"/>
      <c r="LAA55" s="113"/>
      <c r="LAB55" s="113"/>
      <c r="LAC55" s="113"/>
      <c r="LAD55" s="113"/>
      <c r="LAE55" s="113"/>
      <c r="LAF55" s="113"/>
      <c r="LAG55" s="113"/>
      <c r="LAH55" s="113"/>
      <c r="LAI55" s="113"/>
      <c r="LAJ55" s="113"/>
      <c r="LAK55" s="113"/>
      <c r="LAL55" s="113"/>
      <c r="LAM55" s="113"/>
      <c r="LAN55" s="113"/>
      <c r="LAO55" s="113"/>
      <c r="LAP55" s="113"/>
      <c r="LAQ55" s="113"/>
      <c r="LAR55" s="113"/>
      <c r="LAS55" s="113"/>
      <c r="LAT55" s="113"/>
      <c r="LAU55" s="113"/>
      <c r="LAV55" s="113"/>
      <c r="LAW55" s="113"/>
      <c r="LAX55" s="113"/>
      <c r="LAY55" s="113"/>
      <c r="LAZ55" s="113"/>
      <c r="LBA55" s="113"/>
      <c r="LBB55" s="113"/>
      <c r="LBC55" s="113"/>
      <c r="LBD55" s="113"/>
      <c r="LBE55" s="113"/>
      <c r="LBF55" s="113"/>
      <c r="LBG55" s="113"/>
      <c r="LBH55" s="113"/>
      <c r="LBI55" s="113"/>
      <c r="LBJ55" s="113"/>
      <c r="LBK55" s="113"/>
      <c r="LBL55" s="113"/>
      <c r="LBM55" s="113"/>
      <c r="LBN55" s="113"/>
      <c r="LBO55" s="113"/>
      <c r="LBP55" s="113"/>
      <c r="LBQ55" s="113"/>
      <c r="LBR55" s="113"/>
      <c r="LBS55" s="113"/>
      <c r="LBT55" s="113"/>
      <c r="LBU55" s="113"/>
      <c r="LBV55" s="113"/>
      <c r="LBW55" s="113"/>
      <c r="LBX55" s="113"/>
      <c r="LBY55" s="113"/>
      <c r="LBZ55" s="113"/>
      <c r="LCA55" s="113"/>
      <c r="LCB55" s="113"/>
      <c r="LCC55" s="113"/>
      <c r="LCD55" s="113"/>
      <c r="LCE55" s="113"/>
      <c r="LCF55" s="113"/>
      <c r="LCG55" s="113"/>
      <c r="LCH55" s="113"/>
      <c r="LCI55" s="113"/>
      <c r="LCJ55" s="113"/>
      <c r="LCK55" s="113"/>
      <c r="LCL55" s="113"/>
      <c r="LCM55" s="113"/>
      <c r="LCN55" s="113"/>
      <c r="LCO55" s="113"/>
      <c r="LCP55" s="113"/>
      <c r="LCQ55" s="113"/>
      <c r="LCR55" s="113"/>
      <c r="LCS55" s="113"/>
      <c r="LCT55" s="113"/>
      <c r="LCU55" s="113"/>
      <c r="LCV55" s="113"/>
      <c r="LCW55" s="113"/>
      <c r="LCX55" s="113"/>
      <c r="LCY55" s="113"/>
      <c r="LCZ55" s="113"/>
      <c r="LDA55" s="113"/>
      <c r="LDB55" s="113"/>
      <c r="LDC55" s="113"/>
      <c r="LDD55" s="113"/>
      <c r="LDE55" s="113"/>
      <c r="LDF55" s="113"/>
      <c r="LDG55" s="113"/>
      <c r="LDH55" s="113"/>
      <c r="LDI55" s="113"/>
      <c r="LDJ55" s="113"/>
      <c r="LDK55" s="113"/>
      <c r="LDL55" s="113"/>
      <c r="LDM55" s="113"/>
      <c r="LDN55" s="113"/>
      <c r="LDO55" s="113"/>
      <c r="LDP55" s="113"/>
      <c r="LDQ55" s="113"/>
      <c r="LDR55" s="113"/>
      <c r="LDS55" s="113"/>
      <c r="LDT55" s="113"/>
      <c r="LDU55" s="113"/>
      <c r="LDV55" s="113"/>
      <c r="LDW55" s="113"/>
      <c r="LDX55" s="113"/>
      <c r="LDY55" s="113"/>
      <c r="LDZ55" s="113"/>
      <c r="LEA55" s="113"/>
      <c r="LEB55" s="113"/>
      <c r="LEC55" s="113"/>
      <c r="LED55" s="113"/>
      <c r="LEE55" s="113"/>
      <c r="LEF55" s="113"/>
      <c r="LEG55" s="113"/>
      <c r="LEH55" s="113"/>
      <c r="LEI55" s="113"/>
      <c r="LEJ55" s="113"/>
      <c r="LEK55" s="113"/>
      <c r="LEL55" s="113"/>
      <c r="LEM55" s="113"/>
      <c r="LEN55" s="113"/>
      <c r="LEO55" s="113"/>
      <c r="LEP55" s="113"/>
      <c r="LEQ55" s="113"/>
      <c r="LER55" s="113"/>
      <c r="LES55" s="113"/>
      <c r="LET55" s="113"/>
      <c r="LEU55" s="113"/>
      <c r="LEV55" s="113"/>
      <c r="LEW55" s="113"/>
      <c r="LEX55" s="113"/>
      <c r="LEY55" s="113"/>
      <c r="LEZ55" s="113"/>
      <c r="LFA55" s="113"/>
      <c r="LFB55" s="113"/>
      <c r="LFC55" s="113"/>
      <c r="LFD55" s="113"/>
      <c r="LFE55" s="113"/>
      <c r="LFF55" s="113"/>
      <c r="LFG55" s="113"/>
      <c r="LFH55" s="113"/>
      <c r="LFI55" s="113"/>
      <c r="LFJ55" s="113"/>
      <c r="LFK55" s="113"/>
      <c r="LFL55" s="113"/>
      <c r="LFM55" s="113"/>
      <c r="LFN55" s="113"/>
      <c r="LFO55" s="113"/>
      <c r="LFP55" s="113"/>
      <c r="LFQ55" s="113"/>
      <c r="LFR55" s="113"/>
      <c r="LFS55" s="113"/>
      <c r="LFT55" s="113"/>
      <c r="LFU55" s="113"/>
      <c r="LFV55" s="113"/>
      <c r="LFW55" s="113"/>
      <c r="LFX55" s="113"/>
      <c r="LFY55" s="113"/>
      <c r="LFZ55" s="113"/>
      <c r="LGA55" s="113"/>
      <c r="LGB55" s="113"/>
      <c r="LGC55" s="113"/>
      <c r="LGD55" s="113"/>
      <c r="LGE55" s="113"/>
      <c r="LGF55" s="113"/>
      <c r="LGG55" s="113"/>
      <c r="LGH55" s="113"/>
      <c r="LGI55" s="113"/>
      <c r="LGJ55" s="113"/>
      <c r="LGK55" s="113"/>
      <c r="LGL55" s="113"/>
      <c r="LGM55" s="113"/>
      <c r="LGN55" s="113"/>
      <c r="LGO55" s="113"/>
      <c r="LGP55" s="113"/>
      <c r="LGQ55" s="113"/>
      <c r="LGR55" s="113"/>
      <c r="LGS55" s="113"/>
      <c r="LGT55" s="113"/>
      <c r="LGU55" s="113"/>
      <c r="LGV55" s="113"/>
      <c r="LGW55" s="113"/>
      <c r="LGX55" s="113"/>
      <c r="LGY55" s="113"/>
      <c r="LGZ55" s="113"/>
      <c r="LHA55" s="113"/>
      <c r="LHB55" s="113"/>
      <c r="LHC55" s="113"/>
      <c r="LHD55" s="113"/>
      <c r="LHE55" s="113"/>
      <c r="LHF55" s="113"/>
      <c r="LHG55" s="113"/>
      <c r="LHH55" s="113"/>
      <c r="LHI55" s="113"/>
      <c r="LHJ55" s="113"/>
      <c r="LHK55" s="113"/>
      <c r="LHL55" s="113"/>
      <c r="LHM55" s="113"/>
      <c r="LHN55" s="113"/>
      <c r="LHO55" s="113"/>
      <c r="LHP55" s="113"/>
      <c r="LHQ55" s="113"/>
      <c r="LHR55" s="113"/>
      <c r="LHS55" s="113"/>
      <c r="LHT55" s="113"/>
      <c r="LHU55" s="113"/>
      <c r="LHV55" s="113"/>
      <c r="LHW55" s="113"/>
      <c r="LHX55" s="113"/>
      <c r="LHY55" s="113"/>
      <c r="LHZ55" s="113"/>
      <c r="LIA55" s="113"/>
      <c r="LIB55" s="113"/>
      <c r="LIC55" s="113"/>
      <c r="LID55" s="113"/>
      <c r="LIE55" s="113"/>
      <c r="LIF55" s="113"/>
      <c r="LIG55" s="113"/>
      <c r="LIH55" s="113"/>
      <c r="LII55" s="113"/>
      <c r="LIJ55" s="113"/>
      <c r="LIK55" s="113"/>
      <c r="LIL55" s="113"/>
      <c r="LIM55" s="113"/>
      <c r="LIN55" s="113"/>
      <c r="LIO55" s="113"/>
      <c r="LIP55" s="113"/>
      <c r="LIQ55" s="113"/>
      <c r="LIR55" s="113"/>
      <c r="LIS55" s="113"/>
      <c r="LIT55" s="113"/>
      <c r="LIU55" s="113"/>
      <c r="LIV55" s="113"/>
      <c r="LIW55" s="113"/>
      <c r="LIX55" s="113"/>
      <c r="LIY55" s="113"/>
      <c r="LIZ55" s="113"/>
      <c r="LJA55" s="113"/>
      <c r="LJB55" s="113"/>
      <c r="LJC55" s="113"/>
      <c r="LJD55" s="113"/>
      <c r="LJE55" s="113"/>
      <c r="LJF55" s="113"/>
      <c r="LJG55" s="113"/>
      <c r="LJH55" s="113"/>
      <c r="LJI55" s="113"/>
      <c r="LJJ55" s="113"/>
      <c r="LJK55" s="113"/>
      <c r="LJL55" s="113"/>
      <c r="LJM55" s="113"/>
      <c r="LJN55" s="113"/>
      <c r="LJO55" s="113"/>
      <c r="LJP55" s="113"/>
      <c r="LJQ55" s="113"/>
      <c r="LJR55" s="113"/>
      <c r="LJS55" s="113"/>
      <c r="LJT55" s="113"/>
      <c r="LJU55" s="113"/>
      <c r="LJV55" s="113"/>
      <c r="LJW55" s="113"/>
      <c r="LJX55" s="113"/>
      <c r="LJY55" s="113"/>
      <c r="LJZ55" s="113"/>
      <c r="LKA55" s="113"/>
      <c r="LKB55" s="113"/>
      <c r="LKC55" s="113"/>
      <c r="LKD55" s="113"/>
      <c r="LKE55" s="113"/>
      <c r="LKF55" s="113"/>
      <c r="LKG55" s="113"/>
      <c r="LKH55" s="113"/>
      <c r="LKI55" s="113"/>
      <c r="LKJ55" s="113"/>
      <c r="LKK55" s="113"/>
      <c r="LKL55" s="113"/>
      <c r="LKM55" s="113"/>
      <c r="LKN55" s="113"/>
      <c r="LKO55" s="113"/>
      <c r="LKP55" s="113"/>
      <c r="LKQ55" s="113"/>
      <c r="LKR55" s="113"/>
      <c r="LKS55" s="113"/>
      <c r="LKT55" s="113"/>
      <c r="LKU55" s="113"/>
      <c r="LKV55" s="113"/>
      <c r="LKW55" s="113"/>
      <c r="LKX55" s="113"/>
      <c r="LKY55" s="113"/>
      <c r="LKZ55" s="113"/>
      <c r="LLA55" s="113"/>
      <c r="LLB55" s="113"/>
      <c r="LLC55" s="113"/>
      <c r="LLD55" s="113"/>
      <c r="LLE55" s="113"/>
      <c r="LLF55" s="113"/>
      <c r="LLG55" s="113"/>
      <c r="LLH55" s="113"/>
      <c r="LLI55" s="113"/>
      <c r="LLJ55" s="113"/>
      <c r="LLK55" s="113"/>
      <c r="LLL55" s="113"/>
      <c r="LLM55" s="113"/>
      <c r="LLN55" s="113"/>
      <c r="LLO55" s="113"/>
      <c r="LLP55" s="113"/>
      <c r="LLQ55" s="113"/>
      <c r="LLR55" s="113"/>
      <c r="LLS55" s="113"/>
      <c r="LLT55" s="113"/>
      <c r="LLU55" s="113"/>
      <c r="LLV55" s="113"/>
      <c r="LLW55" s="113"/>
      <c r="LLX55" s="113"/>
      <c r="LLY55" s="113"/>
      <c r="LLZ55" s="113"/>
      <c r="LMA55" s="113"/>
      <c r="LMB55" s="113"/>
      <c r="LMC55" s="113"/>
      <c r="LMD55" s="113"/>
      <c r="LME55" s="113"/>
      <c r="LMF55" s="113"/>
      <c r="LMG55" s="113"/>
      <c r="LMH55" s="113"/>
      <c r="LMI55" s="113"/>
      <c r="LMJ55" s="113"/>
      <c r="LMK55" s="113"/>
      <c r="LML55" s="113"/>
      <c r="LMM55" s="113"/>
      <c r="LMN55" s="113"/>
      <c r="LMO55" s="113"/>
      <c r="LMP55" s="113"/>
      <c r="LMQ55" s="113"/>
      <c r="LMR55" s="113"/>
      <c r="LMS55" s="113"/>
      <c r="LMT55" s="113"/>
      <c r="LMU55" s="113"/>
      <c r="LMV55" s="113"/>
      <c r="LMW55" s="113"/>
      <c r="LMX55" s="113"/>
      <c r="LMY55" s="113"/>
      <c r="LMZ55" s="113"/>
      <c r="LNA55" s="113"/>
      <c r="LNB55" s="113"/>
      <c r="LNC55" s="113"/>
      <c r="LND55" s="113"/>
      <c r="LNE55" s="113"/>
      <c r="LNF55" s="113"/>
      <c r="LNG55" s="113"/>
      <c r="LNH55" s="113"/>
      <c r="LNI55" s="113"/>
      <c r="LNJ55" s="113"/>
      <c r="LNK55" s="113"/>
      <c r="LNL55" s="113"/>
      <c r="LNM55" s="113"/>
      <c r="LNN55" s="113"/>
      <c r="LNO55" s="113"/>
      <c r="LNP55" s="113"/>
      <c r="LNQ55" s="113"/>
      <c r="LNR55" s="113"/>
      <c r="LNS55" s="113"/>
      <c r="LNT55" s="113"/>
      <c r="LNU55" s="113"/>
      <c r="LNV55" s="113"/>
      <c r="LNW55" s="113"/>
      <c r="LNX55" s="113"/>
      <c r="LNY55" s="113"/>
      <c r="LNZ55" s="113"/>
      <c r="LOA55" s="113"/>
      <c r="LOB55" s="113"/>
      <c r="LOC55" s="113"/>
      <c r="LOD55" s="113"/>
      <c r="LOE55" s="113"/>
      <c r="LOF55" s="113"/>
      <c r="LOG55" s="113"/>
      <c r="LOH55" s="113"/>
      <c r="LOI55" s="113"/>
      <c r="LOJ55" s="113"/>
      <c r="LOK55" s="113"/>
      <c r="LOL55" s="113"/>
      <c r="LOM55" s="113"/>
      <c r="LON55" s="113"/>
      <c r="LOO55" s="113"/>
      <c r="LOP55" s="113"/>
      <c r="LOQ55" s="113"/>
      <c r="LOR55" s="113"/>
      <c r="LOS55" s="113"/>
      <c r="LOT55" s="113"/>
      <c r="LOU55" s="113"/>
      <c r="LOV55" s="113"/>
      <c r="LOW55" s="113"/>
      <c r="LOX55" s="113"/>
      <c r="LOY55" s="113"/>
      <c r="LOZ55" s="113"/>
      <c r="LPA55" s="113"/>
      <c r="LPB55" s="113"/>
      <c r="LPC55" s="113"/>
      <c r="LPD55" s="113"/>
      <c r="LPE55" s="113"/>
      <c r="LPF55" s="113"/>
      <c r="LPG55" s="113"/>
      <c r="LPH55" s="113"/>
      <c r="LPI55" s="113"/>
      <c r="LPJ55" s="113"/>
      <c r="LPK55" s="113"/>
      <c r="LPL55" s="113"/>
      <c r="LPM55" s="113"/>
      <c r="LPN55" s="113"/>
      <c r="LPO55" s="113"/>
      <c r="LPP55" s="113"/>
      <c r="LPQ55" s="113"/>
      <c r="LPR55" s="113"/>
      <c r="LPS55" s="113"/>
      <c r="LPT55" s="113"/>
      <c r="LPU55" s="113"/>
      <c r="LPV55" s="113"/>
      <c r="LPW55" s="113"/>
      <c r="LPX55" s="113"/>
      <c r="LPY55" s="113"/>
      <c r="LPZ55" s="113"/>
      <c r="LQA55" s="113"/>
      <c r="LQB55" s="113"/>
      <c r="LQC55" s="113"/>
      <c r="LQD55" s="113"/>
      <c r="LQE55" s="113"/>
      <c r="LQF55" s="113"/>
      <c r="LQG55" s="113"/>
      <c r="LQH55" s="113"/>
      <c r="LQI55" s="113"/>
      <c r="LQJ55" s="113"/>
      <c r="LQK55" s="113"/>
      <c r="LQL55" s="113"/>
      <c r="LQM55" s="113"/>
      <c r="LQN55" s="113"/>
      <c r="LQO55" s="113"/>
      <c r="LQP55" s="113"/>
      <c r="LQQ55" s="113"/>
      <c r="LQR55" s="113"/>
      <c r="LQS55" s="113"/>
      <c r="LQT55" s="113"/>
      <c r="LQU55" s="113"/>
      <c r="LQV55" s="113"/>
      <c r="LQW55" s="113"/>
      <c r="LQX55" s="113"/>
      <c r="LQY55" s="113"/>
      <c r="LQZ55" s="113"/>
      <c r="LRA55" s="113"/>
      <c r="LRB55" s="113"/>
      <c r="LRC55" s="113"/>
      <c r="LRD55" s="113"/>
      <c r="LRE55" s="113"/>
      <c r="LRF55" s="113"/>
      <c r="LRG55" s="113"/>
      <c r="LRH55" s="113"/>
      <c r="LRI55" s="113"/>
      <c r="LRJ55" s="113"/>
      <c r="LRK55" s="113"/>
      <c r="LRL55" s="113"/>
      <c r="LRM55" s="113"/>
      <c r="LRN55" s="113"/>
      <c r="LRO55" s="113"/>
      <c r="LRP55" s="113"/>
      <c r="LRQ55" s="113"/>
      <c r="LRR55" s="113"/>
      <c r="LRS55" s="113"/>
      <c r="LRT55" s="113"/>
      <c r="LRU55" s="113"/>
      <c r="LRV55" s="113"/>
      <c r="LRW55" s="113"/>
      <c r="LRX55" s="113"/>
      <c r="LRY55" s="113"/>
      <c r="LRZ55" s="113"/>
      <c r="LSA55" s="113"/>
      <c r="LSB55" s="113"/>
      <c r="LSC55" s="113"/>
      <c r="LSD55" s="113"/>
      <c r="LSE55" s="113"/>
      <c r="LSF55" s="113"/>
      <c r="LSG55" s="113"/>
      <c r="LSH55" s="113"/>
      <c r="LSI55" s="113"/>
      <c r="LSJ55" s="113"/>
      <c r="LSK55" s="113"/>
      <c r="LSL55" s="113"/>
      <c r="LSM55" s="113"/>
      <c r="LSN55" s="113"/>
      <c r="LSO55" s="113"/>
      <c r="LSP55" s="113"/>
      <c r="LSQ55" s="113"/>
      <c r="LSR55" s="113"/>
      <c r="LSS55" s="113"/>
      <c r="LST55" s="113"/>
      <c r="LSU55" s="113"/>
      <c r="LSV55" s="113"/>
      <c r="LSW55" s="113"/>
      <c r="LSX55" s="113"/>
      <c r="LSY55" s="113"/>
      <c r="LSZ55" s="113"/>
      <c r="LTA55" s="113"/>
      <c r="LTB55" s="113"/>
      <c r="LTC55" s="113"/>
      <c r="LTD55" s="113"/>
      <c r="LTE55" s="113"/>
      <c r="LTF55" s="113"/>
      <c r="LTG55" s="113"/>
      <c r="LTH55" s="113"/>
      <c r="LTI55" s="113"/>
      <c r="LTJ55" s="113"/>
      <c r="LTK55" s="113"/>
      <c r="LTL55" s="113"/>
      <c r="LTM55" s="113"/>
      <c r="LTN55" s="113"/>
      <c r="LTO55" s="113"/>
      <c r="LTP55" s="113"/>
      <c r="LTQ55" s="113"/>
      <c r="LTR55" s="113"/>
      <c r="LTS55" s="113"/>
      <c r="LTT55" s="113"/>
      <c r="LTU55" s="113"/>
      <c r="LTV55" s="113"/>
      <c r="LTW55" s="113"/>
      <c r="LTX55" s="113"/>
      <c r="LTY55" s="113"/>
      <c r="LTZ55" s="113"/>
      <c r="LUA55" s="113"/>
      <c r="LUB55" s="113"/>
      <c r="LUC55" s="113"/>
      <c r="LUD55" s="113"/>
      <c r="LUE55" s="113"/>
      <c r="LUF55" s="113"/>
      <c r="LUG55" s="113"/>
      <c r="LUH55" s="113"/>
      <c r="LUI55" s="113"/>
      <c r="LUJ55" s="113"/>
      <c r="LUK55" s="113"/>
      <c r="LUL55" s="113"/>
      <c r="LUM55" s="113"/>
      <c r="LUN55" s="113"/>
      <c r="LUO55" s="113"/>
      <c r="LUP55" s="113"/>
      <c r="LUQ55" s="113"/>
      <c r="LUR55" s="113"/>
      <c r="LUS55" s="113"/>
      <c r="LUT55" s="113"/>
      <c r="LUU55" s="113"/>
      <c r="LUV55" s="113"/>
      <c r="LUW55" s="113"/>
      <c r="LUX55" s="113"/>
      <c r="LUY55" s="113"/>
      <c r="LUZ55" s="113"/>
      <c r="LVA55" s="113"/>
      <c r="LVB55" s="113"/>
      <c r="LVC55" s="113"/>
      <c r="LVD55" s="113"/>
      <c r="LVE55" s="113"/>
      <c r="LVF55" s="113"/>
      <c r="LVG55" s="113"/>
      <c r="LVH55" s="113"/>
      <c r="LVI55" s="113"/>
      <c r="LVJ55" s="113"/>
      <c r="LVK55" s="113"/>
      <c r="LVL55" s="113"/>
      <c r="LVM55" s="113"/>
      <c r="LVN55" s="113"/>
      <c r="LVO55" s="113"/>
      <c r="LVP55" s="113"/>
      <c r="LVQ55" s="113"/>
      <c r="LVR55" s="113"/>
      <c r="LVS55" s="113"/>
      <c r="LVT55" s="113"/>
      <c r="LVU55" s="113"/>
      <c r="LVV55" s="113"/>
      <c r="LVW55" s="113"/>
      <c r="LVX55" s="113"/>
      <c r="LVY55" s="113"/>
      <c r="LVZ55" s="113"/>
      <c r="LWA55" s="113"/>
      <c r="LWB55" s="113"/>
      <c r="LWC55" s="113"/>
      <c r="LWD55" s="113"/>
      <c r="LWE55" s="113"/>
      <c r="LWF55" s="113"/>
      <c r="LWG55" s="113"/>
      <c r="LWH55" s="113"/>
      <c r="LWI55" s="113"/>
      <c r="LWJ55" s="113"/>
      <c r="LWK55" s="113"/>
      <c r="LWL55" s="113"/>
      <c r="LWM55" s="113"/>
      <c r="LWN55" s="113"/>
      <c r="LWO55" s="113"/>
      <c r="LWP55" s="113"/>
      <c r="LWQ55" s="113"/>
      <c r="LWR55" s="113"/>
      <c r="LWS55" s="113"/>
      <c r="LWT55" s="113"/>
      <c r="LWU55" s="113"/>
      <c r="LWV55" s="113"/>
      <c r="LWW55" s="113"/>
      <c r="LWX55" s="113"/>
      <c r="LWY55" s="113"/>
      <c r="LWZ55" s="113"/>
      <c r="LXA55" s="113"/>
      <c r="LXB55" s="113"/>
      <c r="LXC55" s="113"/>
      <c r="LXD55" s="113"/>
      <c r="LXE55" s="113"/>
      <c r="LXF55" s="113"/>
      <c r="LXG55" s="113"/>
      <c r="LXH55" s="113"/>
      <c r="LXI55" s="113"/>
      <c r="LXJ55" s="113"/>
      <c r="LXK55" s="113"/>
      <c r="LXL55" s="113"/>
      <c r="LXM55" s="113"/>
      <c r="LXN55" s="113"/>
      <c r="LXO55" s="113"/>
      <c r="LXP55" s="113"/>
      <c r="LXQ55" s="113"/>
      <c r="LXR55" s="113"/>
      <c r="LXS55" s="113"/>
      <c r="LXT55" s="113"/>
      <c r="LXU55" s="113"/>
      <c r="LXV55" s="113"/>
      <c r="LXW55" s="113"/>
      <c r="LXX55" s="113"/>
      <c r="LXY55" s="113"/>
      <c r="LXZ55" s="113"/>
      <c r="LYA55" s="113"/>
      <c r="LYB55" s="113"/>
      <c r="LYC55" s="113"/>
      <c r="LYD55" s="113"/>
      <c r="LYE55" s="113"/>
      <c r="LYF55" s="113"/>
      <c r="LYG55" s="113"/>
      <c r="LYH55" s="113"/>
      <c r="LYI55" s="113"/>
      <c r="LYJ55" s="113"/>
      <c r="LYK55" s="113"/>
      <c r="LYL55" s="113"/>
      <c r="LYM55" s="113"/>
      <c r="LYN55" s="113"/>
      <c r="LYO55" s="113"/>
      <c r="LYP55" s="113"/>
      <c r="LYQ55" s="113"/>
      <c r="LYR55" s="113"/>
      <c r="LYS55" s="113"/>
      <c r="LYT55" s="113"/>
      <c r="LYU55" s="113"/>
      <c r="LYV55" s="113"/>
      <c r="LYW55" s="113"/>
      <c r="LYX55" s="113"/>
      <c r="LYY55" s="113"/>
      <c r="LYZ55" s="113"/>
      <c r="LZA55" s="113"/>
      <c r="LZB55" s="113"/>
      <c r="LZC55" s="113"/>
      <c r="LZD55" s="113"/>
      <c r="LZE55" s="113"/>
      <c r="LZF55" s="113"/>
      <c r="LZG55" s="113"/>
      <c r="LZH55" s="113"/>
      <c r="LZI55" s="113"/>
      <c r="LZJ55" s="113"/>
      <c r="LZK55" s="113"/>
      <c r="LZL55" s="113"/>
      <c r="LZM55" s="113"/>
      <c r="LZN55" s="113"/>
      <c r="LZO55" s="113"/>
      <c r="LZP55" s="113"/>
      <c r="LZQ55" s="113"/>
      <c r="LZR55" s="113"/>
      <c r="LZS55" s="113"/>
      <c r="LZT55" s="113"/>
      <c r="LZU55" s="113"/>
      <c r="LZV55" s="113"/>
      <c r="LZW55" s="113"/>
      <c r="LZX55" s="113"/>
      <c r="LZY55" s="113"/>
      <c r="LZZ55" s="113"/>
      <c r="MAA55" s="113"/>
      <c r="MAB55" s="113"/>
      <c r="MAC55" s="113"/>
      <c r="MAD55" s="113"/>
      <c r="MAE55" s="113"/>
      <c r="MAF55" s="113"/>
      <c r="MAG55" s="113"/>
      <c r="MAH55" s="113"/>
      <c r="MAI55" s="113"/>
      <c r="MAJ55" s="113"/>
      <c r="MAK55" s="113"/>
      <c r="MAL55" s="113"/>
      <c r="MAM55" s="113"/>
      <c r="MAN55" s="113"/>
      <c r="MAO55" s="113"/>
      <c r="MAP55" s="113"/>
      <c r="MAQ55" s="113"/>
      <c r="MAR55" s="113"/>
      <c r="MAS55" s="113"/>
      <c r="MAT55" s="113"/>
      <c r="MAU55" s="113"/>
      <c r="MAV55" s="113"/>
      <c r="MAW55" s="113"/>
      <c r="MAX55" s="113"/>
      <c r="MAY55" s="113"/>
      <c r="MAZ55" s="113"/>
      <c r="MBA55" s="113"/>
      <c r="MBB55" s="113"/>
      <c r="MBC55" s="113"/>
      <c r="MBD55" s="113"/>
      <c r="MBE55" s="113"/>
      <c r="MBF55" s="113"/>
      <c r="MBG55" s="113"/>
      <c r="MBH55" s="113"/>
      <c r="MBI55" s="113"/>
      <c r="MBJ55" s="113"/>
      <c r="MBK55" s="113"/>
      <c r="MBL55" s="113"/>
      <c r="MBM55" s="113"/>
      <c r="MBN55" s="113"/>
      <c r="MBO55" s="113"/>
      <c r="MBP55" s="113"/>
      <c r="MBQ55" s="113"/>
      <c r="MBR55" s="113"/>
      <c r="MBS55" s="113"/>
      <c r="MBT55" s="113"/>
      <c r="MBU55" s="113"/>
      <c r="MBV55" s="113"/>
      <c r="MBW55" s="113"/>
      <c r="MBX55" s="113"/>
      <c r="MBY55" s="113"/>
      <c r="MBZ55" s="113"/>
      <c r="MCA55" s="113"/>
      <c r="MCB55" s="113"/>
      <c r="MCC55" s="113"/>
      <c r="MCD55" s="113"/>
      <c r="MCE55" s="113"/>
      <c r="MCF55" s="113"/>
      <c r="MCG55" s="113"/>
      <c r="MCH55" s="113"/>
      <c r="MCI55" s="113"/>
      <c r="MCJ55" s="113"/>
      <c r="MCK55" s="113"/>
      <c r="MCL55" s="113"/>
      <c r="MCM55" s="113"/>
      <c r="MCN55" s="113"/>
      <c r="MCO55" s="113"/>
      <c r="MCP55" s="113"/>
      <c r="MCQ55" s="113"/>
      <c r="MCR55" s="113"/>
      <c r="MCS55" s="113"/>
      <c r="MCT55" s="113"/>
      <c r="MCU55" s="113"/>
      <c r="MCV55" s="113"/>
      <c r="MCW55" s="113"/>
      <c r="MCX55" s="113"/>
      <c r="MCY55" s="113"/>
      <c r="MCZ55" s="113"/>
      <c r="MDA55" s="113"/>
      <c r="MDB55" s="113"/>
      <c r="MDC55" s="113"/>
      <c r="MDD55" s="113"/>
      <c r="MDE55" s="113"/>
      <c r="MDF55" s="113"/>
      <c r="MDG55" s="113"/>
      <c r="MDH55" s="113"/>
      <c r="MDI55" s="113"/>
      <c r="MDJ55" s="113"/>
      <c r="MDK55" s="113"/>
      <c r="MDL55" s="113"/>
      <c r="MDM55" s="113"/>
      <c r="MDN55" s="113"/>
      <c r="MDO55" s="113"/>
      <c r="MDP55" s="113"/>
      <c r="MDQ55" s="113"/>
      <c r="MDR55" s="113"/>
      <c r="MDS55" s="113"/>
      <c r="MDT55" s="113"/>
      <c r="MDU55" s="113"/>
      <c r="MDV55" s="113"/>
      <c r="MDW55" s="113"/>
      <c r="MDX55" s="113"/>
      <c r="MDY55" s="113"/>
      <c r="MDZ55" s="113"/>
      <c r="MEA55" s="113"/>
      <c r="MEB55" s="113"/>
      <c r="MEC55" s="113"/>
      <c r="MED55" s="113"/>
      <c r="MEE55" s="113"/>
      <c r="MEF55" s="113"/>
      <c r="MEG55" s="113"/>
      <c r="MEH55" s="113"/>
      <c r="MEI55" s="113"/>
      <c r="MEJ55" s="113"/>
      <c r="MEK55" s="113"/>
      <c r="MEL55" s="113"/>
      <c r="MEM55" s="113"/>
      <c r="MEN55" s="113"/>
      <c r="MEO55" s="113"/>
      <c r="MEP55" s="113"/>
      <c r="MEQ55" s="113"/>
      <c r="MER55" s="113"/>
      <c r="MES55" s="113"/>
      <c r="MET55" s="113"/>
      <c r="MEU55" s="113"/>
      <c r="MEV55" s="113"/>
      <c r="MEW55" s="113"/>
      <c r="MEX55" s="113"/>
      <c r="MEY55" s="113"/>
      <c r="MEZ55" s="113"/>
      <c r="MFA55" s="113"/>
      <c r="MFB55" s="113"/>
      <c r="MFC55" s="113"/>
      <c r="MFD55" s="113"/>
      <c r="MFE55" s="113"/>
      <c r="MFF55" s="113"/>
      <c r="MFG55" s="113"/>
      <c r="MFH55" s="113"/>
      <c r="MFI55" s="113"/>
      <c r="MFJ55" s="113"/>
      <c r="MFK55" s="113"/>
      <c r="MFL55" s="113"/>
      <c r="MFM55" s="113"/>
      <c r="MFN55" s="113"/>
      <c r="MFO55" s="113"/>
      <c r="MFP55" s="113"/>
      <c r="MFQ55" s="113"/>
      <c r="MFR55" s="113"/>
      <c r="MFS55" s="113"/>
      <c r="MFT55" s="113"/>
      <c r="MFU55" s="113"/>
      <c r="MFV55" s="113"/>
      <c r="MFW55" s="113"/>
      <c r="MFX55" s="113"/>
      <c r="MFY55" s="113"/>
      <c r="MFZ55" s="113"/>
      <c r="MGA55" s="113"/>
      <c r="MGB55" s="113"/>
      <c r="MGC55" s="113"/>
      <c r="MGD55" s="113"/>
      <c r="MGE55" s="113"/>
      <c r="MGF55" s="113"/>
      <c r="MGG55" s="113"/>
      <c r="MGH55" s="113"/>
      <c r="MGI55" s="113"/>
      <c r="MGJ55" s="113"/>
      <c r="MGK55" s="113"/>
      <c r="MGL55" s="113"/>
      <c r="MGM55" s="113"/>
      <c r="MGN55" s="113"/>
      <c r="MGO55" s="113"/>
      <c r="MGP55" s="113"/>
      <c r="MGQ55" s="113"/>
      <c r="MGR55" s="113"/>
      <c r="MGS55" s="113"/>
      <c r="MGT55" s="113"/>
      <c r="MGU55" s="113"/>
      <c r="MGV55" s="113"/>
      <c r="MGW55" s="113"/>
      <c r="MGX55" s="113"/>
      <c r="MGY55" s="113"/>
      <c r="MGZ55" s="113"/>
      <c r="MHA55" s="113"/>
      <c r="MHB55" s="113"/>
      <c r="MHC55" s="113"/>
      <c r="MHD55" s="113"/>
      <c r="MHE55" s="113"/>
      <c r="MHF55" s="113"/>
      <c r="MHG55" s="113"/>
      <c r="MHH55" s="113"/>
      <c r="MHI55" s="113"/>
      <c r="MHJ55" s="113"/>
      <c r="MHK55" s="113"/>
      <c r="MHL55" s="113"/>
      <c r="MHM55" s="113"/>
      <c r="MHN55" s="113"/>
      <c r="MHO55" s="113"/>
      <c r="MHP55" s="113"/>
      <c r="MHQ55" s="113"/>
      <c r="MHR55" s="113"/>
      <c r="MHS55" s="113"/>
      <c r="MHT55" s="113"/>
      <c r="MHU55" s="113"/>
      <c r="MHV55" s="113"/>
      <c r="MHW55" s="113"/>
      <c r="MHX55" s="113"/>
      <c r="MHY55" s="113"/>
      <c r="MHZ55" s="113"/>
      <c r="MIA55" s="113"/>
      <c r="MIB55" s="113"/>
      <c r="MIC55" s="113"/>
      <c r="MID55" s="113"/>
      <c r="MIE55" s="113"/>
      <c r="MIF55" s="113"/>
      <c r="MIG55" s="113"/>
      <c r="MIH55" s="113"/>
      <c r="MII55" s="113"/>
      <c r="MIJ55" s="113"/>
      <c r="MIK55" s="113"/>
      <c r="MIL55" s="113"/>
      <c r="MIM55" s="113"/>
      <c r="MIN55" s="113"/>
      <c r="MIO55" s="113"/>
      <c r="MIP55" s="113"/>
      <c r="MIQ55" s="113"/>
      <c r="MIR55" s="113"/>
      <c r="MIS55" s="113"/>
      <c r="MIT55" s="113"/>
      <c r="MIU55" s="113"/>
      <c r="MIV55" s="113"/>
      <c r="MIW55" s="113"/>
      <c r="MIX55" s="113"/>
      <c r="MIY55" s="113"/>
      <c r="MIZ55" s="113"/>
      <c r="MJA55" s="113"/>
      <c r="MJB55" s="113"/>
      <c r="MJC55" s="113"/>
      <c r="MJD55" s="113"/>
      <c r="MJE55" s="113"/>
      <c r="MJF55" s="113"/>
      <c r="MJG55" s="113"/>
      <c r="MJH55" s="113"/>
      <c r="MJI55" s="113"/>
      <c r="MJJ55" s="113"/>
      <c r="MJK55" s="113"/>
      <c r="MJL55" s="113"/>
      <c r="MJM55" s="113"/>
      <c r="MJN55" s="113"/>
      <c r="MJO55" s="113"/>
      <c r="MJP55" s="113"/>
      <c r="MJQ55" s="113"/>
      <c r="MJR55" s="113"/>
      <c r="MJS55" s="113"/>
      <c r="MJT55" s="113"/>
      <c r="MJU55" s="113"/>
      <c r="MJV55" s="113"/>
      <c r="MJW55" s="113"/>
      <c r="MJX55" s="113"/>
      <c r="MJY55" s="113"/>
      <c r="MJZ55" s="113"/>
      <c r="MKA55" s="113"/>
      <c r="MKB55" s="113"/>
      <c r="MKC55" s="113"/>
      <c r="MKD55" s="113"/>
      <c r="MKE55" s="113"/>
      <c r="MKF55" s="113"/>
      <c r="MKG55" s="113"/>
      <c r="MKH55" s="113"/>
      <c r="MKI55" s="113"/>
      <c r="MKJ55" s="113"/>
      <c r="MKK55" s="113"/>
      <c r="MKL55" s="113"/>
      <c r="MKM55" s="113"/>
      <c r="MKN55" s="113"/>
      <c r="MKO55" s="113"/>
      <c r="MKP55" s="113"/>
      <c r="MKQ55" s="113"/>
      <c r="MKR55" s="113"/>
      <c r="MKS55" s="113"/>
      <c r="MKT55" s="113"/>
      <c r="MKU55" s="113"/>
      <c r="MKV55" s="113"/>
      <c r="MKW55" s="113"/>
      <c r="MKX55" s="113"/>
      <c r="MKY55" s="113"/>
      <c r="MKZ55" s="113"/>
      <c r="MLA55" s="113"/>
      <c r="MLB55" s="113"/>
      <c r="MLC55" s="113"/>
      <c r="MLD55" s="113"/>
      <c r="MLE55" s="113"/>
      <c r="MLF55" s="113"/>
      <c r="MLG55" s="113"/>
      <c r="MLH55" s="113"/>
      <c r="MLI55" s="113"/>
      <c r="MLJ55" s="113"/>
      <c r="MLK55" s="113"/>
      <c r="MLL55" s="113"/>
      <c r="MLM55" s="113"/>
      <c r="MLN55" s="113"/>
      <c r="MLO55" s="113"/>
      <c r="MLP55" s="113"/>
      <c r="MLQ55" s="113"/>
      <c r="MLR55" s="113"/>
      <c r="MLS55" s="113"/>
      <c r="MLT55" s="113"/>
      <c r="MLU55" s="113"/>
      <c r="MLV55" s="113"/>
      <c r="MLW55" s="113"/>
      <c r="MLX55" s="113"/>
      <c r="MLY55" s="113"/>
      <c r="MLZ55" s="113"/>
      <c r="MMA55" s="113"/>
      <c r="MMB55" s="113"/>
      <c r="MMC55" s="113"/>
      <c r="MMD55" s="113"/>
      <c r="MME55" s="113"/>
      <c r="MMF55" s="113"/>
      <c r="MMG55" s="113"/>
      <c r="MMH55" s="113"/>
      <c r="MMI55" s="113"/>
      <c r="MMJ55" s="113"/>
      <c r="MMK55" s="113"/>
      <c r="MML55" s="113"/>
      <c r="MMM55" s="113"/>
      <c r="MMN55" s="113"/>
      <c r="MMO55" s="113"/>
      <c r="MMP55" s="113"/>
      <c r="MMQ55" s="113"/>
      <c r="MMR55" s="113"/>
      <c r="MMS55" s="113"/>
      <c r="MMT55" s="113"/>
      <c r="MMU55" s="113"/>
      <c r="MMV55" s="113"/>
      <c r="MMW55" s="113"/>
      <c r="MMX55" s="113"/>
      <c r="MMY55" s="113"/>
      <c r="MMZ55" s="113"/>
      <c r="MNA55" s="113"/>
      <c r="MNB55" s="113"/>
      <c r="MNC55" s="113"/>
      <c r="MND55" s="113"/>
      <c r="MNE55" s="113"/>
      <c r="MNF55" s="113"/>
      <c r="MNG55" s="113"/>
      <c r="MNH55" s="113"/>
      <c r="MNI55" s="113"/>
      <c r="MNJ55" s="113"/>
      <c r="MNK55" s="113"/>
      <c r="MNL55" s="113"/>
      <c r="MNM55" s="113"/>
      <c r="MNN55" s="113"/>
      <c r="MNO55" s="113"/>
      <c r="MNP55" s="113"/>
      <c r="MNQ55" s="113"/>
      <c r="MNR55" s="113"/>
      <c r="MNS55" s="113"/>
      <c r="MNT55" s="113"/>
      <c r="MNU55" s="113"/>
      <c r="MNV55" s="113"/>
      <c r="MNW55" s="113"/>
      <c r="MNX55" s="113"/>
      <c r="MNY55" s="113"/>
      <c r="MNZ55" s="113"/>
      <c r="MOA55" s="113"/>
      <c r="MOB55" s="113"/>
      <c r="MOC55" s="113"/>
      <c r="MOD55" s="113"/>
      <c r="MOE55" s="113"/>
      <c r="MOF55" s="113"/>
      <c r="MOG55" s="113"/>
      <c r="MOH55" s="113"/>
      <c r="MOI55" s="113"/>
      <c r="MOJ55" s="113"/>
      <c r="MOK55" s="113"/>
      <c r="MOL55" s="113"/>
      <c r="MOM55" s="113"/>
      <c r="MON55" s="113"/>
      <c r="MOO55" s="113"/>
      <c r="MOP55" s="113"/>
      <c r="MOQ55" s="113"/>
      <c r="MOR55" s="113"/>
      <c r="MOS55" s="113"/>
      <c r="MOT55" s="113"/>
      <c r="MOU55" s="113"/>
      <c r="MOV55" s="113"/>
      <c r="MOW55" s="113"/>
      <c r="MOX55" s="113"/>
      <c r="MOY55" s="113"/>
      <c r="MOZ55" s="113"/>
      <c r="MPA55" s="113"/>
      <c r="MPB55" s="113"/>
      <c r="MPC55" s="113"/>
      <c r="MPD55" s="113"/>
      <c r="MPE55" s="113"/>
      <c r="MPF55" s="113"/>
      <c r="MPG55" s="113"/>
      <c r="MPH55" s="113"/>
      <c r="MPI55" s="113"/>
      <c r="MPJ55" s="113"/>
      <c r="MPK55" s="113"/>
      <c r="MPL55" s="113"/>
      <c r="MPM55" s="113"/>
      <c r="MPN55" s="113"/>
      <c r="MPO55" s="113"/>
      <c r="MPP55" s="113"/>
      <c r="MPQ55" s="113"/>
      <c r="MPR55" s="113"/>
      <c r="MPS55" s="113"/>
      <c r="MPT55" s="113"/>
      <c r="MPU55" s="113"/>
      <c r="MPV55" s="113"/>
      <c r="MPW55" s="113"/>
      <c r="MPX55" s="113"/>
      <c r="MPY55" s="113"/>
      <c r="MPZ55" s="113"/>
      <c r="MQA55" s="113"/>
      <c r="MQB55" s="113"/>
      <c r="MQC55" s="113"/>
      <c r="MQD55" s="113"/>
      <c r="MQE55" s="113"/>
      <c r="MQF55" s="113"/>
      <c r="MQG55" s="113"/>
      <c r="MQH55" s="113"/>
      <c r="MQI55" s="113"/>
      <c r="MQJ55" s="113"/>
      <c r="MQK55" s="113"/>
      <c r="MQL55" s="113"/>
      <c r="MQM55" s="113"/>
      <c r="MQN55" s="113"/>
      <c r="MQO55" s="113"/>
      <c r="MQP55" s="113"/>
      <c r="MQQ55" s="113"/>
      <c r="MQR55" s="113"/>
      <c r="MQS55" s="113"/>
      <c r="MQT55" s="113"/>
      <c r="MQU55" s="113"/>
      <c r="MQV55" s="113"/>
      <c r="MQW55" s="113"/>
      <c r="MQX55" s="113"/>
      <c r="MQY55" s="113"/>
      <c r="MQZ55" s="113"/>
      <c r="MRA55" s="113"/>
      <c r="MRB55" s="113"/>
      <c r="MRC55" s="113"/>
      <c r="MRD55" s="113"/>
      <c r="MRE55" s="113"/>
      <c r="MRF55" s="113"/>
      <c r="MRG55" s="113"/>
      <c r="MRH55" s="113"/>
      <c r="MRI55" s="113"/>
      <c r="MRJ55" s="113"/>
      <c r="MRK55" s="113"/>
      <c r="MRL55" s="113"/>
      <c r="MRM55" s="113"/>
      <c r="MRN55" s="113"/>
      <c r="MRO55" s="113"/>
      <c r="MRP55" s="113"/>
      <c r="MRQ55" s="113"/>
      <c r="MRR55" s="113"/>
      <c r="MRS55" s="113"/>
      <c r="MRT55" s="113"/>
      <c r="MRU55" s="113"/>
      <c r="MRV55" s="113"/>
      <c r="MRW55" s="113"/>
      <c r="MRX55" s="113"/>
      <c r="MRY55" s="113"/>
      <c r="MRZ55" s="113"/>
      <c r="MSA55" s="113"/>
      <c r="MSB55" s="113"/>
      <c r="MSC55" s="113"/>
      <c r="MSD55" s="113"/>
      <c r="MSE55" s="113"/>
      <c r="MSF55" s="113"/>
      <c r="MSG55" s="113"/>
      <c r="MSH55" s="113"/>
      <c r="MSI55" s="113"/>
      <c r="MSJ55" s="113"/>
      <c r="MSK55" s="113"/>
      <c r="MSL55" s="113"/>
      <c r="MSM55" s="113"/>
      <c r="MSN55" s="113"/>
      <c r="MSO55" s="113"/>
      <c r="MSP55" s="113"/>
      <c r="MSQ55" s="113"/>
      <c r="MSR55" s="113"/>
      <c r="MSS55" s="113"/>
      <c r="MST55" s="113"/>
      <c r="MSU55" s="113"/>
      <c r="MSV55" s="113"/>
      <c r="MSW55" s="113"/>
      <c r="MSX55" s="113"/>
      <c r="MSY55" s="113"/>
      <c r="MSZ55" s="113"/>
      <c r="MTA55" s="113"/>
      <c r="MTB55" s="113"/>
      <c r="MTC55" s="113"/>
      <c r="MTD55" s="113"/>
      <c r="MTE55" s="113"/>
      <c r="MTF55" s="113"/>
      <c r="MTG55" s="113"/>
      <c r="MTH55" s="113"/>
      <c r="MTI55" s="113"/>
      <c r="MTJ55" s="113"/>
      <c r="MTK55" s="113"/>
      <c r="MTL55" s="113"/>
      <c r="MTM55" s="113"/>
      <c r="MTN55" s="113"/>
      <c r="MTO55" s="113"/>
      <c r="MTP55" s="113"/>
      <c r="MTQ55" s="113"/>
      <c r="MTR55" s="113"/>
      <c r="MTS55" s="113"/>
      <c r="MTT55" s="113"/>
      <c r="MTU55" s="113"/>
      <c r="MTV55" s="113"/>
      <c r="MTW55" s="113"/>
      <c r="MTX55" s="113"/>
      <c r="MTY55" s="113"/>
      <c r="MTZ55" s="113"/>
      <c r="MUA55" s="113"/>
      <c r="MUB55" s="113"/>
      <c r="MUC55" s="113"/>
      <c r="MUD55" s="113"/>
      <c r="MUE55" s="113"/>
      <c r="MUF55" s="113"/>
      <c r="MUG55" s="113"/>
      <c r="MUH55" s="113"/>
      <c r="MUI55" s="113"/>
      <c r="MUJ55" s="113"/>
      <c r="MUK55" s="113"/>
      <c r="MUL55" s="113"/>
      <c r="MUM55" s="113"/>
      <c r="MUN55" s="113"/>
      <c r="MUO55" s="113"/>
      <c r="MUP55" s="113"/>
      <c r="MUQ55" s="113"/>
      <c r="MUR55" s="113"/>
      <c r="MUS55" s="113"/>
      <c r="MUT55" s="113"/>
      <c r="MUU55" s="113"/>
      <c r="MUV55" s="113"/>
      <c r="MUW55" s="113"/>
      <c r="MUX55" s="113"/>
      <c r="MUY55" s="113"/>
      <c r="MUZ55" s="113"/>
      <c r="MVA55" s="113"/>
      <c r="MVB55" s="113"/>
      <c r="MVC55" s="113"/>
      <c r="MVD55" s="113"/>
      <c r="MVE55" s="113"/>
      <c r="MVF55" s="113"/>
      <c r="MVG55" s="113"/>
      <c r="MVH55" s="113"/>
      <c r="MVI55" s="113"/>
      <c r="MVJ55" s="113"/>
      <c r="MVK55" s="113"/>
      <c r="MVL55" s="113"/>
      <c r="MVM55" s="113"/>
      <c r="MVN55" s="113"/>
      <c r="MVO55" s="113"/>
      <c r="MVP55" s="113"/>
      <c r="MVQ55" s="113"/>
      <c r="MVR55" s="113"/>
      <c r="MVS55" s="113"/>
      <c r="MVT55" s="113"/>
      <c r="MVU55" s="113"/>
      <c r="MVV55" s="113"/>
      <c r="MVW55" s="113"/>
      <c r="MVX55" s="113"/>
      <c r="MVY55" s="113"/>
      <c r="MVZ55" s="113"/>
      <c r="MWA55" s="113"/>
      <c r="MWB55" s="113"/>
      <c r="MWC55" s="113"/>
      <c r="MWD55" s="113"/>
      <c r="MWE55" s="113"/>
      <c r="MWF55" s="113"/>
      <c r="MWG55" s="113"/>
      <c r="MWH55" s="113"/>
      <c r="MWI55" s="113"/>
      <c r="MWJ55" s="113"/>
      <c r="MWK55" s="113"/>
      <c r="MWL55" s="113"/>
      <c r="MWM55" s="113"/>
      <c r="MWN55" s="113"/>
      <c r="MWO55" s="113"/>
      <c r="MWP55" s="113"/>
      <c r="MWQ55" s="113"/>
      <c r="MWR55" s="113"/>
      <c r="MWS55" s="113"/>
      <c r="MWT55" s="113"/>
      <c r="MWU55" s="113"/>
      <c r="MWV55" s="113"/>
      <c r="MWW55" s="113"/>
      <c r="MWX55" s="113"/>
      <c r="MWY55" s="113"/>
      <c r="MWZ55" s="113"/>
      <c r="MXA55" s="113"/>
      <c r="MXB55" s="113"/>
      <c r="MXC55" s="113"/>
      <c r="MXD55" s="113"/>
      <c r="MXE55" s="113"/>
      <c r="MXF55" s="113"/>
      <c r="MXG55" s="113"/>
      <c r="MXH55" s="113"/>
      <c r="MXI55" s="113"/>
      <c r="MXJ55" s="113"/>
      <c r="MXK55" s="113"/>
      <c r="MXL55" s="113"/>
      <c r="MXM55" s="113"/>
      <c r="MXN55" s="113"/>
      <c r="MXO55" s="113"/>
      <c r="MXP55" s="113"/>
      <c r="MXQ55" s="113"/>
      <c r="MXR55" s="113"/>
      <c r="MXS55" s="113"/>
      <c r="MXT55" s="113"/>
      <c r="MXU55" s="113"/>
      <c r="MXV55" s="113"/>
      <c r="MXW55" s="113"/>
      <c r="MXX55" s="113"/>
      <c r="MXY55" s="113"/>
      <c r="MXZ55" s="113"/>
      <c r="MYA55" s="113"/>
      <c r="MYB55" s="113"/>
      <c r="MYC55" s="113"/>
      <c r="MYD55" s="113"/>
      <c r="MYE55" s="113"/>
      <c r="MYF55" s="113"/>
      <c r="MYG55" s="113"/>
      <c r="MYH55" s="113"/>
      <c r="MYI55" s="113"/>
      <c r="MYJ55" s="113"/>
      <c r="MYK55" s="113"/>
      <c r="MYL55" s="113"/>
      <c r="MYM55" s="113"/>
      <c r="MYN55" s="113"/>
      <c r="MYO55" s="113"/>
      <c r="MYP55" s="113"/>
      <c r="MYQ55" s="113"/>
      <c r="MYR55" s="113"/>
      <c r="MYS55" s="113"/>
      <c r="MYT55" s="113"/>
      <c r="MYU55" s="113"/>
      <c r="MYV55" s="113"/>
      <c r="MYW55" s="113"/>
      <c r="MYX55" s="113"/>
      <c r="MYY55" s="113"/>
      <c r="MYZ55" s="113"/>
      <c r="MZA55" s="113"/>
      <c r="MZB55" s="113"/>
      <c r="MZC55" s="113"/>
      <c r="MZD55" s="113"/>
      <c r="MZE55" s="113"/>
      <c r="MZF55" s="113"/>
      <c r="MZG55" s="113"/>
      <c r="MZH55" s="113"/>
      <c r="MZI55" s="113"/>
      <c r="MZJ55" s="113"/>
      <c r="MZK55" s="113"/>
      <c r="MZL55" s="113"/>
      <c r="MZM55" s="113"/>
      <c r="MZN55" s="113"/>
      <c r="MZO55" s="113"/>
      <c r="MZP55" s="113"/>
      <c r="MZQ55" s="113"/>
      <c r="MZR55" s="113"/>
      <c r="MZS55" s="113"/>
      <c r="MZT55" s="113"/>
      <c r="MZU55" s="113"/>
      <c r="MZV55" s="113"/>
      <c r="MZW55" s="113"/>
      <c r="MZX55" s="113"/>
      <c r="MZY55" s="113"/>
      <c r="MZZ55" s="113"/>
      <c r="NAA55" s="113"/>
      <c r="NAB55" s="113"/>
      <c r="NAC55" s="113"/>
      <c r="NAD55" s="113"/>
      <c r="NAE55" s="113"/>
      <c r="NAF55" s="113"/>
      <c r="NAG55" s="113"/>
      <c r="NAH55" s="113"/>
      <c r="NAI55" s="113"/>
      <c r="NAJ55" s="113"/>
      <c r="NAK55" s="113"/>
      <c r="NAL55" s="113"/>
      <c r="NAM55" s="113"/>
      <c r="NAN55" s="113"/>
      <c r="NAO55" s="113"/>
      <c r="NAP55" s="113"/>
      <c r="NAQ55" s="113"/>
      <c r="NAR55" s="113"/>
      <c r="NAS55" s="113"/>
      <c r="NAT55" s="113"/>
      <c r="NAU55" s="113"/>
      <c r="NAV55" s="113"/>
      <c r="NAW55" s="113"/>
      <c r="NAX55" s="113"/>
      <c r="NAY55" s="113"/>
      <c r="NAZ55" s="113"/>
      <c r="NBA55" s="113"/>
      <c r="NBB55" s="113"/>
      <c r="NBC55" s="113"/>
      <c r="NBD55" s="113"/>
      <c r="NBE55" s="113"/>
      <c r="NBF55" s="113"/>
      <c r="NBG55" s="113"/>
      <c r="NBH55" s="113"/>
      <c r="NBI55" s="113"/>
      <c r="NBJ55" s="113"/>
      <c r="NBK55" s="113"/>
      <c r="NBL55" s="113"/>
      <c r="NBM55" s="113"/>
      <c r="NBN55" s="113"/>
      <c r="NBO55" s="113"/>
      <c r="NBP55" s="113"/>
      <c r="NBQ55" s="113"/>
      <c r="NBR55" s="113"/>
      <c r="NBS55" s="113"/>
      <c r="NBT55" s="113"/>
      <c r="NBU55" s="113"/>
      <c r="NBV55" s="113"/>
      <c r="NBW55" s="113"/>
      <c r="NBX55" s="113"/>
      <c r="NBY55" s="113"/>
      <c r="NBZ55" s="113"/>
      <c r="NCA55" s="113"/>
      <c r="NCB55" s="113"/>
      <c r="NCC55" s="113"/>
      <c r="NCD55" s="113"/>
      <c r="NCE55" s="113"/>
      <c r="NCF55" s="113"/>
      <c r="NCG55" s="113"/>
      <c r="NCH55" s="113"/>
      <c r="NCI55" s="113"/>
      <c r="NCJ55" s="113"/>
      <c r="NCK55" s="113"/>
      <c r="NCL55" s="113"/>
      <c r="NCM55" s="113"/>
      <c r="NCN55" s="113"/>
      <c r="NCO55" s="113"/>
      <c r="NCP55" s="113"/>
      <c r="NCQ55" s="113"/>
      <c r="NCR55" s="113"/>
      <c r="NCS55" s="113"/>
      <c r="NCT55" s="113"/>
      <c r="NCU55" s="113"/>
      <c r="NCV55" s="113"/>
      <c r="NCW55" s="113"/>
      <c r="NCX55" s="113"/>
      <c r="NCY55" s="113"/>
      <c r="NCZ55" s="113"/>
      <c r="NDA55" s="113"/>
      <c r="NDB55" s="113"/>
      <c r="NDC55" s="113"/>
      <c r="NDD55" s="113"/>
      <c r="NDE55" s="113"/>
      <c r="NDF55" s="113"/>
      <c r="NDG55" s="113"/>
      <c r="NDH55" s="113"/>
      <c r="NDI55" s="113"/>
      <c r="NDJ55" s="113"/>
      <c r="NDK55" s="113"/>
      <c r="NDL55" s="113"/>
      <c r="NDM55" s="113"/>
      <c r="NDN55" s="113"/>
      <c r="NDO55" s="113"/>
      <c r="NDP55" s="113"/>
      <c r="NDQ55" s="113"/>
      <c r="NDR55" s="113"/>
      <c r="NDS55" s="113"/>
      <c r="NDT55" s="113"/>
      <c r="NDU55" s="113"/>
      <c r="NDV55" s="113"/>
      <c r="NDW55" s="113"/>
      <c r="NDX55" s="113"/>
      <c r="NDY55" s="113"/>
      <c r="NDZ55" s="113"/>
      <c r="NEA55" s="113"/>
      <c r="NEB55" s="113"/>
      <c r="NEC55" s="113"/>
      <c r="NED55" s="113"/>
      <c r="NEE55" s="113"/>
      <c r="NEF55" s="113"/>
      <c r="NEG55" s="113"/>
      <c r="NEH55" s="113"/>
      <c r="NEI55" s="113"/>
      <c r="NEJ55" s="113"/>
      <c r="NEK55" s="113"/>
      <c r="NEL55" s="113"/>
      <c r="NEM55" s="113"/>
      <c r="NEN55" s="113"/>
      <c r="NEO55" s="113"/>
      <c r="NEP55" s="113"/>
      <c r="NEQ55" s="113"/>
      <c r="NER55" s="113"/>
      <c r="NES55" s="113"/>
      <c r="NET55" s="113"/>
      <c r="NEU55" s="113"/>
      <c r="NEV55" s="113"/>
      <c r="NEW55" s="113"/>
      <c r="NEX55" s="113"/>
      <c r="NEY55" s="113"/>
      <c r="NEZ55" s="113"/>
      <c r="NFA55" s="113"/>
      <c r="NFB55" s="113"/>
      <c r="NFC55" s="113"/>
      <c r="NFD55" s="113"/>
      <c r="NFE55" s="113"/>
      <c r="NFF55" s="113"/>
      <c r="NFG55" s="113"/>
      <c r="NFH55" s="113"/>
      <c r="NFI55" s="113"/>
      <c r="NFJ55" s="113"/>
      <c r="NFK55" s="113"/>
      <c r="NFL55" s="113"/>
      <c r="NFM55" s="113"/>
      <c r="NFN55" s="113"/>
      <c r="NFO55" s="113"/>
      <c r="NFP55" s="113"/>
      <c r="NFQ55" s="113"/>
      <c r="NFR55" s="113"/>
      <c r="NFS55" s="113"/>
      <c r="NFT55" s="113"/>
      <c r="NFU55" s="113"/>
      <c r="NFV55" s="113"/>
      <c r="NFW55" s="113"/>
      <c r="NFX55" s="113"/>
      <c r="NFY55" s="113"/>
      <c r="NFZ55" s="113"/>
      <c r="NGA55" s="113"/>
      <c r="NGB55" s="113"/>
      <c r="NGC55" s="113"/>
      <c r="NGD55" s="113"/>
      <c r="NGE55" s="113"/>
      <c r="NGF55" s="113"/>
      <c r="NGG55" s="113"/>
      <c r="NGH55" s="113"/>
      <c r="NGI55" s="113"/>
      <c r="NGJ55" s="113"/>
      <c r="NGK55" s="113"/>
      <c r="NGL55" s="113"/>
      <c r="NGM55" s="113"/>
      <c r="NGN55" s="113"/>
      <c r="NGO55" s="113"/>
      <c r="NGP55" s="113"/>
      <c r="NGQ55" s="113"/>
      <c r="NGR55" s="113"/>
      <c r="NGS55" s="113"/>
      <c r="NGT55" s="113"/>
      <c r="NGU55" s="113"/>
      <c r="NGV55" s="113"/>
      <c r="NGW55" s="113"/>
      <c r="NGX55" s="113"/>
      <c r="NGY55" s="113"/>
      <c r="NGZ55" s="113"/>
      <c r="NHA55" s="113"/>
      <c r="NHB55" s="113"/>
      <c r="NHC55" s="113"/>
      <c r="NHD55" s="113"/>
      <c r="NHE55" s="113"/>
      <c r="NHF55" s="113"/>
      <c r="NHG55" s="113"/>
      <c r="NHH55" s="113"/>
      <c r="NHI55" s="113"/>
      <c r="NHJ55" s="113"/>
      <c r="NHK55" s="113"/>
      <c r="NHL55" s="113"/>
      <c r="NHM55" s="113"/>
      <c r="NHN55" s="113"/>
      <c r="NHO55" s="113"/>
      <c r="NHP55" s="113"/>
      <c r="NHQ55" s="113"/>
      <c r="NHR55" s="113"/>
      <c r="NHS55" s="113"/>
      <c r="NHT55" s="113"/>
      <c r="NHU55" s="113"/>
      <c r="NHV55" s="113"/>
      <c r="NHW55" s="113"/>
      <c r="NHX55" s="113"/>
      <c r="NHY55" s="113"/>
      <c r="NHZ55" s="113"/>
      <c r="NIA55" s="113"/>
      <c r="NIB55" s="113"/>
      <c r="NIC55" s="113"/>
      <c r="NID55" s="113"/>
      <c r="NIE55" s="113"/>
      <c r="NIF55" s="113"/>
      <c r="NIG55" s="113"/>
      <c r="NIH55" s="113"/>
      <c r="NII55" s="113"/>
      <c r="NIJ55" s="113"/>
      <c r="NIK55" s="113"/>
      <c r="NIL55" s="113"/>
      <c r="NIM55" s="113"/>
      <c r="NIN55" s="113"/>
      <c r="NIO55" s="113"/>
      <c r="NIP55" s="113"/>
      <c r="NIQ55" s="113"/>
      <c r="NIR55" s="113"/>
      <c r="NIS55" s="113"/>
      <c r="NIT55" s="113"/>
      <c r="NIU55" s="113"/>
      <c r="NIV55" s="113"/>
      <c r="NIW55" s="113"/>
      <c r="NIX55" s="113"/>
      <c r="NIY55" s="113"/>
      <c r="NIZ55" s="113"/>
      <c r="NJA55" s="113"/>
      <c r="NJB55" s="113"/>
      <c r="NJC55" s="113"/>
      <c r="NJD55" s="113"/>
      <c r="NJE55" s="113"/>
      <c r="NJF55" s="113"/>
      <c r="NJG55" s="113"/>
      <c r="NJH55" s="113"/>
      <c r="NJI55" s="113"/>
      <c r="NJJ55" s="113"/>
      <c r="NJK55" s="113"/>
      <c r="NJL55" s="113"/>
      <c r="NJM55" s="113"/>
      <c r="NJN55" s="113"/>
      <c r="NJO55" s="113"/>
      <c r="NJP55" s="113"/>
      <c r="NJQ55" s="113"/>
      <c r="NJR55" s="113"/>
      <c r="NJS55" s="113"/>
      <c r="NJT55" s="113"/>
      <c r="NJU55" s="113"/>
      <c r="NJV55" s="113"/>
      <c r="NJW55" s="113"/>
      <c r="NJX55" s="113"/>
      <c r="NJY55" s="113"/>
      <c r="NJZ55" s="113"/>
      <c r="NKA55" s="113"/>
      <c r="NKB55" s="113"/>
      <c r="NKC55" s="113"/>
      <c r="NKD55" s="113"/>
      <c r="NKE55" s="113"/>
      <c r="NKF55" s="113"/>
      <c r="NKG55" s="113"/>
      <c r="NKH55" s="113"/>
      <c r="NKI55" s="113"/>
      <c r="NKJ55" s="113"/>
      <c r="NKK55" s="113"/>
      <c r="NKL55" s="113"/>
      <c r="NKM55" s="113"/>
      <c r="NKN55" s="113"/>
      <c r="NKO55" s="113"/>
      <c r="NKP55" s="113"/>
      <c r="NKQ55" s="113"/>
      <c r="NKR55" s="113"/>
      <c r="NKS55" s="113"/>
      <c r="NKT55" s="113"/>
      <c r="NKU55" s="113"/>
      <c r="NKV55" s="113"/>
      <c r="NKW55" s="113"/>
      <c r="NKX55" s="113"/>
      <c r="NKY55" s="113"/>
      <c r="NKZ55" s="113"/>
      <c r="NLA55" s="113"/>
      <c r="NLB55" s="113"/>
      <c r="NLC55" s="113"/>
      <c r="NLD55" s="113"/>
      <c r="NLE55" s="113"/>
      <c r="NLF55" s="113"/>
      <c r="NLG55" s="113"/>
      <c r="NLH55" s="113"/>
      <c r="NLI55" s="113"/>
      <c r="NLJ55" s="113"/>
      <c r="NLK55" s="113"/>
      <c r="NLL55" s="113"/>
      <c r="NLM55" s="113"/>
      <c r="NLN55" s="113"/>
      <c r="NLO55" s="113"/>
      <c r="NLP55" s="113"/>
      <c r="NLQ55" s="113"/>
      <c r="NLR55" s="113"/>
      <c r="NLS55" s="113"/>
      <c r="NLT55" s="113"/>
      <c r="NLU55" s="113"/>
      <c r="NLV55" s="113"/>
      <c r="NLW55" s="113"/>
      <c r="NLX55" s="113"/>
      <c r="NLY55" s="113"/>
      <c r="NLZ55" s="113"/>
      <c r="NMA55" s="113"/>
      <c r="NMB55" s="113"/>
      <c r="NMC55" s="113"/>
      <c r="NMD55" s="113"/>
      <c r="NME55" s="113"/>
      <c r="NMF55" s="113"/>
      <c r="NMG55" s="113"/>
      <c r="NMH55" s="113"/>
      <c r="NMI55" s="113"/>
      <c r="NMJ55" s="113"/>
      <c r="NMK55" s="113"/>
      <c r="NML55" s="113"/>
      <c r="NMM55" s="113"/>
      <c r="NMN55" s="113"/>
      <c r="NMO55" s="113"/>
      <c r="NMP55" s="113"/>
      <c r="NMQ55" s="113"/>
      <c r="NMR55" s="113"/>
      <c r="NMS55" s="113"/>
      <c r="NMT55" s="113"/>
      <c r="NMU55" s="113"/>
      <c r="NMV55" s="113"/>
      <c r="NMW55" s="113"/>
      <c r="NMX55" s="113"/>
      <c r="NMY55" s="113"/>
      <c r="NMZ55" s="113"/>
      <c r="NNA55" s="113"/>
      <c r="NNB55" s="113"/>
      <c r="NNC55" s="113"/>
      <c r="NND55" s="113"/>
      <c r="NNE55" s="113"/>
      <c r="NNF55" s="113"/>
      <c r="NNG55" s="113"/>
      <c r="NNH55" s="113"/>
      <c r="NNI55" s="113"/>
      <c r="NNJ55" s="113"/>
      <c r="NNK55" s="113"/>
      <c r="NNL55" s="113"/>
      <c r="NNM55" s="113"/>
      <c r="NNN55" s="113"/>
      <c r="NNO55" s="113"/>
      <c r="NNP55" s="113"/>
      <c r="NNQ55" s="113"/>
      <c r="NNR55" s="113"/>
      <c r="NNS55" s="113"/>
      <c r="NNT55" s="113"/>
      <c r="NNU55" s="113"/>
      <c r="NNV55" s="113"/>
      <c r="NNW55" s="113"/>
      <c r="NNX55" s="113"/>
      <c r="NNY55" s="113"/>
      <c r="NNZ55" s="113"/>
      <c r="NOA55" s="113"/>
      <c r="NOB55" s="113"/>
      <c r="NOC55" s="113"/>
      <c r="NOD55" s="113"/>
      <c r="NOE55" s="113"/>
      <c r="NOF55" s="113"/>
      <c r="NOG55" s="113"/>
      <c r="NOH55" s="113"/>
      <c r="NOI55" s="113"/>
      <c r="NOJ55" s="113"/>
      <c r="NOK55" s="113"/>
      <c r="NOL55" s="113"/>
      <c r="NOM55" s="113"/>
      <c r="NON55" s="113"/>
      <c r="NOO55" s="113"/>
      <c r="NOP55" s="113"/>
      <c r="NOQ55" s="113"/>
      <c r="NOR55" s="113"/>
      <c r="NOS55" s="113"/>
      <c r="NOT55" s="113"/>
      <c r="NOU55" s="113"/>
      <c r="NOV55" s="113"/>
      <c r="NOW55" s="113"/>
      <c r="NOX55" s="113"/>
      <c r="NOY55" s="113"/>
      <c r="NOZ55" s="113"/>
      <c r="NPA55" s="113"/>
      <c r="NPB55" s="113"/>
      <c r="NPC55" s="113"/>
      <c r="NPD55" s="113"/>
      <c r="NPE55" s="113"/>
      <c r="NPF55" s="113"/>
      <c r="NPG55" s="113"/>
      <c r="NPH55" s="113"/>
      <c r="NPI55" s="113"/>
      <c r="NPJ55" s="113"/>
      <c r="NPK55" s="113"/>
      <c r="NPL55" s="113"/>
      <c r="NPM55" s="113"/>
      <c r="NPN55" s="113"/>
      <c r="NPO55" s="113"/>
      <c r="NPP55" s="113"/>
      <c r="NPQ55" s="113"/>
      <c r="NPR55" s="113"/>
      <c r="NPS55" s="113"/>
      <c r="NPT55" s="113"/>
      <c r="NPU55" s="113"/>
      <c r="NPV55" s="113"/>
      <c r="NPW55" s="113"/>
      <c r="NPX55" s="113"/>
      <c r="NPY55" s="113"/>
      <c r="NPZ55" s="113"/>
      <c r="NQA55" s="113"/>
      <c r="NQB55" s="113"/>
      <c r="NQC55" s="113"/>
      <c r="NQD55" s="113"/>
      <c r="NQE55" s="113"/>
      <c r="NQF55" s="113"/>
      <c r="NQG55" s="113"/>
      <c r="NQH55" s="113"/>
      <c r="NQI55" s="113"/>
      <c r="NQJ55" s="113"/>
      <c r="NQK55" s="113"/>
      <c r="NQL55" s="113"/>
      <c r="NQM55" s="113"/>
      <c r="NQN55" s="113"/>
      <c r="NQO55" s="113"/>
      <c r="NQP55" s="113"/>
      <c r="NQQ55" s="113"/>
      <c r="NQR55" s="113"/>
      <c r="NQS55" s="113"/>
      <c r="NQT55" s="113"/>
      <c r="NQU55" s="113"/>
      <c r="NQV55" s="113"/>
      <c r="NQW55" s="113"/>
      <c r="NQX55" s="113"/>
      <c r="NQY55" s="113"/>
      <c r="NQZ55" s="113"/>
      <c r="NRA55" s="113"/>
      <c r="NRB55" s="113"/>
      <c r="NRC55" s="113"/>
      <c r="NRD55" s="113"/>
      <c r="NRE55" s="113"/>
      <c r="NRF55" s="113"/>
      <c r="NRG55" s="113"/>
      <c r="NRH55" s="113"/>
      <c r="NRI55" s="113"/>
      <c r="NRJ55" s="113"/>
      <c r="NRK55" s="113"/>
      <c r="NRL55" s="113"/>
      <c r="NRM55" s="113"/>
      <c r="NRN55" s="113"/>
      <c r="NRO55" s="113"/>
      <c r="NRP55" s="113"/>
      <c r="NRQ55" s="113"/>
      <c r="NRR55" s="113"/>
      <c r="NRS55" s="113"/>
      <c r="NRT55" s="113"/>
      <c r="NRU55" s="113"/>
      <c r="NRV55" s="113"/>
      <c r="NRW55" s="113"/>
      <c r="NRX55" s="113"/>
      <c r="NRY55" s="113"/>
      <c r="NRZ55" s="113"/>
      <c r="NSA55" s="113"/>
      <c r="NSB55" s="113"/>
      <c r="NSC55" s="113"/>
      <c r="NSD55" s="113"/>
      <c r="NSE55" s="113"/>
      <c r="NSF55" s="113"/>
      <c r="NSG55" s="113"/>
      <c r="NSH55" s="113"/>
      <c r="NSI55" s="113"/>
      <c r="NSJ55" s="113"/>
      <c r="NSK55" s="113"/>
      <c r="NSL55" s="113"/>
      <c r="NSM55" s="113"/>
      <c r="NSN55" s="113"/>
      <c r="NSO55" s="113"/>
      <c r="NSP55" s="113"/>
      <c r="NSQ55" s="113"/>
      <c r="NSR55" s="113"/>
      <c r="NSS55" s="113"/>
      <c r="NST55" s="113"/>
      <c r="NSU55" s="113"/>
      <c r="NSV55" s="113"/>
      <c r="NSW55" s="113"/>
      <c r="NSX55" s="113"/>
      <c r="NSY55" s="113"/>
      <c r="NSZ55" s="113"/>
      <c r="NTA55" s="113"/>
      <c r="NTB55" s="113"/>
      <c r="NTC55" s="113"/>
      <c r="NTD55" s="113"/>
      <c r="NTE55" s="113"/>
      <c r="NTF55" s="113"/>
      <c r="NTG55" s="113"/>
      <c r="NTH55" s="113"/>
      <c r="NTI55" s="113"/>
      <c r="NTJ55" s="113"/>
      <c r="NTK55" s="113"/>
      <c r="NTL55" s="113"/>
      <c r="NTM55" s="113"/>
      <c r="NTN55" s="113"/>
      <c r="NTO55" s="113"/>
      <c r="NTP55" s="113"/>
      <c r="NTQ55" s="113"/>
      <c r="NTR55" s="113"/>
      <c r="NTS55" s="113"/>
      <c r="NTT55" s="113"/>
      <c r="NTU55" s="113"/>
      <c r="NTV55" s="113"/>
      <c r="NTW55" s="113"/>
      <c r="NTX55" s="113"/>
      <c r="NTY55" s="113"/>
      <c r="NTZ55" s="113"/>
      <c r="NUA55" s="113"/>
      <c r="NUB55" s="113"/>
      <c r="NUC55" s="113"/>
      <c r="NUD55" s="113"/>
      <c r="NUE55" s="113"/>
      <c r="NUF55" s="113"/>
      <c r="NUG55" s="113"/>
      <c r="NUH55" s="113"/>
      <c r="NUI55" s="113"/>
      <c r="NUJ55" s="113"/>
      <c r="NUK55" s="113"/>
      <c r="NUL55" s="113"/>
      <c r="NUM55" s="113"/>
      <c r="NUN55" s="113"/>
      <c r="NUO55" s="113"/>
      <c r="NUP55" s="113"/>
      <c r="NUQ55" s="113"/>
      <c r="NUR55" s="113"/>
      <c r="NUS55" s="113"/>
      <c r="NUT55" s="113"/>
      <c r="NUU55" s="113"/>
      <c r="NUV55" s="113"/>
      <c r="NUW55" s="113"/>
      <c r="NUX55" s="113"/>
      <c r="NUY55" s="113"/>
      <c r="NUZ55" s="113"/>
      <c r="NVA55" s="113"/>
      <c r="NVB55" s="113"/>
      <c r="NVC55" s="113"/>
      <c r="NVD55" s="113"/>
      <c r="NVE55" s="113"/>
      <c r="NVF55" s="113"/>
      <c r="NVG55" s="113"/>
      <c r="NVH55" s="113"/>
      <c r="NVI55" s="113"/>
      <c r="NVJ55" s="113"/>
      <c r="NVK55" s="113"/>
      <c r="NVL55" s="113"/>
      <c r="NVM55" s="113"/>
      <c r="NVN55" s="113"/>
      <c r="NVO55" s="113"/>
      <c r="NVP55" s="113"/>
      <c r="NVQ55" s="113"/>
      <c r="NVR55" s="113"/>
      <c r="NVS55" s="113"/>
      <c r="NVT55" s="113"/>
      <c r="NVU55" s="113"/>
      <c r="NVV55" s="113"/>
      <c r="NVW55" s="113"/>
      <c r="NVX55" s="113"/>
      <c r="NVY55" s="113"/>
      <c r="NVZ55" s="113"/>
      <c r="NWA55" s="113"/>
      <c r="NWB55" s="113"/>
      <c r="NWC55" s="113"/>
      <c r="NWD55" s="113"/>
      <c r="NWE55" s="113"/>
      <c r="NWF55" s="113"/>
      <c r="NWG55" s="113"/>
      <c r="NWH55" s="113"/>
      <c r="NWI55" s="113"/>
      <c r="NWJ55" s="113"/>
      <c r="NWK55" s="113"/>
      <c r="NWL55" s="113"/>
      <c r="NWM55" s="113"/>
      <c r="NWN55" s="113"/>
      <c r="NWO55" s="113"/>
      <c r="NWP55" s="113"/>
      <c r="NWQ55" s="113"/>
      <c r="NWR55" s="113"/>
      <c r="NWS55" s="113"/>
      <c r="NWT55" s="113"/>
      <c r="NWU55" s="113"/>
      <c r="NWV55" s="113"/>
      <c r="NWW55" s="113"/>
      <c r="NWX55" s="113"/>
      <c r="NWY55" s="113"/>
      <c r="NWZ55" s="113"/>
      <c r="NXA55" s="113"/>
      <c r="NXB55" s="113"/>
      <c r="NXC55" s="113"/>
      <c r="NXD55" s="113"/>
      <c r="NXE55" s="113"/>
      <c r="NXF55" s="113"/>
      <c r="NXG55" s="113"/>
      <c r="NXH55" s="113"/>
      <c r="NXI55" s="113"/>
      <c r="NXJ55" s="113"/>
      <c r="NXK55" s="113"/>
      <c r="NXL55" s="113"/>
      <c r="NXM55" s="113"/>
      <c r="NXN55" s="113"/>
      <c r="NXO55" s="113"/>
      <c r="NXP55" s="113"/>
      <c r="NXQ55" s="113"/>
      <c r="NXR55" s="113"/>
      <c r="NXS55" s="113"/>
      <c r="NXT55" s="113"/>
      <c r="NXU55" s="113"/>
      <c r="NXV55" s="113"/>
      <c r="NXW55" s="113"/>
      <c r="NXX55" s="113"/>
      <c r="NXY55" s="113"/>
      <c r="NXZ55" s="113"/>
      <c r="NYA55" s="113"/>
      <c r="NYB55" s="113"/>
      <c r="NYC55" s="113"/>
      <c r="NYD55" s="113"/>
      <c r="NYE55" s="113"/>
      <c r="NYF55" s="113"/>
      <c r="NYG55" s="113"/>
      <c r="NYH55" s="113"/>
      <c r="NYI55" s="113"/>
      <c r="NYJ55" s="113"/>
      <c r="NYK55" s="113"/>
      <c r="NYL55" s="113"/>
      <c r="NYM55" s="113"/>
      <c r="NYN55" s="113"/>
      <c r="NYO55" s="113"/>
      <c r="NYP55" s="113"/>
      <c r="NYQ55" s="113"/>
      <c r="NYR55" s="113"/>
      <c r="NYS55" s="113"/>
      <c r="NYT55" s="113"/>
      <c r="NYU55" s="113"/>
      <c r="NYV55" s="113"/>
      <c r="NYW55" s="113"/>
      <c r="NYX55" s="113"/>
      <c r="NYY55" s="113"/>
      <c r="NYZ55" s="113"/>
      <c r="NZA55" s="113"/>
      <c r="NZB55" s="113"/>
      <c r="NZC55" s="113"/>
      <c r="NZD55" s="113"/>
      <c r="NZE55" s="113"/>
      <c r="NZF55" s="113"/>
      <c r="NZG55" s="113"/>
      <c r="NZH55" s="113"/>
      <c r="NZI55" s="113"/>
      <c r="NZJ55" s="113"/>
      <c r="NZK55" s="113"/>
      <c r="NZL55" s="113"/>
      <c r="NZM55" s="113"/>
      <c r="NZN55" s="113"/>
      <c r="NZO55" s="113"/>
      <c r="NZP55" s="113"/>
      <c r="NZQ55" s="113"/>
      <c r="NZR55" s="113"/>
      <c r="NZS55" s="113"/>
      <c r="NZT55" s="113"/>
      <c r="NZU55" s="113"/>
      <c r="NZV55" s="113"/>
      <c r="NZW55" s="113"/>
      <c r="NZX55" s="113"/>
      <c r="NZY55" s="113"/>
      <c r="NZZ55" s="113"/>
      <c r="OAA55" s="113"/>
      <c r="OAB55" s="113"/>
      <c r="OAC55" s="113"/>
      <c r="OAD55" s="113"/>
      <c r="OAE55" s="113"/>
      <c r="OAF55" s="113"/>
      <c r="OAG55" s="113"/>
      <c r="OAH55" s="113"/>
      <c r="OAI55" s="113"/>
      <c r="OAJ55" s="113"/>
      <c r="OAK55" s="113"/>
      <c r="OAL55" s="113"/>
      <c r="OAM55" s="113"/>
      <c r="OAN55" s="113"/>
      <c r="OAO55" s="113"/>
      <c r="OAP55" s="113"/>
      <c r="OAQ55" s="113"/>
      <c r="OAR55" s="113"/>
      <c r="OAS55" s="113"/>
      <c r="OAT55" s="113"/>
      <c r="OAU55" s="113"/>
      <c r="OAV55" s="113"/>
      <c r="OAW55" s="113"/>
      <c r="OAX55" s="113"/>
      <c r="OAY55" s="113"/>
      <c r="OAZ55" s="113"/>
      <c r="OBA55" s="113"/>
      <c r="OBB55" s="113"/>
      <c r="OBC55" s="113"/>
      <c r="OBD55" s="113"/>
      <c r="OBE55" s="113"/>
      <c r="OBF55" s="113"/>
      <c r="OBG55" s="113"/>
      <c r="OBH55" s="113"/>
      <c r="OBI55" s="113"/>
      <c r="OBJ55" s="113"/>
      <c r="OBK55" s="113"/>
      <c r="OBL55" s="113"/>
      <c r="OBM55" s="113"/>
      <c r="OBN55" s="113"/>
      <c r="OBO55" s="113"/>
      <c r="OBP55" s="113"/>
      <c r="OBQ55" s="113"/>
      <c r="OBR55" s="113"/>
      <c r="OBS55" s="113"/>
      <c r="OBT55" s="113"/>
      <c r="OBU55" s="113"/>
      <c r="OBV55" s="113"/>
      <c r="OBW55" s="113"/>
      <c r="OBX55" s="113"/>
      <c r="OBY55" s="113"/>
      <c r="OBZ55" s="113"/>
      <c r="OCA55" s="113"/>
      <c r="OCB55" s="113"/>
      <c r="OCC55" s="113"/>
      <c r="OCD55" s="113"/>
      <c r="OCE55" s="113"/>
      <c r="OCF55" s="113"/>
      <c r="OCG55" s="113"/>
      <c r="OCH55" s="113"/>
      <c r="OCI55" s="113"/>
      <c r="OCJ55" s="113"/>
      <c r="OCK55" s="113"/>
      <c r="OCL55" s="113"/>
      <c r="OCM55" s="113"/>
      <c r="OCN55" s="113"/>
      <c r="OCO55" s="113"/>
      <c r="OCP55" s="113"/>
      <c r="OCQ55" s="113"/>
      <c r="OCR55" s="113"/>
      <c r="OCS55" s="113"/>
      <c r="OCT55" s="113"/>
      <c r="OCU55" s="113"/>
      <c r="OCV55" s="113"/>
      <c r="OCW55" s="113"/>
      <c r="OCX55" s="113"/>
      <c r="OCY55" s="113"/>
      <c r="OCZ55" s="113"/>
      <c r="ODA55" s="113"/>
      <c r="ODB55" s="113"/>
      <c r="ODC55" s="113"/>
      <c r="ODD55" s="113"/>
      <c r="ODE55" s="113"/>
      <c r="ODF55" s="113"/>
      <c r="ODG55" s="113"/>
      <c r="ODH55" s="113"/>
      <c r="ODI55" s="113"/>
      <c r="ODJ55" s="113"/>
      <c r="ODK55" s="113"/>
      <c r="ODL55" s="113"/>
      <c r="ODM55" s="113"/>
      <c r="ODN55" s="113"/>
      <c r="ODO55" s="113"/>
      <c r="ODP55" s="113"/>
      <c r="ODQ55" s="113"/>
      <c r="ODR55" s="113"/>
      <c r="ODS55" s="113"/>
      <c r="ODT55" s="113"/>
      <c r="ODU55" s="113"/>
      <c r="ODV55" s="113"/>
      <c r="ODW55" s="113"/>
      <c r="ODX55" s="113"/>
      <c r="ODY55" s="113"/>
      <c r="ODZ55" s="113"/>
      <c r="OEA55" s="113"/>
      <c r="OEB55" s="113"/>
      <c r="OEC55" s="113"/>
      <c r="OED55" s="113"/>
      <c r="OEE55" s="113"/>
      <c r="OEF55" s="113"/>
      <c r="OEG55" s="113"/>
      <c r="OEH55" s="113"/>
      <c r="OEI55" s="113"/>
      <c r="OEJ55" s="113"/>
      <c r="OEK55" s="113"/>
      <c r="OEL55" s="113"/>
      <c r="OEM55" s="113"/>
      <c r="OEN55" s="113"/>
      <c r="OEO55" s="113"/>
      <c r="OEP55" s="113"/>
      <c r="OEQ55" s="113"/>
      <c r="OER55" s="113"/>
      <c r="OES55" s="113"/>
      <c r="OET55" s="113"/>
      <c r="OEU55" s="113"/>
      <c r="OEV55" s="113"/>
      <c r="OEW55" s="113"/>
      <c r="OEX55" s="113"/>
      <c r="OEY55" s="113"/>
      <c r="OEZ55" s="113"/>
      <c r="OFA55" s="113"/>
      <c r="OFB55" s="113"/>
      <c r="OFC55" s="113"/>
      <c r="OFD55" s="113"/>
      <c r="OFE55" s="113"/>
      <c r="OFF55" s="113"/>
      <c r="OFG55" s="113"/>
      <c r="OFH55" s="113"/>
      <c r="OFI55" s="113"/>
      <c r="OFJ55" s="113"/>
      <c r="OFK55" s="113"/>
      <c r="OFL55" s="113"/>
      <c r="OFM55" s="113"/>
      <c r="OFN55" s="113"/>
      <c r="OFO55" s="113"/>
      <c r="OFP55" s="113"/>
      <c r="OFQ55" s="113"/>
      <c r="OFR55" s="113"/>
      <c r="OFS55" s="113"/>
      <c r="OFT55" s="113"/>
      <c r="OFU55" s="113"/>
      <c r="OFV55" s="113"/>
      <c r="OFW55" s="113"/>
      <c r="OFX55" s="113"/>
      <c r="OFY55" s="113"/>
      <c r="OFZ55" s="113"/>
      <c r="OGA55" s="113"/>
      <c r="OGB55" s="113"/>
      <c r="OGC55" s="113"/>
      <c r="OGD55" s="113"/>
      <c r="OGE55" s="113"/>
      <c r="OGF55" s="113"/>
      <c r="OGG55" s="113"/>
      <c r="OGH55" s="113"/>
      <c r="OGI55" s="113"/>
      <c r="OGJ55" s="113"/>
      <c r="OGK55" s="113"/>
      <c r="OGL55" s="113"/>
      <c r="OGM55" s="113"/>
      <c r="OGN55" s="113"/>
      <c r="OGO55" s="113"/>
      <c r="OGP55" s="113"/>
      <c r="OGQ55" s="113"/>
      <c r="OGR55" s="113"/>
      <c r="OGS55" s="113"/>
      <c r="OGT55" s="113"/>
      <c r="OGU55" s="113"/>
      <c r="OGV55" s="113"/>
      <c r="OGW55" s="113"/>
      <c r="OGX55" s="113"/>
      <c r="OGY55" s="113"/>
      <c r="OGZ55" s="113"/>
      <c r="OHA55" s="113"/>
      <c r="OHB55" s="113"/>
      <c r="OHC55" s="113"/>
      <c r="OHD55" s="113"/>
      <c r="OHE55" s="113"/>
      <c r="OHF55" s="113"/>
      <c r="OHG55" s="113"/>
      <c r="OHH55" s="113"/>
      <c r="OHI55" s="113"/>
      <c r="OHJ55" s="113"/>
      <c r="OHK55" s="113"/>
      <c r="OHL55" s="113"/>
      <c r="OHM55" s="113"/>
      <c r="OHN55" s="113"/>
      <c r="OHO55" s="113"/>
      <c r="OHP55" s="113"/>
      <c r="OHQ55" s="113"/>
      <c r="OHR55" s="113"/>
      <c r="OHS55" s="113"/>
      <c r="OHT55" s="113"/>
      <c r="OHU55" s="113"/>
      <c r="OHV55" s="113"/>
      <c r="OHW55" s="113"/>
      <c r="OHX55" s="113"/>
      <c r="OHY55" s="113"/>
      <c r="OHZ55" s="113"/>
      <c r="OIA55" s="113"/>
      <c r="OIB55" s="113"/>
      <c r="OIC55" s="113"/>
      <c r="OID55" s="113"/>
      <c r="OIE55" s="113"/>
      <c r="OIF55" s="113"/>
      <c r="OIG55" s="113"/>
      <c r="OIH55" s="113"/>
      <c r="OII55" s="113"/>
      <c r="OIJ55" s="113"/>
      <c r="OIK55" s="113"/>
      <c r="OIL55" s="113"/>
      <c r="OIM55" s="113"/>
      <c r="OIN55" s="113"/>
      <c r="OIO55" s="113"/>
      <c r="OIP55" s="113"/>
      <c r="OIQ55" s="113"/>
      <c r="OIR55" s="113"/>
      <c r="OIS55" s="113"/>
      <c r="OIT55" s="113"/>
      <c r="OIU55" s="113"/>
      <c r="OIV55" s="113"/>
      <c r="OIW55" s="113"/>
      <c r="OIX55" s="113"/>
      <c r="OIY55" s="113"/>
      <c r="OIZ55" s="113"/>
      <c r="OJA55" s="113"/>
      <c r="OJB55" s="113"/>
      <c r="OJC55" s="113"/>
      <c r="OJD55" s="113"/>
      <c r="OJE55" s="113"/>
      <c r="OJF55" s="113"/>
      <c r="OJG55" s="113"/>
      <c r="OJH55" s="113"/>
      <c r="OJI55" s="113"/>
      <c r="OJJ55" s="113"/>
      <c r="OJK55" s="113"/>
      <c r="OJL55" s="113"/>
      <c r="OJM55" s="113"/>
      <c r="OJN55" s="113"/>
      <c r="OJO55" s="113"/>
      <c r="OJP55" s="113"/>
      <c r="OJQ55" s="113"/>
      <c r="OJR55" s="113"/>
      <c r="OJS55" s="113"/>
      <c r="OJT55" s="113"/>
      <c r="OJU55" s="113"/>
      <c r="OJV55" s="113"/>
      <c r="OJW55" s="113"/>
      <c r="OJX55" s="113"/>
      <c r="OJY55" s="113"/>
      <c r="OJZ55" s="113"/>
      <c r="OKA55" s="113"/>
      <c r="OKB55" s="113"/>
      <c r="OKC55" s="113"/>
      <c r="OKD55" s="113"/>
      <c r="OKE55" s="113"/>
      <c r="OKF55" s="113"/>
      <c r="OKG55" s="113"/>
      <c r="OKH55" s="113"/>
      <c r="OKI55" s="113"/>
      <c r="OKJ55" s="113"/>
      <c r="OKK55" s="113"/>
      <c r="OKL55" s="113"/>
      <c r="OKM55" s="113"/>
      <c r="OKN55" s="113"/>
      <c r="OKO55" s="113"/>
      <c r="OKP55" s="113"/>
      <c r="OKQ55" s="113"/>
      <c r="OKR55" s="113"/>
      <c r="OKS55" s="113"/>
      <c r="OKT55" s="113"/>
      <c r="OKU55" s="113"/>
      <c r="OKV55" s="113"/>
      <c r="OKW55" s="113"/>
      <c r="OKX55" s="113"/>
      <c r="OKY55" s="113"/>
      <c r="OKZ55" s="113"/>
      <c r="OLA55" s="113"/>
      <c r="OLB55" s="113"/>
      <c r="OLC55" s="113"/>
      <c r="OLD55" s="113"/>
      <c r="OLE55" s="113"/>
      <c r="OLF55" s="113"/>
      <c r="OLG55" s="113"/>
      <c r="OLH55" s="113"/>
      <c r="OLI55" s="113"/>
      <c r="OLJ55" s="113"/>
      <c r="OLK55" s="113"/>
      <c r="OLL55" s="113"/>
      <c r="OLM55" s="113"/>
      <c r="OLN55" s="113"/>
      <c r="OLO55" s="113"/>
      <c r="OLP55" s="113"/>
      <c r="OLQ55" s="113"/>
      <c r="OLR55" s="113"/>
      <c r="OLS55" s="113"/>
      <c r="OLT55" s="113"/>
      <c r="OLU55" s="113"/>
      <c r="OLV55" s="113"/>
      <c r="OLW55" s="113"/>
      <c r="OLX55" s="113"/>
      <c r="OLY55" s="113"/>
      <c r="OLZ55" s="113"/>
      <c r="OMA55" s="113"/>
      <c r="OMB55" s="113"/>
      <c r="OMC55" s="113"/>
      <c r="OMD55" s="113"/>
      <c r="OME55" s="113"/>
      <c r="OMF55" s="113"/>
      <c r="OMG55" s="113"/>
      <c r="OMH55" s="113"/>
      <c r="OMI55" s="113"/>
      <c r="OMJ55" s="113"/>
      <c r="OMK55" s="113"/>
      <c r="OML55" s="113"/>
      <c r="OMM55" s="113"/>
      <c r="OMN55" s="113"/>
      <c r="OMO55" s="113"/>
      <c r="OMP55" s="113"/>
      <c r="OMQ55" s="113"/>
      <c r="OMR55" s="113"/>
      <c r="OMS55" s="113"/>
      <c r="OMT55" s="113"/>
      <c r="OMU55" s="113"/>
      <c r="OMV55" s="113"/>
      <c r="OMW55" s="113"/>
      <c r="OMX55" s="113"/>
      <c r="OMY55" s="113"/>
      <c r="OMZ55" s="113"/>
      <c r="ONA55" s="113"/>
      <c r="ONB55" s="113"/>
      <c r="ONC55" s="113"/>
      <c r="OND55" s="113"/>
      <c r="ONE55" s="113"/>
      <c r="ONF55" s="113"/>
      <c r="ONG55" s="113"/>
      <c r="ONH55" s="113"/>
      <c r="ONI55" s="113"/>
      <c r="ONJ55" s="113"/>
      <c r="ONK55" s="113"/>
      <c r="ONL55" s="113"/>
      <c r="ONM55" s="113"/>
      <c r="ONN55" s="113"/>
      <c r="ONO55" s="113"/>
      <c r="ONP55" s="113"/>
      <c r="ONQ55" s="113"/>
      <c r="ONR55" s="113"/>
      <c r="ONS55" s="113"/>
      <c r="ONT55" s="113"/>
      <c r="ONU55" s="113"/>
      <c r="ONV55" s="113"/>
      <c r="ONW55" s="113"/>
      <c r="ONX55" s="113"/>
      <c r="ONY55" s="113"/>
      <c r="ONZ55" s="113"/>
      <c r="OOA55" s="113"/>
      <c r="OOB55" s="113"/>
      <c r="OOC55" s="113"/>
      <c r="OOD55" s="113"/>
      <c r="OOE55" s="113"/>
      <c r="OOF55" s="113"/>
      <c r="OOG55" s="113"/>
      <c r="OOH55" s="113"/>
      <c r="OOI55" s="113"/>
      <c r="OOJ55" s="113"/>
      <c r="OOK55" s="113"/>
      <c r="OOL55" s="113"/>
      <c r="OOM55" s="113"/>
      <c r="OON55" s="113"/>
      <c r="OOO55" s="113"/>
      <c r="OOP55" s="113"/>
      <c r="OOQ55" s="113"/>
      <c r="OOR55" s="113"/>
      <c r="OOS55" s="113"/>
      <c r="OOT55" s="113"/>
      <c r="OOU55" s="113"/>
      <c r="OOV55" s="113"/>
      <c r="OOW55" s="113"/>
      <c r="OOX55" s="113"/>
      <c r="OOY55" s="113"/>
      <c r="OOZ55" s="113"/>
      <c r="OPA55" s="113"/>
      <c r="OPB55" s="113"/>
      <c r="OPC55" s="113"/>
      <c r="OPD55" s="113"/>
      <c r="OPE55" s="113"/>
      <c r="OPF55" s="113"/>
      <c r="OPG55" s="113"/>
      <c r="OPH55" s="113"/>
      <c r="OPI55" s="113"/>
      <c r="OPJ55" s="113"/>
      <c r="OPK55" s="113"/>
      <c r="OPL55" s="113"/>
      <c r="OPM55" s="113"/>
      <c r="OPN55" s="113"/>
      <c r="OPO55" s="113"/>
      <c r="OPP55" s="113"/>
      <c r="OPQ55" s="113"/>
      <c r="OPR55" s="113"/>
      <c r="OPS55" s="113"/>
      <c r="OPT55" s="113"/>
      <c r="OPU55" s="113"/>
      <c r="OPV55" s="113"/>
      <c r="OPW55" s="113"/>
      <c r="OPX55" s="113"/>
      <c r="OPY55" s="113"/>
      <c r="OPZ55" s="113"/>
      <c r="OQA55" s="113"/>
      <c r="OQB55" s="113"/>
      <c r="OQC55" s="113"/>
      <c r="OQD55" s="113"/>
      <c r="OQE55" s="113"/>
      <c r="OQF55" s="113"/>
      <c r="OQG55" s="113"/>
      <c r="OQH55" s="113"/>
      <c r="OQI55" s="113"/>
      <c r="OQJ55" s="113"/>
      <c r="OQK55" s="113"/>
      <c r="OQL55" s="113"/>
      <c r="OQM55" s="113"/>
      <c r="OQN55" s="113"/>
      <c r="OQO55" s="113"/>
      <c r="OQP55" s="113"/>
      <c r="OQQ55" s="113"/>
      <c r="OQR55" s="113"/>
      <c r="OQS55" s="113"/>
      <c r="OQT55" s="113"/>
      <c r="OQU55" s="113"/>
      <c r="OQV55" s="113"/>
      <c r="OQW55" s="113"/>
      <c r="OQX55" s="113"/>
      <c r="OQY55" s="113"/>
      <c r="OQZ55" s="113"/>
      <c r="ORA55" s="113"/>
      <c r="ORB55" s="113"/>
      <c r="ORC55" s="113"/>
      <c r="ORD55" s="113"/>
      <c r="ORE55" s="113"/>
      <c r="ORF55" s="113"/>
      <c r="ORG55" s="113"/>
      <c r="ORH55" s="113"/>
      <c r="ORI55" s="113"/>
      <c r="ORJ55" s="113"/>
      <c r="ORK55" s="113"/>
      <c r="ORL55" s="113"/>
      <c r="ORM55" s="113"/>
      <c r="ORN55" s="113"/>
      <c r="ORO55" s="113"/>
      <c r="ORP55" s="113"/>
      <c r="ORQ55" s="113"/>
      <c r="ORR55" s="113"/>
      <c r="ORS55" s="113"/>
      <c r="ORT55" s="113"/>
      <c r="ORU55" s="113"/>
      <c r="ORV55" s="113"/>
      <c r="ORW55" s="113"/>
      <c r="ORX55" s="113"/>
      <c r="ORY55" s="113"/>
      <c r="ORZ55" s="113"/>
      <c r="OSA55" s="113"/>
      <c r="OSB55" s="113"/>
      <c r="OSC55" s="113"/>
      <c r="OSD55" s="113"/>
      <c r="OSE55" s="113"/>
      <c r="OSF55" s="113"/>
      <c r="OSG55" s="113"/>
      <c r="OSH55" s="113"/>
      <c r="OSI55" s="113"/>
      <c r="OSJ55" s="113"/>
      <c r="OSK55" s="113"/>
      <c r="OSL55" s="113"/>
      <c r="OSM55" s="113"/>
      <c r="OSN55" s="113"/>
      <c r="OSO55" s="113"/>
      <c r="OSP55" s="113"/>
      <c r="OSQ55" s="113"/>
      <c r="OSR55" s="113"/>
      <c r="OSS55" s="113"/>
      <c r="OST55" s="113"/>
      <c r="OSU55" s="113"/>
      <c r="OSV55" s="113"/>
      <c r="OSW55" s="113"/>
      <c r="OSX55" s="113"/>
      <c r="OSY55" s="113"/>
      <c r="OSZ55" s="113"/>
      <c r="OTA55" s="113"/>
      <c r="OTB55" s="113"/>
      <c r="OTC55" s="113"/>
      <c r="OTD55" s="113"/>
      <c r="OTE55" s="113"/>
      <c r="OTF55" s="113"/>
      <c r="OTG55" s="113"/>
      <c r="OTH55" s="113"/>
      <c r="OTI55" s="113"/>
      <c r="OTJ55" s="113"/>
      <c r="OTK55" s="113"/>
      <c r="OTL55" s="113"/>
      <c r="OTM55" s="113"/>
      <c r="OTN55" s="113"/>
      <c r="OTO55" s="113"/>
      <c r="OTP55" s="113"/>
      <c r="OTQ55" s="113"/>
      <c r="OTR55" s="113"/>
      <c r="OTS55" s="113"/>
      <c r="OTT55" s="113"/>
      <c r="OTU55" s="113"/>
      <c r="OTV55" s="113"/>
      <c r="OTW55" s="113"/>
      <c r="OTX55" s="113"/>
      <c r="OTY55" s="113"/>
      <c r="OTZ55" s="113"/>
      <c r="OUA55" s="113"/>
      <c r="OUB55" s="113"/>
      <c r="OUC55" s="113"/>
      <c r="OUD55" s="113"/>
      <c r="OUE55" s="113"/>
      <c r="OUF55" s="113"/>
      <c r="OUG55" s="113"/>
      <c r="OUH55" s="113"/>
      <c r="OUI55" s="113"/>
      <c r="OUJ55" s="113"/>
      <c r="OUK55" s="113"/>
      <c r="OUL55" s="113"/>
      <c r="OUM55" s="113"/>
      <c r="OUN55" s="113"/>
      <c r="OUO55" s="113"/>
      <c r="OUP55" s="113"/>
      <c r="OUQ55" s="113"/>
      <c r="OUR55" s="113"/>
      <c r="OUS55" s="113"/>
      <c r="OUT55" s="113"/>
      <c r="OUU55" s="113"/>
      <c r="OUV55" s="113"/>
      <c r="OUW55" s="113"/>
      <c r="OUX55" s="113"/>
      <c r="OUY55" s="113"/>
      <c r="OUZ55" s="113"/>
      <c r="OVA55" s="113"/>
      <c r="OVB55" s="113"/>
      <c r="OVC55" s="113"/>
      <c r="OVD55" s="113"/>
      <c r="OVE55" s="113"/>
      <c r="OVF55" s="113"/>
      <c r="OVG55" s="113"/>
      <c r="OVH55" s="113"/>
      <c r="OVI55" s="113"/>
      <c r="OVJ55" s="113"/>
      <c r="OVK55" s="113"/>
      <c r="OVL55" s="113"/>
      <c r="OVM55" s="113"/>
      <c r="OVN55" s="113"/>
      <c r="OVO55" s="113"/>
      <c r="OVP55" s="113"/>
      <c r="OVQ55" s="113"/>
      <c r="OVR55" s="113"/>
      <c r="OVS55" s="113"/>
      <c r="OVT55" s="113"/>
      <c r="OVU55" s="113"/>
      <c r="OVV55" s="113"/>
      <c r="OVW55" s="113"/>
      <c r="OVX55" s="113"/>
      <c r="OVY55" s="113"/>
      <c r="OVZ55" s="113"/>
      <c r="OWA55" s="113"/>
      <c r="OWB55" s="113"/>
      <c r="OWC55" s="113"/>
      <c r="OWD55" s="113"/>
      <c r="OWE55" s="113"/>
      <c r="OWF55" s="113"/>
      <c r="OWG55" s="113"/>
      <c r="OWH55" s="113"/>
      <c r="OWI55" s="113"/>
      <c r="OWJ55" s="113"/>
      <c r="OWK55" s="113"/>
      <c r="OWL55" s="113"/>
      <c r="OWM55" s="113"/>
      <c r="OWN55" s="113"/>
      <c r="OWO55" s="113"/>
      <c r="OWP55" s="113"/>
      <c r="OWQ55" s="113"/>
      <c r="OWR55" s="113"/>
      <c r="OWS55" s="113"/>
      <c r="OWT55" s="113"/>
      <c r="OWU55" s="113"/>
      <c r="OWV55" s="113"/>
      <c r="OWW55" s="113"/>
      <c r="OWX55" s="113"/>
      <c r="OWY55" s="113"/>
      <c r="OWZ55" s="113"/>
      <c r="OXA55" s="113"/>
      <c r="OXB55" s="113"/>
      <c r="OXC55" s="113"/>
      <c r="OXD55" s="113"/>
      <c r="OXE55" s="113"/>
      <c r="OXF55" s="113"/>
      <c r="OXG55" s="113"/>
      <c r="OXH55" s="113"/>
      <c r="OXI55" s="113"/>
      <c r="OXJ55" s="113"/>
      <c r="OXK55" s="113"/>
      <c r="OXL55" s="113"/>
      <c r="OXM55" s="113"/>
      <c r="OXN55" s="113"/>
      <c r="OXO55" s="113"/>
      <c r="OXP55" s="113"/>
      <c r="OXQ55" s="113"/>
      <c r="OXR55" s="113"/>
      <c r="OXS55" s="113"/>
      <c r="OXT55" s="113"/>
      <c r="OXU55" s="113"/>
      <c r="OXV55" s="113"/>
      <c r="OXW55" s="113"/>
      <c r="OXX55" s="113"/>
      <c r="OXY55" s="113"/>
      <c r="OXZ55" s="113"/>
      <c r="OYA55" s="113"/>
      <c r="OYB55" s="113"/>
      <c r="OYC55" s="113"/>
      <c r="OYD55" s="113"/>
      <c r="OYE55" s="113"/>
      <c r="OYF55" s="113"/>
      <c r="OYG55" s="113"/>
      <c r="OYH55" s="113"/>
      <c r="OYI55" s="113"/>
      <c r="OYJ55" s="113"/>
      <c r="OYK55" s="113"/>
      <c r="OYL55" s="113"/>
      <c r="OYM55" s="113"/>
      <c r="OYN55" s="113"/>
      <c r="OYO55" s="113"/>
      <c r="OYP55" s="113"/>
      <c r="OYQ55" s="113"/>
      <c r="OYR55" s="113"/>
      <c r="OYS55" s="113"/>
      <c r="OYT55" s="113"/>
      <c r="OYU55" s="113"/>
      <c r="OYV55" s="113"/>
      <c r="OYW55" s="113"/>
      <c r="OYX55" s="113"/>
      <c r="OYY55" s="113"/>
      <c r="OYZ55" s="113"/>
      <c r="OZA55" s="113"/>
      <c r="OZB55" s="113"/>
      <c r="OZC55" s="113"/>
      <c r="OZD55" s="113"/>
      <c r="OZE55" s="113"/>
      <c r="OZF55" s="113"/>
      <c r="OZG55" s="113"/>
      <c r="OZH55" s="113"/>
      <c r="OZI55" s="113"/>
      <c r="OZJ55" s="113"/>
      <c r="OZK55" s="113"/>
      <c r="OZL55" s="113"/>
      <c r="OZM55" s="113"/>
      <c r="OZN55" s="113"/>
      <c r="OZO55" s="113"/>
      <c r="OZP55" s="113"/>
      <c r="OZQ55" s="113"/>
      <c r="OZR55" s="113"/>
      <c r="OZS55" s="113"/>
      <c r="OZT55" s="113"/>
      <c r="OZU55" s="113"/>
      <c r="OZV55" s="113"/>
      <c r="OZW55" s="113"/>
      <c r="OZX55" s="113"/>
      <c r="OZY55" s="113"/>
      <c r="OZZ55" s="113"/>
      <c r="PAA55" s="113"/>
      <c r="PAB55" s="113"/>
      <c r="PAC55" s="113"/>
      <c r="PAD55" s="113"/>
      <c r="PAE55" s="113"/>
      <c r="PAF55" s="113"/>
      <c r="PAG55" s="113"/>
      <c r="PAH55" s="113"/>
      <c r="PAI55" s="113"/>
      <c r="PAJ55" s="113"/>
      <c r="PAK55" s="113"/>
      <c r="PAL55" s="113"/>
      <c r="PAM55" s="113"/>
      <c r="PAN55" s="113"/>
      <c r="PAO55" s="113"/>
      <c r="PAP55" s="113"/>
      <c r="PAQ55" s="113"/>
      <c r="PAR55" s="113"/>
      <c r="PAS55" s="113"/>
      <c r="PAT55" s="113"/>
      <c r="PAU55" s="113"/>
      <c r="PAV55" s="113"/>
      <c r="PAW55" s="113"/>
      <c r="PAX55" s="113"/>
      <c r="PAY55" s="113"/>
      <c r="PAZ55" s="113"/>
      <c r="PBA55" s="113"/>
      <c r="PBB55" s="113"/>
      <c r="PBC55" s="113"/>
      <c r="PBD55" s="113"/>
      <c r="PBE55" s="113"/>
      <c r="PBF55" s="113"/>
      <c r="PBG55" s="113"/>
      <c r="PBH55" s="113"/>
      <c r="PBI55" s="113"/>
      <c r="PBJ55" s="113"/>
      <c r="PBK55" s="113"/>
      <c r="PBL55" s="113"/>
      <c r="PBM55" s="113"/>
      <c r="PBN55" s="113"/>
      <c r="PBO55" s="113"/>
      <c r="PBP55" s="113"/>
      <c r="PBQ55" s="113"/>
      <c r="PBR55" s="113"/>
      <c r="PBS55" s="113"/>
      <c r="PBT55" s="113"/>
      <c r="PBU55" s="113"/>
      <c r="PBV55" s="113"/>
      <c r="PBW55" s="113"/>
      <c r="PBX55" s="113"/>
      <c r="PBY55" s="113"/>
      <c r="PBZ55" s="113"/>
      <c r="PCA55" s="113"/>
      <c r="PCB55" s="113"/>
      <c r="PCC55" s="113"/>
      <c r="PCD55" s="113"/>
      <c r="PCE55" s="113"/>
      <c r="PCF55" s="113"/>
      <c r="PCG55" s="113"/>
      <c r="PCH55" s="113"/>
      <c r="PCI55" s="113"/>
      <c r="PCJ55" s="113"/>
      <c r="PCK55" s="113"/>
      <c r="PCL55" s="113"/>
      <c r="PCM55" s="113"/>
      <c r="PCN55" s="113"/>
      <c r="PCO55" s="113"/>
      <c r="PCP55" s="113"/>
      <c r="PCQ55" s="113"/>
      <c r="PCR55" s="113"/>
      <c r="PCS55" s="113"/>
      <c r="PCT55" s="113"/>
      <c r="PCU55" s="113"/>
      <c r="PCV55" s="113"/>
      <c r="PCW55" s="113"/>
      <c r="PCX55" s="113"/>
      <c r="PCY55" s="113"/>
      <c r="PCZ55" s="113"/>
      <c r="PDA55" s="113"/>
      <c r="PDB55" s="113"/>
      <c r="PDC55" s="113"/>
      <c r="PDD55" s="113"/>
      <c r="PDE55" s="113"/>
      <c r="PDF55" s="113"/>
      <c r="PDG55" s="113"/>
      <c r="PDH55" s="113"/>
      <c r="PDI55" s="113"/>
      <c r="PDJ55" s="113"/>
      <c r="PDK55" s="113"/>
      <c r="PDL55" s="113"/>
      <c r="PDM55" s="113"/>
      <c r="PDN55" s="113"/>
      <c r="PDO55" s="113"/>
      <c r="PDP55" s="113"/>
      <c r="PDQ55" s="113"/>
      <c r="PDR55" s="113"/>
      <c r="PDS55" s="113"/>
      <c r="PDT55" s="113"/>
      <c r="PDU55" s="113"/>
      <c r="PDV55" s="113"/>
      <c r="PDW55" s="113"/>
      <c r="PDX55" s="113"/>
      <c r="PDY55" s="113"/>
      <c r="PDZ55" s="113"/>
      <c r="PEA55" s="113"/>
      <c r="PEB55" s="113"/>
      <c r="PEC55" s="113"/>
      <c r="PED55" s="113"/>
      <c r="PEE55" s="113"/>
      <c r="PEF55" s="113"/>
      <c r="PEG55" s="113"/>
      <c r="PEH55" s="113"/>
      <c r="PEI55" s="113"/>
      <c r="PEJ55" s="113"/>
      <c r="PEK55" s="113"/>
      <c r="PEL55" s="113"/>
      <c r="PEM55" s="113"/>
      <c r="PEN55" s="113"/>
      <c r="PEO55" s="113"/>
      <c r="PEP55" s="113"/>
      <c r="PEQ55" s="113"/>
      <c r="PER55" s="113"/>
      <c r="PES55" s="113"/>
      <c r="PET55" s="113"/>
      <c r="PEU55" s="113"/>
      <c r="PEV55" s="113"/>
      <c r="PEW55" s="113"/>
      <c r="PEX55" s="113"/>
      <c r="PEY55" s="113"/>
      <c r="PEZ55" s="113"/>
      <c r="PFA55" s="113"/>
      <c r="PFB55" s="113"/>
      <c r="PFC55" s="113"/>
      <c r="PFD55" s="113"/>
      <c r="PFE55" s="113"/>
      <c r="PFF55" s="113"/>
      <c r="PFG55" s="113"/>
      <c r="PFH55" s="113"/>
      <c r="PFI55" s="113"/>
      <c r="PFJ55" s="113"/>
      <c r="PFK55" s="113"/>
      <c r="PFL55" s="113"/>
      <c r="PFM55" s="113"/>
      <c r="PFN55" s="113"/>
      <c r="PFO55" s="113"/>
      <c r="PFP55" s="113"/>
      <c r="PFQ55" s="113"/>
      <c r="PFR55" s="113"/>
      <c r="PFS55" s="113"/>
      <c r="PFT55" s="113"/>
      <c r="PFU55" s="113"/>
      <c r="PFV55" s="113"/>
      <c r="PFW55" s="113"/>
      <c r="PFX55" s="113"/>
      <c r="PFY55" s="113"/>
      <c r="PFZ55" s="113"/>
      <c r="PGA55" s="113"/>
      <c r="PGB55" s="113"/>
      <c r="PGC55" s="113"/>
      <c r="PGD55" s="113"/>
      <c r="PGE55" s="113"/>
      <c r="PGF55" s="113"/>
      <c r="PGG55" s="113"/>
      <c r="PGH55" s="113"/>
      <c r="PGI55" s="113"/>
      <c r="PGJ55" s="113"/>
      <c r="PGK55" s="113"/>
      <c r="PGL55" s="113"/>
      <c r="PGM55" s="113"/>
      <c r="PGN55" s="113"/>
      <c r="PGO55" s="113"/>
      <c r="PGP55" s="113"/>
      <c r="PGQ55" s="113"/>
      <c r="PGR55" s="113"/>
      <c r="PGS55" s="113"/>
      <c r="PGT55" s="113"/>
      <c r="PGU55" s="113"/>
      <c r="PGV55" s="113"/>
      <c r="PGW55" s="113"/>
      <c r="PGX55" s="113"/>
      <c r="PGY55" s="113"/>
      <c r="PGZ55" s="113"/>
      <c r="PHA55" s="113"/>
      <c r="PHB55" s="113"/>
      <c r="PHC55" s="113"/>
      <c r="PHD55" s="113"/>
      <c r="PHE55" s="113"/>
      <c r="PHF55" s="113"/>
      <c r="PHG55" s="113"/>
      <c r="PHH55" s="113"/>
      <c r="PHI55" s="113"/>
      <c r="PHJ55" s="113"/>
      <c r="PHK55" s="113"/>
      <c r="PHL55" s="113"/>
      <c r="PHM55" s="113"/>
      <c r="PHN55" s="113"/>
      <c r="PHO55" s="113"/>
      <c r="PHP55" s="113"/>
      <c r="PHQ55" s="113"/>
      <c r="PHR55" s="113"/>
      <c r="PHS55" s="113"/>
      <c r="PHT55" s="113"/>
      <c r="PHU55" s="113"/>
      <c r="PHV55" s="113"/>
      <c r="PHW55" s="113"/>
      <c r="PHX55" s="113"/>
      <c r="PHY55" s="113"/>
      <c r="PHZ55" s="113"/>
      <c r="PIA55" s="113"/>
      <c r="PIB55" s="113"/>
      <c r="PIC55" s="113"/>
      <c r="PID55" s="113"/>
      <c r="PIE55" s="113"/>
      <c r="PIF55" s="113"/>
      <c r="PIG55" s="113"/>
      <c r="PIH55" s="113"/>
      <c r="PII55" s="113"/>
      <c r="PIJ55" s="113"/>
      <c r="PIK55" s="113"/>
      <c r="PIL55" s="113"/>
      <c r="PIM55" s="113"/>
      <c r="PIN55" s="113"/>
      <c r="PIO55" s="113"/>
      <c r="PIP55" s="113"/>
      <c r="PIQ55" s="113"/>
      <c r="PIR55" s="113"/>
      <c r="PIS55" s="113"/>
      <c r="PIT55" s="113"/>
      <c r="PIU55" s="113"/>
      <c r="PIV55" s="113"/>
      <c r="PIW55" s="113"/>
      <c r="PIX55" s="113"/>
      <c r="PIY55" s="113"/>
      <c r="PIZ55" s="113"/>
      <c r="PJA55" s="113"/>
      <c r="PJB55" s="113"/>
      <c r="PJC55" s="113"/>
      <c r="PJD55" s="113"/>
      <c r="PJE55" s="113"/>
      <c r="PJF55" s="113"/>
      <c r="PJG55" s="113"/>
      <c r="PJH55" s="113"/>
      <c r="PJI55" s="113"/>
      <c r="PJJ55" s="113"/>
      <c r="PJK55" s="113"/>
      <c r="PJL55" s="113"/>
      <c r="PJM55" s="113"/>
      <c r="PJN55" s="113"/>
      <c r="PJO55" s="113"/>
      <c r="PJP55" s="113"/>
      <c r="PJQ55" s="113"/>
      <c r="PJR55" s="113"/>
      <c r="PJS55" s="113"/>
      <c r="PJT55" s="113"/>
      <c r="PJU55" s="113"/>
      <c r="PJV55" s="113"/>
      <c r="PJW55" s="113"/>
      <c r="PJX55" s="113"/>
      <c r="PJY55" s="113"/>
      <c r="PJZ55" s="113"/>
      <c r="PKA55" s="113"/>
      <c r="PKB55" s="113"/>
      <c r="PKC55" s="113"/>
      <c r="PKD55" s="113"/>
      <c r="PKE55" s="113"/>
      <c r="PKF55" s="113"/>
      <c r="PKG55" s="113"/>
      <c r="PKH55" s="113"/>
      <c r="PKI55" s="113"/>
      <c r="PKJ55" s="113"/>
      <c r="PKK55" s="113"/>
      <c r="PKL55" s="113"/>
      <c r="PKM55" s="113"/>
      <c r="PKN55" s="113"/>
      <c r="PKO55" s="113"/>
      <c r="PKP55" s="113"/>
      <c r="PKQ55" s="113"/>
      <c r="PKR55" s="113"/>
      <c r="PKS55" s="113"/>
      <c r="PKT55" s="113"/>
      <c r="PKU55" s="113"/>
      <c r="PKV55" s="113"/>
      <c r="PKW55" s="113"/>
      <c r="PKX55" s="113"/>
      <c r="PKY55" s="113"/>
      <c r="PKZ55" s="113"/>
      <c r="PLA55" s="113"/>
      <c r="PLB55" s="113"/>
      <c r="PLC55" s="113"/>
      <c r="PLD55" s="113"/>
      <c r="PLE55" s="113"/>
      <c r="PLF55" s="113"/>
      <c r="PLG55" s="113"/>
      <c r="PLH55" s="113"/>
      <c r="PLI55" s="113"/>
      <c r="PLJ55" s="113"/>
      <c r="PLK55" s="113"/>
      <c r="PLL55" s="113"/>
      <c r="PLM55" s="113"/>
      <c r="PLN55" s="113"/>
      <c r="PLO55" s="113"/>
      <c r="PLP55" s="113"/>
      <c r="PLQ55" s="113"/>
      <c r="PLR55" s="113"/>
      <c r="PLS55" s="113"/>
      <c r="PLT55" s="113"/>
      <c r="PLU55" s="113"/>
      <c r="PLV55" s="113"/>
      <c r="PLW55" s="113"/>
      <c r="PLX55" s="113"/>
      <c r="PLY55" s="113"/>
      <c r="PLZ55" s="113"/>
      <c r="PMA55" s="113"/>
      <c r="PMB55" s="113"/>
      <c r="PMC55" s="113"/>
      <c r="PMD55" s="113"/>
      <c r="PME55" s="113"/>
      <c r="PMF55" s="113"/>
      <c r="PMG55" s="113"/>
      <c r="PMH55" s="113"/>
      <c r="PMI55" s="113"/>
      <c r="PMJ55" s="113"/>
      <c r="PMK55" s="113"/>
      <c r="PML55" s="113"/>
      <c r="PMM55" s="113"/>
      <c r="PMN55" s="113"/>
      <c r="PMO55" s="113"/>
      <c r="PMP55" s="113"/>
      <c r="PMQ55" s="113"/>
      <c r="PMR55" s="113"/>
      <c r="PMS55" s="113"/>
      <c r="PMT55" s="113"/>
      <c r="PMU55" s="113"/>
      <c r="PMV55" s="113"/>
      <c r="PMW55" s="113"/>
      <c r="PMX55" s="113"/>
      <c r="PMY55" s="113"/>
      <c r="PMZ55" s="113"/>
      <c r="PNA55" s="113"/>
      <c r="PNB55" s="113"/>
      <c r="PNC55" s="113"/>
      <c r="PND55" s="113"/>
      <c r="PNE55" s="113"/>
      <c r="PNF55" s="113"/>
      <c r="PNG55" s="113"/>
      <c r="PNH55" s="113"/>
      <c r="PNI55" s="113"/>
      <c r="PNJ55" s="113"/>
      <c r="PNK55" s="113"/>
      <c r="PNL55" s="113"/>
      <c r="PNM55" s="113"/>
      <c r="PNN55" s="113"/>
      <c r="PNO55" s="113"/>
      <c r="PNP55" s="113"/>
      <c r="PNQ55" s="113"/>
      <c r="PNR55" s="113"/>
      <c r="PNS55" s="113"/>
      <c r="PNT55" s="113"/>
      <c r="PNU55" s="113"/>
      <c r="PNV55" s="113"/>
      <c r="PNW55" s="113"/>
      <c r="PNX55" s="113"/>
      <c r="PNY55" s="113"/>
      <c r="PNZ55" s="113"/>
      <c r="POA55" s="113"/>
      <c r="POB55" s="113"/>
      <c r="POC55" s="113"/>
      <c r="POD55" s="113"/>
      <c r="POE55" s="113"/>
      <c r="POF55" s="113"/>
      <c r="POG55" s="113"/>
      <c r="POH55" s="113"/>
      <c r="POI55" s="113"/>
      <c r="POJ55" s="113"/>
      <c r="POK55" s="113"/>
      <c r="POL55" s="113"/>
      <c r="POM55" s="113"/>
      <c r="PON55" s="113"/>
      <c r="POO55" s="113"/>
      <c r="POP55" s="113"/>
      <c r="POQ55" s="113"/>
      <c r="POR55" s="113"/>
      <c r="POS55" s="113"/>
      <c r="POT55" s="113"/>
      <c r="POU55" s="113"/>
      <c r="POV55" s="113"/>
      <c r="POW55" s="113"/>
      <c r="POX55" s="113"/>
      <c r="POY55" s="113"/>
      <c r="POZ55" s="113"/>
      <c r="PPA55" s="113"/>
      <c r="PPB55" s="113"/>
      <c r="PPC55" s="113"/>
      <c r="PPD55" s="113"/>
      <c r="PPE55" s="113"/>
      <c r="PPF55" s="113"/>
      <c r="PPG55" s="113"/>
      <c r="PPH55" s="113"/>
      <c r="PPI55" s="113"/>
      <c r="PPJ55" s="113"/>
      <c r="PPK55" s="113"/>
      <c r="PPL55" s="113"/>
      <c r="PPM55" s="113"/>
      <c r="PPN55" s="113"/>
      <c r="PPO55" s="113"/>
      <c r="PPP55" s="113"/>
      <c r="PPQ55" s="113"/>
      <c r="PPR55" s="113"/>
      <c r="PPS55" s="113"/>
      <c r="PPT55" s="113"/>
      <c r="PPU55" s="113"/>
      <c r="PPV55" s="113"/>
      <c r="PPW55" s="113"/>
      <c r="PPX55" s="113"/>
      <c r="PPY55" s="113"/>
      <c r="PPZ55" s="113"/>
      <c r="PQA55" s="113"/>
      <c r="PQB55" s="113"/>
      <c r="PQC55" s="113"/>
      <c r="PQD55" s="113"/>
      <c r="PQE55" s="113"/>
      <c r="PQF55" s="113"/>
      <c r="PQG55" s="113"/>
      <c r="PQH55" s="113"/>
      <c r="PQI55" s="113"/>
      <c r="PQJ55" s="113"/>
      <c r="PQK55" s="113"/>
      <c r="PQL55" s="113"/>
      <c r="PQM55" s="113"/>
      <c r="PQN55" s="113"/>
      <c r="PQO55" s="113"/>
      <c r="PQP55" s="113"/>
      <c r="PQQ55" s="113"/>
      <c r="PQR55" s="113"/>
      <c r="PQS55" s="113"/>
      <c r="PQT55" s="113"/>
      <c r="PQU55" s="113"/>
      <c r="PQV55" s="113"/>
      <c r="PQW55" s="113"/>
      <c r="PQX55" s="113"/>
      <c r="PQY55" s="113"/>
      <c r="PQZ55" s="113"/>
      <c r="PRA55" s="113"/>
      <c r="PRB55" s="113"/>
      <c r="PRC55" s="113"/>
      <c r="PRD55" s="113"/>
      <c r="PRE55" s="113"/>
      <c r="PRF55" s="113"/>
      <c r="PRG55" s="113"/>
      <c r="PRH55" s="113"/>
      <c r="PRI55" s="113"/>
      <c r="PRJ55" s="113"/>
      <c r="PRK55" s="113"/>
      <c r="PRL55" s="113"/>
      <c r="PRM55" s="113"/>
      <c r="PRN55" s="113"/>
      <c r="PRO55" s="113"/>
      <c r="PRP55" s="113"/>
      <c r="PRQ55" s="113"/>
      <c r="PRR55" s="113"/>
      <c r="PRS55" s="113"/>
      <c r="PRT55" s="113"/>
      <c r="PRU55" s="113"/>
      <c r="PRV55" s="113"/>
      <c r="PRW55" s="113"/>
      <c r="PRX55" s="113"/>
      <c r="PRY55" s="113"/>
      <c r="PRZ55" s="113"/>
      <c r="PSA55" s="113"/>
      <c r="PSB55" s="113"/>
      <c r="PSC55" s="113"/>
      <c r="PSD55" s="113"/>
      <c r="PSE55" s="113"/>
      <c r="PSF55" s="113"/>
      <c r="PSG55" s="113"/>
      <c r="PSH55" s="113"/>
      <c r="PSI55" s="113"/>
      <c r="PSJ55" s="113"/>
      <c r="PSK55" s="113"/>
      <c r="PSL55" s="113"/>
      <c r="PSM55" s="113"/>
      <c r="PSN55" s="113"/>
      <c r="PSO55" s="113"/>
      <c r="PSP55" s="113"/>
      <c r="PSQ55" s="113"/>
      <c r="PSR55" s="113"/>
      <c r="PSS55" s="113"/>
      <c r="PST55" s="113"/>
      <c r="PSU55" s="113"/>
      <c r="PSV55" s="113"/>
      <c r="PSW55" s="113"/>
      <c r="PSX55" s="113"/>
      <c r="PSY55" s="113"/>
      <c r="PSZ55" s="113"/>
      <c r="PTA55" s="113"/>
      <c r="PTB55" s="113"/>
      <c r="PTC55" s="113"/>
      <c r="PTD55" s="113"/>
      <c r="PTE55" s="113"/>
      <c r="PTF55" s="113"/>
      <c r="PTG55" s="113"/>
      <c r="PTH55" s="113"/>
      <c r="PTI55" s="113"/>
      <c r="PTJ55" s="113"/>
      <c r="PTK55" s="113"/>
      <c r="PTL55" s="113"/>
      <c r="PTM55" s="113"/>
      <c r="PTN55" s="113"/>
      <c r="PTO55" s="113"/>
      <c r="PTP55" s="113"/>
      <c r="PTQ55" s="113"/>
      <c r="PTR55" s="113"/>
      <c r="PTS55" s="113"/>
      <c r="PTT55" s="113"/>
      <c r="PTU55" s="113"/>
      <c r="PTV55" s="113"/>
      <c r="PTW55" s="113"/>
      <c r="PTX55" s="113"/>
      <c r="PTY55" s="113"/>
      <c r="PTZ55" s="113"/>
      <c r="PUA55" s="113"/>
      <c r="PUB55" s="113"/>
      <c r="PUC55" s="113"/>
      <c r="PUD55" s="113"/>
      <c r="PUE55" s="113"/>
      <c r="PUF55" s="113"/>
      <c r="PUG55" s="113"/>
      <c r="PUH55" s="113"/>
      <c r="PUI55" s="113"/>
      <c r="PUJ55" s="113"/>
      <c r="PUK55" s="113"/>
      <c r="PUL55" s="113"/>
      <c r="PUM55" s="113"/>
      <c r="PUN55" s="113"/>
      <c r="PUO55" s="113"/>
      <c r="PUP55" s="113"/>
      <c r="PUQ55" s="113"/>
      <c r="PUR55" s="113"/>
      <c r="PUS55" s="113"/>
      <c r="PUT55" s="113"/>
      <c r="PUU55" s="113"/>
      <c r="PUV55" s="113"/>
      <c r="PUW55" s="113"/>
      <c r="PUX55" s="113"/>
      <c r="PUY55" s="113"/>
      <c r="PUZ55" s="113"/>
      <c r="PVA55" s="113"/>
      <c r="PVB55" s="113"/>
      <c r="PVC55" s="113"/>
      <c r="PVD55" s="113"/>
      <c r="PVE55" s="113"/>
      <c r="PVF55" s="113"/>
      <c r="PVG55" s="113"/>
      <c r="PVH55" s="113"/>
      <c r="PVI55" s="113"/>
      <c r="PVJ55" s="113"/>
      <c r="PVK55" s="113"/>
      <c r="PVL55" s="113"/>
      <c r="PVM55" s="113"/>
      <c r="PVN55" s="113"/>
      <c r="PVO55" s="113"/>
      <c r="PVP55" s="113"/>
      <c r="PVQ55" s="113"/>
      <c r="PVR55" s="113"/>
      <c r="PVS55" s="113"/>
      <c r="PVT55" s="113"/>
      <c r="PVU55" s="113"/>
      <c r="PVV55" s="113"/>
      <c r="PVW55" s="113"/>
      <c r="PVX55" s="113"/>
      <c r="PVY55" s="113"/>
      <c r="PVZ55" s="113"/>
      <c r="PWA55" s="113"/>
      <c r="PWB55" s="113"/>
      <c r="PWC55" s="113"/>
      <c r="PWD55" s="113"/>
      <c r="PWE55" s="113"/>
      <c r="PWF55" s="113"/>
      <c r="PWG55" s="113"/>
      <c r="PWH55" s="113"/>
      <c r="PWI55" s="113"/>
      <c r="PWJ55" s="113"/>
      <c r="PWK55" s="113"/>
      <c r="PWL55" s="113"/>
      <c r="PWM55" s="113"/>
      <c r="PWN55" s="113"/>
      <c r="PWO55" s="113"/>
      <c r="PWP55" s="113"/>
      <c r="PWQ55" s="113"/>
      <c r="PWR55" s="113"/>
      <c r="PWS55" s="113"/>
      <c r="PWT55" s="113"/>
      <c r="PWU55" s="113"/>
      <c r="PWV55" s="113"/>
      <c r="PWW55" s="113"/>
      <c r="PWX55" s="113"/>
      <c r="PWY55" s="113"/>
      <c r="PWZ55" s="113"/>
      <c r="PXA55" s="113"/>
      <c r="PXB55" s="113"/>
      <c r="PXC55" s="113"/>
      <c r="PXD55" s="113"/>
      <c r="PXE55" s="113"/>
      <c r="PXF55" s="113"/>
      <c r="PXG55" s="113"/>
      <c r="PXH55" s="113"/>
      <c r="PXI55" s="113"/>
      <c r="PXJ55" s="113"/>
      <c r="PXK55" s="113"/>
      <c r="PXL55" s="113"/>
      <c r="PXM55" s="113"/>
      <c r="PXN55" s="113"/>
      <c r="PXO55" s="113"/>
      <c r="PXP55" s="113"/>
      <c r="PXQ55" s="113"/>
      <c r="PXR55" s="113"/>
      <c r="PXS55" s="113"/>
      <c r="PXT55" s="113"/>
      <c r="PXU55" s="113"/>
      <c r="PXV55" s="113"/>
      <c r="PXW55" s="113"/>
      <c r="PXX55" s="113"/>
      <c r="PXY55" s="113"/>
      <c r="PXZ55" s="113"/>
      <c r="PYA55" s="113"/>
      <c r="PYB55" s="113"/>
      <c r="PYC55" s="113"/>
      <c r="PYD55" s="113"/>
      <c r="PYE55" s="113"/>
      <c r="PYF55" s="113"/>
      <c r="PYG55" s="113"/>
      <c r="PYH55" s="113"/>
      <c r="PYI55" s="113"/>
      <c r="PYJ55" s="113"/>
      <c r="PYK55" s="113"/>
      <c r="PYL55" s="113"/>
      <c r="PYM55" s="113"/>
      <c r="PYN55" s="113"/>
      <c r="PYO55" s="113"/>
      <c r="PYP55" s="113"/>
      <c r="PYQ55" s="113"/>
      <c r="PYR55" s="113"/>
      <c r="PYS55" s="113"/>
      <c r="PYT55" s="113"/>
      <c r="PYU55" s="113"/>
      <c r="PYV55" s="113"/>
      <c r="PYW55" s="113"/>
      <c r="PYX55" s="113"/>
      <c r="PYY55" s="113"/>
      <c r="PYZ55" s="113"/>
      <c r="PZA55" s="113"/>
      <c r="PZB55" s="113"/>
      <c r="PZC55" s="113"/>
      <c r="PZD55" s="113"/>
      <c r="PZE55" s="113"/>
      <c r="PZF55" s="113"/>
      <c r="PZG55" s="113"/>
      <c r="PZH55" s="113"/>
      <c r="PZI55" s="113"/>
      <c r="PZJ55" s="113"/>
      <c r="PZK55" s="113"/>
      <c r="PZL55" s="113"/>
      <c r="PZM55" s="113"/>
      <c r="PZN55" s="113"/>
      <c r="PZO55" s="113"/>
      <c r="PZP55" s="113"/>
      <c r="PZQ55" s="113"/>
      <c r="PZR55" s="113"/>
      <c r="PZS55" s="113"/>
      <c r="PZT55" s="113"/>
      <c r="PZU55" s="113"/>
      <c r="PZV55" s="113"/>
      <c r="PZW55" s="113"/>
      <c r="PZX55" s="113"/>
      <c r="PZY55" s="113"/>
      <c r="PZZ55" s="113"/>
      <c r="QAA55" s="113"/>
      <c r="QAB55" s="113"/>
      <c r="QAC55" s="113"/>
      <c r="QAD55" s="113"/>
      <c r="QAE55" s="113"/>
      <c r="QAF55" s="113"/>
      <c r="QAG55" s="113"/>
      <c r="QAH55" s="113"/>
      <c r="QAI55" s="113"/>
      <c r="QAJ55" s="113"/>
      <c r="QAK55" s="113"/>
      <c r="QAL55" s="113"/>
      <c r="QAM55" s="113"/>
      <c r="QAN55" s="113"/>
      <c r="QAO55" s="113"/>
      <c r="QAP55" s="113"/>
      <c r="QAQ55" s="113"/>
      <c r="QAR55" s="113"/>
      <c r="QAS55" s="113"/>
      <c r="QAT55" s="113"/>
      <c r="QAU55" s="113"/>
      <c r="QAV55" s="113"/>
      <c r="QAW55" s="113"/>
      <c r="QAX55" s="113"/>
      <c r="QAY55" s="113"/>
      <c r="QAZ55" s="113"/>
      <c r="QBA55" s="113"/>
      <c r="QBB55" s="113"/>
      <c r="QBC55" s="113"/>
      <c r="QBD55" s="113"/>
      <c r="QBE55" s="113"/>
      <c r="QBF55" s="113"/>
      <c r="QBG55" s="113"/>
      <c r="QBH55" s="113"/>
      <c r="QBI55" s="113"/>
      <c r="QBJ55" s="113"/>
      <c r="QBK55" s="113"/>
      <c r="QBL55" s="113"/>
      <c r="QBM55" s="113"/>
      <c r="QBN55" s="113"/>
      <c r="QBO55" s="113"/>
      <c r="QBP55" s="113"/>
      <c r="QBQ55" s="113"/>
      <c r="QBR55" s="113"/>
      <c r="QBS55" s="113"/>
      <c r="QBT55" s="113"/>
      <c r="QBU55" s="113"/>
      <c r="QBV55" s="113"/>
      <c r="QBW55" s="113"/>
      <c r="QBX55" s="113"/>
      <c r="QBY55" s="113"/>
      <c r="QBZ55" s="113"/>
      <c r="QCA55" s="113"/>
      <c r="QCB55" s="113"/>
      <c r="QCC55" s="113"/>
      <c r="QCD55" s="113"/>
      <c r="QCE55" s="113"/>
      <c r="QCF55" s="113"/>
      <c r="QCG55" s="113"/>
      <c r="QCH55" s="113"/>
      <c r="QCI55" s="113"/>
      <c r="QCJ55" s="113"/>
      <c r="QCK55" s="113"/>
      <c r="QCL55" s="113"/>
      <c r="QCM55" s="113"/>
      <c r="QCN55" s="113"/>
      <c r="QCO55" s="113"/>
      <c r="QCP55" s="113"/>
      <c r="QCQ55" s="113"/>
      <c r="QCR55" s="113"/>
      <c r="QCS55" s="113"/>
      <c r="QCT55" s="113"/>
      <c r="QCU55" s="113"/>
      <c r="QCV55" s="113"/>
      <c r="QCW55" s="113"/>
      <c r="QCX55" s="113"/>
      <c r="QCY55" s="113"/>
      <c r="QCZ55" s="113"/>
      <c r="QDA55" s="113"/>
      <c r="QDB55" s="113"/>
      <c r="QDC55" s="113"/>
      <c r="QDD55" s="113"/>
      <c r="QDE55" s="113"/>
      <c r="QDF55" s="113"/>
      <c r="QDG55" s="113"/>
      <c r="QDH55" s="113"/>
      <c r="QDI55" s="113"/>
      <c r="QDJ55" s="113"/>
      <c r="QDK55" s="113"/>
      <c r="QDL55" s="113"/>
      <c r="QDM55" s="113"/>
      <c r="QDN55" s="113"/>
      <c r="QDO55" s="113"/>
      <c r="QDP55" s="113"/>
      <c r="QDQ55" s="113"/>
      <c r="QDR55" s="113"/>
      <c r="QDS55" s="113"/>
      <c r="QDT55" s="113"/>
      <c r="QDU55" s="113"/>
      <c r="QDV55" s="113"/>
      <c r="QDW55" s="113"/>
      <c r="QDX55" s="113"/>
      <c r="QDY55" s="113"/>
      <c r="QDZ55" s="113"/>
      <c r="QEA55" s="113"/>
      <c r="QEB55" s="113"/>
      <c r="QEC55" s="113"/>
      <c r="QED55" s="113"/>
      <c r="QEE55" s="113"/>
      <c r="QEF55" s="113"/>
      <c r="QEG55" s="113"/>
      <c r="QEH55" s="113"/>
      <c r="QEI55" s="113"/>
      <c r="QEJ55" s="113"/>
      <c r="QEK55" s="113"/>
      <c r="QEL55" s="113"/>
      <c r="QEM55" s="113"/>
      <c r="QEN55" s="113"/>
      <c r="QEO55" s="113"/>
      <c r="QEP55" s="113"/>
      <c r="QEQ55" s="113"/>
      <c r="QER55" s="113"/>
      <c r="QES55" s="113"/>
      <c r="QET55" s="113"/>
      <c r="QEU55" s="113"/>
      <c r="QEV55" s="113"/>
      <c r="QEW55" s="113"/>
      <c r="QEX55" s="113"/>
      <c r="QEY55" s="113"/>
      <c r="QEZ55" s="113"/>
      <c r="QFA55" s="113"/>
      <c r="QFB55" s="113"/>
      <c r="QFC55" s="113"/>
      <c r="QFD55" s="113"/>
      <c r="QFE55" s="113"/>
      <c r="QFF55" s="113"/>
      <c r="QFG55" s="113"/>
      <c r="QFH55" s="113"/>
      <c r="QFI55" s="113"/>
      <c r="QFJ55" s="113"/>
      <c r="QFK55" s="113"/>
      <c r="QFL55" s="113"/>
      <c r="QFM55" s="113"/>
      <c r="QFN55" s="113"/>
      <c r="QFO55" s="113"/>
      <c r="QFP55" s="113"/>
      <c r="QFQ55" s="113"/>
      <c r="QFR55" s="113"/>
      <c r="QFS55" s="113"/>
      <c r="QFT55" s="113"/>
      <c r="QFU55" s="113"/>
      <c r="QFV55" s="113"/>
      <c r="QFW55" s="113"/>
      <c r="QFX55" s="113"/>
      <c r="QFY55" s="113"/>
      <c r="QFZ55" s="113"/>
      <c r="QGA55" s="113"/>
      <c r="QGB55" s="113"/>
      <c r="QGC55" s="113"/>
      <c r="QGD55" s="113"/>
      <c r="QGE55" s="113"/>
      <c r="QGF55" s="113"/>
      <c r="QGG55" s="113"/>
      <c r="QGH55" s="113"/>
      <c r="QGI55" s="113"/>
      <c r="QGJ55" s="113"/>
      <c r="QGK55" s="113"/>
      <c r="QGL55" s="113"/>
      <c r="QGM55" s="113"/>
      <c r="QGN55" s="113"/>
      <c r="QGO55" s="113"/>
      <c r="QGP55" s="113"/>
      <c r="QGQ55" s="113"/>
      <c r="QGR55" s="113"/>
      <c r="QGS55" s="113"/>
      <c r="QGT55" s="113"/>
      <c r="QGU55" s="113"/>
      <c r="QGV55" s="113"/>
      <c r="QGW55" s="113"/>
      <c r="QGX55" s="113"/>
      <c r="QGY55" s="113"/>
      <c r="QGZ55" s="113"/>
      <c r="QHA55" s="113"/>
      <c r="QHB55" s="113"/>
      <c r="QHC55" s="113"/>
      <c r="QHD55" s="113"/>
      <c r="QHE55" s="113"/>
      <c r="QHF55" s="113"/>
      <c r="QHG55" s="113"/>
      <c r="QHH55" s="113"/>
      <c r="QHI55" s="113"/>
      <c r="QHJ55" s="113"/>
      <c r="QHK55" s="113"/>
      <c r="QHL55" s="113"/>
      <c r="QHM55" s="113"/>
      <c r="QHN55" s="113"/>
      <c r="QHO55" s="113"/>
      <c r="QHP55" s="113"/>
      <c r="QHQ55" s="113"/>
      <c r="QHR55" s="113"/>
      <c r="QHS55" s="113"/>
      <c r="QHT55" s="113"/>
      <c r="QHU55" s="113"/>
      <c r="QHV55" s="113"/>
      <c r="QHW55" s="113"/>
      <c r="QHX55" s="113"/>
      <c r="QHY55" s="113"/>
      <c r="QHZ55" s="113"/>
      <c r="QIA55" s="113"/>
      <c r="QIB55" s="113"/>
      <c r="QIC55" s="113"/>
      <c r="QID55" s="113"/>
      <c r="QIE55" s="113"/>
      <c r="QIF55" s="113"/>
      <c r="QIG55" s="113"/>
      <c r="QIH55" s="113"/>
      <c r="QII55" s="113"/>
      <c r="QIJ55" s="113"/>
      <c r="QIK55" s="113"/>
      <c r="QIL55" s="113"/>
      <c r="QIM55" s="113"/>
      <c r="QIN55" s="113"/>
      <c r="QIO55" s="113"/>
      <c r="QIP55" s="113"/>
      <c r="QIQ55" s="113"/>
      <c r="QIR55" s="113"/>
      <c r="QIS55" s="113"/>
      <c r="QIT55" s="113"/>
      <c r="QIU55" s="113"/>
      <c r="QIV55" s="113"/>
      <c r="QIW55" s="113"/>
      <c r="QIX55" s="113"/>
      <c r="QIY55" s="113"/>
      <c r="QIZ55" s="113"/>
      <c r="QJA55" s="113"/>
      <c r="QJB55" s="113"/>
      <c r="QJC55" s="113"/>
      <c r="QJD55" s="113"/>
      <c r="QJE55" s="113"/>
      <c r="QJF55" s="113"/>
      <c r="QJG55" s="113"/>
      <c r="QJH55" s="113"/>
      <c r="QJI55" s="113"/>
      <c r="QJJ55" s="113"/>
      <c r="QJK55" s="113"/>
      <c r="QJL55" s="113"/>
      <c r="QJM55" s="113"/>
      <c r="QJN55" s="113"/>
      <c r="QJO55" s="113"/>
      <c r="QJP55" s="113"/>
      <c r="QJQ55" s="113"/>
      <c r="QJR55" s="113"/>
      <c r="QJS55" s="113"/>
      <c r="QJT55" s="113"/>
      <c r="QJU55" s="113"/>
      <c r="QJV55" s="113"/>
      <c r="QJW55" s="113"/>
      <c r="QJX55" s="113"/>
      <c r="QJY55" s="113"/>
      <c r="QJZ55" s="113"/>
      <c r="QKA55" s="113"/>
      <c r="QKB55" s="113"/>
      <c r="QKC55" s="113"/>
      <c r="QKD55" s="113"/>
      <c r="QKE55" s="113"/>
      <c r="QKF55" s="113"/>
      <c r="QKG55" s="113"/>
      <c r="QKH55" s="113"/>
      <c r="QKI55" s="113"/>
      <c r="QKJ55" s="113"/>
      <c r="QKK55" s="113"/>
      <c r="QKL55" s="113"/>
      <c r="QKM55" s="113"/>
      <c r="QKN55" s="113"/>
      <c r="QKO55" s="113"/>
      <c r="QKP55" s="113"/>
      <c r="QKQ55" s="113"/>
      <c r="QKR55" s="113"/>
      <c r="QKS55" s="113"/>
      <c r="QKT55" s="113"/>
      <c r="QKU55" s="113"/>
      <c r="QKV55" s="113"/>
      <c r="QKW55" s="113"/>
      <c r="QKX55" s="113"/>
      <c r="QKY55" s="113"/>
      <c r="QKZ55" s="113"/>
      <c r="QLA55" s="113"/>
      <c r="QLB55" s="113"/>
      <c r="QLC55" s="113"/>
      <c r="QLD55" s="113"/>
      <c r="QLE55" s="113"/>
      <c r="QLF55" s="113"/>
      <c r="QLG55" s="113"/>
      <c r="QLH55" s="113"/>
      <c r="QLI55" s="113"/>
      <c r="QLJ55" s="113"/>
      <c r="QLK55" s="113"/>
      <c r="QLL55" s="113"/>
      <c r="QLM55" s="113"/>
      <c r="QLN55" s="113"/>
      <c r="QLO55" s="113"/>
      <c r="QLP55" s="113"/>
      <c r="QLQ55" s="113"/>
      <c r="QLR55" s="113"/>
      <c r="QLS55" s="113"/>
      <c r="QLT55" s="113"/>
      <c r="QLU55" s="113"/>
      <c r="QLV55" s="113"/>
      <c r="QLW55" s="113"/>
      <c r="QLX55" s="113"/>
      <c r="QLY55" s="113"/>
      <c r="QLZ55" s="113"/>
      <c r="QMA55" s="113"/>
      <c r="QMB55" s="113"/>
      <c r="QMC55" s="113"/>
      <c r="QMD55" s="113"/>
      <c r="QME55" s="113"/>
      <c r="QMF55" s="113"/>
      <c r="QMG55" s="113"/>
      <c r="QMH55" s="113"/>
      <c r="QMI55" s="113"/>
      <c r="QMJ55" s="113"/>
      <c r="QMK55" s="113"/>
      <c r="QML55" s="113"/>
      <c r="QMM55" s="113"/>
      <c r="QMN55" s="113"/>
      <c r="QMO55" s="113"/>
      <c r="QMP55" s="113"/>
      <c r="QMQ55" s="113"/>
      <c r="QMR55" s="113"/>
      <c r="QMS55" s="113"/>
      <c r="QMT55" s="113"/>
      <c r="QMU55" s="113"/>
      <c r="QMV55" s="113"/>
      <c r="QMW55" s="113"/>
      <c r="QMX55" s="113"/>
      <c r="QMY55" s="113"/>
      <c r="QMZ55" s="113"/>
      <c r="QNA55" s="113"/>
      <c r="QNB55" s="113"/>
      <c r="QNC55" s="113"/>
      <c r="QND55" s="113"/>
      <c r="QNE55" s="113"/>
      <c r="QNF55" s="113"/>
      <c r="QNG55" s="113"/>
      <c r="QNH55" s="113"/>
      <c r="QNI55" s="113"/>
      <c r="QNJ55" s="113"/>
      <c r="QNK55" s="113"/>
      <c r="QNL55" s="113"/>
      <c r="QNM55" s="113"/>
      <c r="QNN55" s="113"/>
      <c r="QNO55" s="113"/>
      <c r="QNP55" s="113"/>
      <c r="QNQ55" s="113"/>
      <c r="QNR55" s="113"/>
      <c r="QNS55" s="113"/>
      <c r="QNT55" s="113"/>
      <c r="QNU55" s="113"/>
      <c r="QNV55" s="113"/>
      <c r="QNW55" s="113"/>
      <c r="QNX55" s="113"/>
      <c r="QNY55" s="113"/>
      <c r="QNZ55" s="113"/>
      <c r="QOA55" s="113"/>
      <c r="QOB55" s="113"/>
      <c r="QOC55" s="113"/>
      <c r="QOD55" s="113"/>
      <c r="QOE55" s="113"/>
      <c r="QOF55" s="113"/>
      <c r="QOG55" s="113"/>
      <c r="QOH55" s="113"/>
      <c r="QOI55" s="113"/>
      <c r="QOJ55" s="113"/>
      <c r="QOK55" s="113"/>
      <c r="QOL55" s="113"/>
      <c r="QOM55" s="113"/>
      <c r="QON55" s="113"/>
      <c r="QOO55" s="113"/>
      <c r="QOP55" s="113"/>
      <c r="QOQ55" s="113"/>
      <c r="QOR55" s="113"/>
      <c r="QOS55" s="113"/>
      <c r="QOT55" s="113"/>
      <c r="QOU55" s="113"/>
      <c r="QOV55" s="113"/>
      <c r="QOW55" s="113"/>
      <c r="QOX55" s="113"/>
      <c r="QOY55" s="113"/>
      <c r="QOZ55" s="113"/>
      <c r="QPA55" s="113"/>
      <c r="QPB55" s="113"/>
      <c r="QPC55" s="113"/>
      <c r="QPD55" s="113"/>
      <c r="QPE55" s="113"/>
      <c r="QPF55" s="113"/>
      <c r="QPG55" s="113"/>
      <c r="QPH55" s="113"/>
      <c r="QPI55" s="113"/>
      <c r="QPJ55" s="113"/>
      <c r="QPK55" s="113"/>
      <c r="QPL55" s="113"/>
      <c r="QPM55" s="113"/>
      <c r="QPN55" s="113"/>
      <c r="QPO55" s="113"/>
      <c r="QPP55" s="113"/>
      <c r="QPQ55" s="113"/>
      <c r="QPR55" s="113"/>
      <c r="QPS55" s="113"/>
      <c r="QPT55" s="113"/>
      <c r="QPU55" s="113"/>
      <c r="QPV55" s="113"/>
      <c r="QPW55" s="113"/>
      <c r="QPX55" s="113"/>
      <c r="QPY55" s="113"/>
      <c r="QPZ55" s="113"/>
      <c r="QQA55" s="113"/>
      <c r="QQB55" s="113"/>
      <c r="QQC55" s="113"/>
      <c r="QQD55" s="113"/>
      <c r="QQE55" s="113"/>
      <c r="QQF55" s="113"/>
      <c r="QQG55" s="113"/>
      <c r="QQH55" s="113"/>
      <c r="QQI55" s="113"/>
      <c r="QQJ55" s="113"/>
      <c r="QQK55" s="113"/>
      <c r="QQL55" s="113"/>
      <c r="QQM55" s="113"/>
      <c r="QQN55" s="113"/>
      <c r="QQO55" s="113"/>
      <c r="QQP55" s="113"/>
      <c r="QQQ55" s="113"/>
      <c r="QQR55" s="113"/>
      <c r="QQS55" s="113"/>
      <c r="QQT55" s="113"/>
      <c r="QQU55" s="113"/>
      <c r="QQV55" s="113"/>
      <c r="QQW55" s="113"/>
      <c r="QQX55" s="113"/>
      <c r="QQY55" s="113"/>
      <c r="QQZ55" s="113"/>
      <c r="QRA55" s="113"/>
      <c r="QRB55" s="113"/>
      <c r="QRC55" s="113"/>
      <c r="QRD55" s="113"/>
      <c r="QRE55" s="113"/>
      <c r="QRF55" s="113"/>
      <c r="QRG55" s="113"/>
      <c r="QRH55" s="113"/>
      <c r="QRI55" s="113"/>
      <c r="QRJ55" s="113"/>
      <c r="QRK55" s="113"/>
      <c r="QRL55" s="113"/>
      <c r="QRM55" s="113"/>
      <c r="QRN55" s="113"/>
      <c r="QRO55" s="113"/>
      <c r="QRP55" s="113"/>
      <c r="QRQ55" s="113"/>
      <c r="QRR55" s="113"/>
      <c r="QRS55" s="113"/>
      <c r="QRT55" s="113"/>
      <c r="QRU55" s="113"/>
      <c r="QRV55" s="113"/>
      <c r="QRW55" s="113"/>
      <c r="QRX55" s="113"/>
      <c r="QRY55" s="113"/>
      <c r="QRZ55" s="113"/>
      <c r="QSA55" s="113"/>
      <c r="QSB55" s="113"/>
      <c r="QSC55" s="113"/>
      <c r="QSD55" s="113"/>
      <c r="QSE55" s="113"/>
      <c r="QSF55" s="113"/>
      <c r="QSG55" s="113"/>
      <c r="QSH55" s="113"/>
      <c r="QSI55" s="113"/>
      <c r="QSJ55" s="113"/>
      <c r="QSK55" s="113"/>
      <c r="QSL55" s="113"/>
      <c r="QSM55" s="113"/>
      <c r="QSN55" s="113"/>
      <c r="QSO55" s="113"/>
      <c r="QSP55" s="113"/>
      <c r="QSQ55" s="113"/>
      <c r="QSR55" s="113"/>
      <c r="QSS55" s="113"/>
      <c r="QST55" s="113"/>
      <c r="QSU55" s="113"/>
      <c r="QSV55" s="113"/>
      <c r="QSW55" s="113"/>
      <c r="QSX55" s="113"/>
      <c r="QSY55" s="113"/>
      <c r="QSZ55" s="113"/>
      <c r="QTA55" s="113"/>
      <c r="QTB55" s="113"/>
      <c r="QTC55" s="113"/>
      <c r="QTD55" s="113"/>
      <c r="QTE55" s="113"/>
      <c r="QTF55" s="113"/>
      <c r="QTG55" s="113"/>
      <c r="QTH55" s="113"/>
      <c r="QTI55" s="113"/>
      <c r="QTJ55" s="113"/>
      <c r="QTK55" s="113"/>
      <c r="QTL55" s="113"/>
      <c r="QTM55" s="113"/>
      <c r="QTN55" s="113"/>
      <c r="QTO55" s="113"/>
      <c r="QTP55" s="113"/>
      <c r="QTQ55" s="113"/>
      <c r="QTR55" s="113"/>
      <c r="QTS55" s="113"/>
      <c r="QTT55" s="113"/>
      <c r="QTU55" s="113"/>
      <c r="QTV55" s="113"/>
      <c r="QTW55" s="113"/>
      <c r="QTX55" s="113"/>
      <c r="QTY55" s="113"/>
      <c r="QTZ55" s="113"/>
      <c r="QUA55" s="113"/>
      <c r="QUB55" s="113"/>
      <c r="QUC55" s="113"/>
      <c r="QUD55" s="113"/>
      <c r="QUE55" s="113"/>
      <c r="QUF55" s="113"/>
      <c r="QUG55" s="113"/>
      <c r="QUH55" s="113"/>
      <c r="QUI55" s="113"/>
      <c r="QUJ55" s="113"/>
      <c r="QUK55" s="113"/>
      <c r="QUL55" s="113"/>
      <c r="QUM55" s="113"/>
      <c r="QUN55" s="113"/>
      <c r="QUO55" s="113"/>
      <c r="QUP55" s="113"/>
      <c r="QUQ55" s="113"/>
      <c r="QUR55" s="113"/>
      <c r="QUS55" s="113"/>
      <c r="QUT55" s="113"/>
      <c r="QUU55" s="113"/>
      <c r="QUV55" s="113"/>
      <c r="QUW55" s="113"/>
      <c r="QUX55" s="113"/>
      <c r="QUY55" s="113"/>
      <c r="QUZ55" s="113"/>
      <c r="QVA55" s="113"/>
      <c r="QVB55" s="113"/>
      <c r="QVC55" s="113"/>
      <c r="QVD55" s="113"/>
      <c r="QVE55" s="113"/>
      <c r="QVF55" s="113"/>
      <c r="QVG55" s="113"/>
      <c r="QVH55" s="113"/>
      <c r="QVI55" s="113"/>
      <c r="QVJ55" s="113"/>
      <c r="QVK55" s="113"/>
      <c r="QVL55" s="113"/>
      <c r="QVM55" s="113"/>
      <c r="QVN55" s="113"/>
      <c r="QVO55" s="113"/>
      <c r="QVP55" s="113"/>
      <c r="QVQ55" s="113"/>
      <c r="QVR55" s="113"/>
      <c r="QVS55" s="113"/>
      <c r="QVT55" s="113"/>
      <c r="QVU55" s="113"/>
      <c r="QVV55" s="113"/>
      <c r="QVW55" s="113"/>
      <c r="QVX55" s="113"/>
      <c r="QVY55" s="113"/>
      <c r="QVZ55" s="113"/>
      <c r="QWA55" s="113"/>
      <c r="QWB55" s="113"/>
      <c r="QWC55" s="113"/>
      <c r="QWD55" s="113"/>
      <c r="QWE55" s="113"/>
      <c r="QWF55" s="113"/>
      <c r="QWG55" s="113"/>
      <c r="QWH55" s="113"/>
      <c r="QWI55" s="113"/>
      <c r="QWJ55" s="113"/>
      <c r="QWK55" s="113"/>
      <c r="QWL55" s="113"/>
      <c r="QWM55" s="113"/>
      <c r="QWN55" s="113"/>
      <c r="QWO55" s="113"/>
      <c r="QWP55" s="113"/>
      <c r="QWQ55" s="113"/>
      <c r="QWR55" s="113"/>
      <c r="QWS55" s="113"/>
      <c r="QWT55" s="113"/>
      <c r="QWU55" s="113"/>
      <c r="QWV55" s="113"/>
      <c r="QWW55" s="113"/>
      <c r="QWX55" s="113"/>
      <c r="QWY55" s="113"/>
      <c r="QWZ55" s="113"/>
      <c r="QXA55" s="113"/>
      <c r="QXB55" s="113"/>
      <c r="QXC55" s="113"/>
      <c r="QXD55" s="113"/>
      <c r="QXE55" s="113"/>
      <c r="QXF55" s="113"/>
      <c r="QXG55" s="113"/>
      <c r="QXH55" s="113"/>
      <c r="QXI55" s="113"/>
      <c r="QXJ55" s="113"/>
      <c r="QXK55" s="113"/>
      <c r="QXL55" s="113"/>
      <c r="QXM55" s="113"/>
      <c r="QXN55" s="113"/>
      <c r="QXO55" s="113"/>
      <c r="QXP55" s="113"/>
      <c r="QXQ55" s="113"/>
      <c r="QXR55" s="113"/>
      <c r="QXS55" s="113"/>
      <c r="QXT55" s="113"/>
      <c r="QXU55" s="113"/>
      <c r="QXV55" s="113"/>
      <c r="QXW55" s="113"/>
      <c r="QXX55" s="113"/>
      <c r="QXY55" s="113"/>
      <c r="QXZ55" s="113"/>
      <c r="QYA55" s="113"/>
      <c r="QYB55" s="113"/>
      <c r="QYC55" s="113"/>
      <c r="QYD55" s="113"/>
      <c r="QYE55" s="113"/>
      <c r="QYF55" s="113"/>
      <c r="QYG55" s="113"/>
      <c r="QYH55" s="113"/>
      <c r="QYI55" s="113"/>
      <c r="QYJ55" s="113"/>
      <c r="QYK55" s="113"/>
      <c r="QYL55" s="113"/>
      <c r="QYM55" s="113"/>
      <c r="QYN55" s="113"/>
      <c r="QYO55" s="113"/>
      <c r="QYP55" s="113"/>
      <c r="QYQ55" s="113"/>
      <c r="QYR55" s="113"/>
      <c r="QYS55" s="113"/>
      <c r="QYT55" s="113"/>
      <c r="QYU55" s="113"/>
      <c r="QYV55" s="113"/>
      <c r="QYW55" s="113"/>
      <c r="QYX55" s="113"/>
      <c r="QYY55" s="113"/>
      <c r="QYZ55" s="113"/>
      <c r="QZA55" s="113"/>
      <c r="QZB55" s="113"/>
      <c r="QZC55" s="113"/>
      <c r="QZD55" s="113"/>
      <c r="QZE55" s="113"/>
      <c r="QZF55" s="113"/>
      <c r="QZG55" s="113"/>
      <c r="QZH55" s="113"/>
      <c r="QZI55" s="113"/>
      <c r="QZJ55" s="113"/>
      <c r="QZK55" s="113"/>
      <c r="QZL55" s="113"/>
      <c r="QZM55" s="113"/>
      <c r="QZN55" s="113"/>
      <c r="QZO55" s="113"/>
      <c r="QZP55" s="113"/>
      <c r="QZQ55" s="113"/>
      <c r="QZR55" s="113"/>
      <c r="QZS55" s="113"/>
      <c r="QZT55" s="113"/>
      <c r="QZU55" s="113"/>
      <c r="QZV55" s="113"/>
      <c r="QZW55" s="113"/>
      <c r="QZX55" s="113"/>
      <c r="QZY55" s="113"/>
      <c r="QZZ55" s="113"/>
      <c r="RAA55" s="113"/>
      <c r="RAB55" s="113"/>
      <c r="RAC55" s="113"/>
      <c r="RAD55" s="113"/>
      <c r="RAE55" s="113"/>
      <c r="RAF55" s="113"/>
      <c r="RAG55" s="113"/>
      <c r="RAH55" s="113"/>
      <c r="RAI55" s="113"/>
      <c r="RAJ55" s="113"/>
      <c r="RAK55" s="113"/>
      <c r="RAL55" s="113"/>
      <c r="RAM55" s="113"/>
      <c r="RAN55" s="113"/>
      <c r="RAO55" s="113"/>
      <c r="RAP55" s="113"/>
      <c r="RAQ55" s="113"/>
      <c r="RAR55" s="113"/>
      <c r="RAS55" s="113"/>
      <c r="RAT55" s="113"/>
      <c r="RAU55" s="113"/>
      <c r="RAV55" s="113"/>
      <c r="RAW55" s="113"/>
      <c r="RAX55" s="113"/>
      <c r="RAY55" s="113"/>
      <c r="RAZ55" s="113"/>
      <c r="RBA55" s="113"/>
      <c r="RBB55" s="113"/>
      <c r="RBC55" s="113"/>
      <c r="RBD55" s="113"/>
      <c r="RBE55" s="113"/>
      <c r="RBF55" s="113"/>
      <c r="RBG55" s="113"/>
      <c r="RBH55" s="113"/>
      <c r="RBI55" s="113"/>
      <c r="RBJ55" s="113"/>
      <c r="RBK55" s="113"/>
      <c r="RBL55" s="113"/>
      <c r="RBM55" s="113"/>
      <c r="RBN55" s="113"/>
      <c r="RBO55" s="113"/>
      <c r="RBP55" s="113"/>
      <c r="RBQ55" s="113"/>
      <c r="RBR55" s="113"/>
      <c r="RBS55" s="113"/>
      <c r="RBT55" s="113"/>
      <c r="RBU55" s="113"/>
      <c r="RBV55" s="113"/>
      <c r="RBW55" s="113"/>
      <c r="RBX55" s="113"/>
      <c r="RBY55" s="113"/>
      <c r="RBZ55" s="113"/>
      <c r="RCA55" s="113"/>
      <c r="RCB55" s="113"/>
      <c r="RCC55" s="113"/>
      <c r="RCD55" s="113"/>
      <c r="RCE55" s="113"/>
      <c r="RCF55" s="113"/>
      <c r="RCG55" s="113"/>
      <c r="RCH55" s="113"/>
      <c r="RCI55" s="113"/>
      <c r="RCJ55" s="113"/>
      <c r="RCK55" s="113"/>
      <c r="RCL55" s="113"/>
      <c r="RCM55" s="113"/>
      <c r="RCN55" s="113"/>
      <c r="RCO55" s="113"/>
      <c r="RCP55" s="113"/>
      <c r="RCQ55" s="113"/>
      <c r="RCR55" s="113"/>
      <c r="RCS55" s="113"/>
      <c r="RCT55" s="113"/>
      <c r="RCU55" s="113"/>
      <c r="RCV55" s="113"/>
      <c r="RCW55" s="113"/>
      <c r="RCX55" s="113"/>
      <c r="RCY55" s="113"/>
      <c r="RCZ55" s="113"/>
      <c r="RDA55" s="113"/>
      <c r="RDB55" s="113"/>
      <c r="RDC55" s="113"/>
      <c r="RDD55" s="113"/>
      <c r="RDE55" s="113"/>
      <c r="RDF55" s="113"/>
      <c r="RDG55" s="113"/>
      <c r="RDH55" s="113"/>
      <c r="RDI55" s="113"/>
      <c r="RDJ55" s="113"/>
      <c r="RDK55" s="113"/>
      <c r="RDL55" s="113"/>
      <c r="RDM55" s="113"/>
      <c r="RDN55" s="113"/>
      <c r="RDO55" s="113"/>
      <c r="RDP55" s="113"/>
      <c r="RDQ55" s="113"/>
      <c r="RDR55" s="113"/>
      <c r="RDS55" s="113"/>
      <c r="RDT55" s="113"/>
      <c r="RDU55" s="113"/>
      <c r="RDV55" s="113"/>
      <c r="RDW55" s="113"/>
      <c r="RDX55" s="113"/>
      <c r="RDY55" s="113"/>
      <c r="RDZ55" s="113"/>
      <c r="REA55" s="113"/>
      <c r="REB55" s="113"/>
      <c r="REC55" s="113"/>
      <c r="RED55" s="113"/>
      <c r="REE55" s="113"/>
      <c r="REF55" s="113"/>
      <c r="REG55" s="113"/>
      <c r="REH55" s="113"/>
      <c r="REI55" s="113"/>
      <c r="REJ55" s="113"/>
      <c r="REK55" s="113"/>
      <c r="REL55" s="113"/>
      <c r="REM55" s="113"/>
      <c r="REN55" s="113"/>
      <c r="REO55" s="113"/>
      <c r="REP55" s="113"/>
      <c r="REQ55" s="113"/>
      <c r="RER55" s="113"/>
      <c r="RES55" s="113"/>
      <c r="RET55" s="113"/>
      <c r="REU55" s="113"/>
      <c r="REV55" s="113"/>
      <c r="REW55" s="113"/>
      <c r="REX55" s="113"/>
      <c r="REY55" s="113"/>
      <c r="REZ55" s="113"/>
      <c r="RFA55" s="113"/>
      <c r="RFB55" s="113"/>
      <c r="RFC55" s="113"/>
      <c r="RFD55" s="113"/>
      <c r="RFE55" s="113"/>
      <c r="RFF55" s="113"/>
      <c r="RFG55" s="113"/>
      <c r="RFH55" s="113"/>
      <c r="RFI55" s="113"/>
      <c r="RFJ55" s="113"/>
      <c r="RFK55" s="113"/>
      <c r="RFL55" s="113"/>
      <c r="RFM55" s="113"/>
      <c r="RFN55" s="113"/>
      <c r="RFO55" s="113"/>
      <c r="RFP55" s="113"/>
      <c r="RFQ55" s="113"/>
      <c r="RFR55" s="113"/>
      <c r="RFS55" s="113"/>
      <c r="RFT55" s="113"/>
      <c r="RFU55" s="113"/>
      <c r="RFV55" s="113"/>
      <c r="RFW55" s="113"/>
      <c r="RFX55" s="113"/>
      <c r="RFY55" s="113"/>
      <c r="RFZ55" s="113"/>
      <c r="RGA55" s="113"/>
      <c r="RGB55" s="113"/>
      <c r="RGC55" s="113"/>
      <c r="RGD55" s="113"/>
      <c r="RGE55" s="113"/>
      <c r="RGF55" s="113"/>
      <c r="RGG55" s="113"/>
      <c r="RGH55" s="113"/>
      <c r="RGI55" s="113"/>
      <c r="RGJ55" s="113"/>
      <c r="RGK55" s="113"/>
      <c r="RGL55" s="113"/>
      <c r="RGM55" s="113"/>
      <c r="RGN55" s="113"/>
      <c r="RGO55" s="113"/>
      <c r="RGP55" s="113"/>
      <c r="RGQ55" s="113"/>
      <c r="RGR55" s="113"/>
      <c r="RGS55" s="113"/>
      <c r="RGT55" s="113"/>
      <c r="RGU55" s="113"/>
      <c r="RGV55" s="113"/>
      <c r="RGW55" s="113"/>
      <c r="RGX55" s="113"/>
      <c r="RGY55" s="113"/>
      <c r="RGZ55" s="113"/>
      <c r="RHA55" s="113"/>
      <c r="RHB55" s="113"/>
      <c r="RHC55" s="113"/>
      <c r="RHD55" s="113"/>
      <c r="RHE55" s="113"/>
      <c r="RHF55" s="113"/>
      <c r="RHG55" s="113"/>
      <c r="RHH55" s="113"/>
      <c r="RHI55" s="113"/>
      <c r="RHJ55" s="113"/>
      <c r="RHK55" s="113"/>
      <c r="RHL55" s="113"/>
      <c r="RHM55" s="113"/>
      <c r="RHN55" s="113"/>
      <c r="RHO55" s="113"/>
      <c r="RHP55" s="113"/>
      <c r="RHQ55" s="113"/>
      <c r="RHR55" s="113"/>
      <c r="RHS55" s="113"/>
      <c r="RHT55" s="113"/>
      <c r="RHU55" s="113"/>
      <c r="RHV55" s="113"/>
      <c r="RHW55" s="113"/>
      <c r="RHX55" s="113"/>
      <c r="RHY55" s="113"/>
      <c r="RHZ55" s="113"/>
      <c r="RIA55" s="113"/>
      <c r="RIB55" s="113"/>
      <c r="RIC55" s="113"/>
      <c r="RID55" s="113"/>
      <c r="RIE55" s="113"/>
      <c r="RIF55" s="113"/>
      <c r="RIG55" s="113"/>
      <c r="RIH55" s="113"/>
      <c r="RII55" s="113"/>
      <c r="RIJ55" s="113"/>
      <c r="RIK55" s="113"/>
      <c r="RIL55" s="113"/>
      <c r="RIM55" s="113"/>
      <c r="RIN55" s="113"/>
      <c r="RIO55" s="113"/>
      <c r="RIP55" s="113"/>
      <c r="RIQ55" s="113"/>
      <c r="RIR55" s="113"/>
      <c r="RIS55" s="113"/>
      <c r="RIT55" s="113"/>
      <c r="RIU55" s="113"/>
      <c r="RIV55" s="113"/>
      <c r="RIW55" s="113"/>
      <c r="RIX55" s="113"/>
      <c r="RIY55" s="113"/>
      <c r="RIZ55" s="113"/>
      <c r="RJA55" s="113"/>
      <c r="RJB55" s="113"/>
      <c r="RJC55" s="113"/>
      <c r="RJD55" s="113"/>
      <c r="RJE55" s="113"/>
      <c r="RJF55" s="113"/>
      <c r="RJG55" s="113"/>
      <c r="RJH55" s="113"/>
      <c r="RJI55" s="113"/>
      <c r="RJJ55" s="113"/>
      <c r="RJK55" s="113"/>
      <c r="RJL55" s="113"/>
      <c r="RJM55" s="113"/>
      <c r="RJN55" s="113"/>
      <c r="RJO55" s="113"/>
      <c r="RJP55" s="113"/>
      <c r="RJQ55" s="113"/>
      <c r="RJR55" s="113"/>
      <c r="RJS55" s="113"/>
      <c r="RJT55" s="113"/>
      <c r="RJU55" s="113"/>
      <c r="RJV55" s="113"/>
      <c r="RJW55" s="113"/>
      <c r="RJX55" s="113"/>
      <c r="RJY55" s="113"/>
      <c r="RJZ55" s="113"/>
      <c r="RKA55" s="113"/>
      <c r="RKB55" s="113"/>
      <c r="RKC55" s="113"/>
      <c r="RKD55" s="113"/>
      <c r="RKE55" s="113"/>
      <c r="RKF55" s="113"/>
      <c r="RKG55" s="113"/>
      <c r="RKH55" s="113"/>
      <c r="RKI55" s="113"/>
      <c r="RKJ55" s="113"/>
      <c r="RKK55" s="113"/>
      <c r="RKL55" s="113"/>
      <c r="RKM55" s="113"/>
      <c r="RKN55" s="113"/>
      <c r="RKO55" s="113"/>
      <c r="RKP55" s="113"/>
      <c r="RKQ55" s="113"/>
      <c r="RKR55" s="113"/>
      <c r="RKS55" s="113"/>
      <c r="RKT55" s="113"/>
      <c r="RKU55" s="113"/>
      <c r="RKV55" s="113"/>
      <c r="RKW55" s="113"/>
      <c r="RKX55" s="113"/>
      <c r="RKY55" s="113"/>
      <c r="RKZ55" s="113"/>
      <c r="RLA55" s="113"/>
      <c r="RLB55" s="113"/>
      <c r="RLC55" s="113"/>
      <c r="RLD55" s="113"/>
      <c r="RLE55" s="113"/>
      <c r="RLF55" s="113"/>
      <c r="RLG55" s="113"/>
      <c r="RLH55" s="113"/>
      <c r="RLI55" s="113"/>
      <c r="RLJ55" s="113"/>
      <c r="RLK55" s="113"/>
      <c r="RLL55" s="113"/>
      <c r="RLM55" s="113"/>
      <c r="RLN55" s="113"/>
      <c r="RLO55" s="113"/>
      <c r="RLP55" s="113"/>
      <c r="RLQ55" s="113"/>
      <c r="RLR55" s="113"/>
      <c r="RLS55" s="113"/>
      <c r="RLT55" s="113"/>
      <c r="RLU55" s="113"/>
      <c r="RLV55" s="113"/>
      <c r="RLW55" s="113"/>
      <c r="RLX55" s="113"/>
      <c r="RLY55" s="113"/>
      <c r="RLZ55" s="113"/>
      <c r="RMA55" s="113"/>
      <c r="RMB55" s="113"/>
      <c r="RMC55" s="113"/>
      <c r="RMD55" s="113"/>
      <c r="RME55" s="113"/>
      <c r="RMF55" s="113"/>
      <c r="RMG55" s="113"/>
      <c r="RMH55" s="113"/>
      <c r="RMI55" s="113"/>
      <c r="RMJ55" s="113"/>
      <c r="RMK55" s="113"/>
      <c r="RML55" s="113"/>
      <c r="RMM55" s="113"/>
      <c r="RMN55" s="113"/>
      <c r="RMO55" s="113"/>
      <c r="RMP55" s="113"/>
      <c r="RMQ55" s="113"/>
      <c r="RMR55" s="113"/>
      <c r="RMS55" s="113"/>
      <c r="RMT55" s="113"/>
      <c r="RMU55" s="113"/>
      <c r="RMV55" s="113"/>
      <c r="RMW55" s="113"/>
      <c r="RMX55" s="113"/>
      <c r="RMY55" s="113"/>
      <c r="RMZ55" s="113"/>
      <c r="RNA55" s="113"/>
      <c r="RNB55" s="113"/>
      <c r="RNC55" s="113"/>
      <c r="RND55" s="113"/>
      <c r="RNE55" s="113"/>
      <c r="RNF55" s="113"/>
      <c r="RNG55" s="113"/>
      <c r="RNH55" s="113"/>
      <c r="RNI55" s="113"/>
      <c r="RNJ55" s="113"/>
      <c r="RNK55" s="113"/>
      <c r="RNL55" s="113"/>
      <c r="RNM55" s="113"/>
      <c r="RNN55" s="113"/>
      <c r="RNO55" s="113"/>
      <c r="RNP55" s="113"/>
      <c r="RNQ55" s="113"/>
      <c r="RNR55" s="113"/>
      <c r="RNS55" s="113"/>
      <c r="RNT55" s="113"/>
      <c r="RNU55" s="113"/>
      <c r="RNV55" s="113"/>
      <c r="RNW55" s="113"/>
      <c r="RNX55" s="113"/>
      <c r="RNY55" s="113"/>
      <c r="RNZ55" s="113"/>
      <c r="ROA55" s="113"/>
      <c r="ROB55" s="113"/>
      <c r="ROC55" s="113"/>
      <c r="ROD55" s="113"/>
      <c r="ROE55" s="113"/>
      <c r="ROF55" s="113"/>
      <c r="ROG55" s="113"/>
      <c r="ROH55" s="113"/>
      <c r="ROI55" s="113"/>
      <c r="ROJ55" s="113"/>
      <c r="ROK55" s="113"/>
      <c r="ROL55" s="113"/>
      <c r="ROM55" s="113"/>
      <c r="RON55" s="113"/>
      <c r="ROO55" s="113"/>
      <c r="ROP55" s="113"/>
      <c r="ROQ55" s="113"/>
      <c r="ROR55" s="113"/>
      <c r="ROS55" s="113"/>
      <c r="ROT55" s="113"/>
      <c r="ROU55" s="113"/>
      <c r="ROV55" s="113"/>
      <c r="ROW55" s="113"/>
      <c r="ROX55" s="113"/>
      <c r="ROY55" s="113"/>
      <c r="ROZ55" s="113"/>
      <c r="RPA55" s="113"/>
      <c r="RPB55" s="113"/>
      <c r="RPC55" s="113"/>
      <c r="RPD55" s="113"/>
      <c r="RPE55" s="113"/>
      <c r="RPF55" s="113"/>
      <c r="RPG55" s="113"/>
      <c r="RPH55" s="113"/>
      <c r="RPI55" s="113"/>
      <c r="RPJ55" s="113"/>
      <c r="RPK55" s="113"/>
      <c r="RPL55" s="113"/>
      <c r="RPM55" s="113"/>
      <c r="RPN55" s="113"/>
      <c r="RPO55" s="113"/>
      <c r="RPP55" s="113"/>
      <c r="RPQ55" s="113"/>
      <c r="RPR55" s="113"/>
      <c r="RPS55" s="113"/>
      <c r="RPT55" s="113"/>
      <c r="RPU55" s="113"/>
      <c r="RPV55" s="113"/>
      <c r="RPW55" s="113"/>
      <c r="RPX55" s="113"/>
      <c r="RPY55" s="113"/>
      <c r="RPZ55" s="113"/>
      <c r="RQA55" s="113"/>
      <c r="RQB55" s="113"/>
      <c r="RQC55" s="113"/>
      <c r="RQD55" s="113"/>
      <c r="RQE55" s="113"/>
      <c r="RQF55" s="113"/>
      <c r="RQG55" s="113"/>
      <c r="RQH55" s="113"/>
      <c r="RQI55" s="113"/>
      <c r="RQJ55" s="113"/>
      <c r="RQK55" s="113"/>
      <c r="RQL55" s="113"/>
      <c r="RQM55" s="113"/>
      <c r="RQN55" s="113"/>
      <c r="RQO55" s="113"/>
      <c r="RQP55" s="113"/>
      <c r="RQQ55" s="113"/>
      <c r="RQR55" s="113"/>
      <c r="RQS55" s="113"/>
      <c r="RQT55" s="113"/>
      <c r="RQU55" s="113"/>
      <c r="RQV55" s="113"/>
      <c r="RQW55" s="113"/>
      <c r="RQX55" s="113"/>
      <c r="RQY55" s="113"/>
      <c r="RQZ55" s="113"/>
      <c r="RRA55" s="113"/>
      <c r="RRB55" s="113"/>
      <c r="RRC55" s="113"/>
      <c r="RRD55" s="113"/>
      <c r="RRE55" s="113"/>
      <c r="RRF55" s="113"/>
      <c r="RRG55" s="113"/>
      <c r="RRH55" s="113"/>
      <c r="RRI55" s="113"/>
      <c r="RRJ55" s="113"/>
      <c r="RRK55" s="113"/>
      <c r="RRL55" s="113"/>
      <c r="RRM55" s="113"/>
      <c r="RRN55" s="113"/>
      <c r="RRO55" s="113"/>
      <c r="RRP55" s="113"/>
      <c r="RRQ55" s="113"/>
      <c r="RRR55" s="113"/>
      <c r="RRS55" s="113"/>
      <c r="RRT55" s="113"/>
      <c r="RRU55" s="113"/>
      <c r="RRV55" s="113"/>
      <c r="RRW55" s="113"/>
      <c r="RRX55" s="113"/>
      <c r="RRY55" s="113"/>
      <c r="RRZ55" s="113"/>
      <c r="RSA55" s="113"/>
      <c r="RSB55" s="113"/>
      <c r="RSC55" s="113"/>
      <c r="RSD55" s="113"/>
      <c r="RSE55" s="113"/>
      <c r="RSF55" s="113"/>
      <c r="RSG55" s="113"/>
      <c r="RSH55" s="113"/>
      <c r="RSI55" s="113"/>
      <c r="RSJ55" s="113"/>
      <c r="RSK55" s="113"/>
      <c r="RSL55" s="113"/>
      <c r="RSM55" s="113"/>
      <c r="RSN55" s="113"/>
      <c r="RSO55" s="113"/>
      <c r="RSP55" s="113"/>
      <c r="RSQ55" s="113"/>
      <c r="RSR55" s="113"/>
      <c r="RSS55" s="113"/>
      <c r="RST55" s="113"/>
      <c r="RSU55" s="113"/>
      <c r="RSV55" s="113"/>
      <c r="RSW55" s="113"/>
      <c r="RSX55" s="113"/>
      <c r="RSY55" s="113"/>
      <c r="RSZ55" s="113"/>
      <c r="RTA55" s="113"/>
      <c r="RTB55" s="113"/>
      <c r="RTC55" s="113"/>
      <c r="RTD55" s="113"/>
      <c r="RTE55" s="113"/>
      <c r="RTF55" s="113"/>
      <c r="RTG55" s="113"/>
      <c r="RTH55" s="113"/>
      <c r="RTI55" s="113"/>
      <c r="RTJ55" s="113"/>
      <c r="RTK55" s="113"/>
      <c r="RTL55" s="113"/>
      <c r="RTM55" s="113"/>
      <c r="RTN55" s="113"/>
      <c r="RTO55" s="113"/>
      <c r="RTP55" s="113"/>
      <c r="RTQ55" s="113"/>
      <c r="RTR55" s="113"/>
      <c r="RTS55" s="113"/>
      <c r="RTT55" s="113"/>
      <c r="RTU55" s="113"/>
      <c r="RTV55" s="113"/>
      <c r="RTW55" s="113"/>
      <c r="RTX55" s="113"/>
      <c r="RTY55" s="113"/>
      <c r="RTZ55" s="113"/>
      <c r="RUA55" s="113"/>
      <c r="RUB55" s="113"/>
      <c r="RUC55" s="113"/>
      <c r="RUD55" s="113"/>
      <c r="RUE55" s="113"/>
      <c r="RUF55" s="113"/>
      <c r="RUG55" s="113"/>
      <c r="RUH55" s="113"/>
      <c r="RUI55" s="113"/>
      <c r="RUJ55" s="113"/>
      <c r="RUK55" s="113"/>
      <c r="RUL55" s="113"/>
      <c r="RUM55" s="113"/>
      <c r="RUN55" s="113"/>
      <c r="RUO55" s="113"/>
      <c r="RUP55" s="113"/>
      <c r="RUQ55" s="113"/>
      <c r="RUR55" s="113"/>
      <c r="RUS55" s="113"/>
      <c r="RUT55" s="113"/>
      <c r="RUU55" s="113"/>
      <c r="RUV55" s="113"/>
      <c r="RUW55" s="113"/>
      <c r="RUX55" s="113"/>
      <c r="RUY55" s="113"/>
      <c r="RUZ55" s="113"/>
      <c r="RVA55" s="113"/>
      <c r="RVB55" s="113"/>
      <c r="RVC55" s="113"/>
      <c r="RVD55" s="113"/>
      <c r="RVE55" s="113"/>
      <c r="RVF55" s="113"/>
      <c r="RVG55" s="113"/>
      <c r="RVH55" s="113"/>
      <c r="RVI55" s="113"/>
      <c r="RVJ55" s="113"/>
      <c r="RVK55" s="113"/>
      <c r="RVL55" s="113"/>
      <c r="RVM55" s="113"/>
      <c r="RVN55" s="113"/>
      <c r="RVO55" s="113"/>
      <c r="RVP55" s="113"/>
      <c r="RVQ55" s="113"/>
      <c r="RVR55" s="113"/>
      <c r="RVS55" s="113"/>
      <c r="RVT55" s="113"/>
      <c r="RVU55" s="113"/>
      <c r="RVV55" s="113"/>
      <c r="RVW55" s="113"/>
      <c r="RVX55" s="113"/>
      <c r="RVY55" s="113"/>
      <c r="RVZ55" s="113"/>
      <c r="RWA55" s="113"/>
      <c r="RWB55" s="113"/>
      <c r="RWC55" s="113"/>
      <c r="RWD55" s="113"/>
      <c r="RWE55" s="113"/>
      <c r="RWF55" s="113"/>
      <c r="RWG55" s="113"/>
      <c r="RWH55" s="113"/>
      <c r="RWI55" s="113"/>
      <c r="RWJ55" s="113"/>
      <c r="RWK55" s="113"/>
      <c r="RWL55" s="113"/>
      <c r="RWM55" s="113"/>
      <c r="RWN55" s="113"/>
      <c r="RWO55" s="113"/>
      <c r="RWP55" s="113"/>
      <c r="RWQ55" s="113"/>
      <c r="RWR55" s="113"/>
      <c r="RWS55" s="113"/>
      <c r="RWT55" s="113"/>
      <c r="RWU55" s="113"/>
      <c r="RWV55" s="113"/>
      <c r="RWW55" s="113"/>
      <c r="RWX55" s="113"/>
      <c r="RWY55" s="113"/>
      <c r="RWZ55" s="113"/>
      <c r="RXA55" s="113"/>
      <c r="RXB55" s="113"/>
      <c r="RXC55" s="113"/>
      <c r="RXD55" s="113"/>
      <c r="RXE55" s="113"/>
      <c r="RXF55" s="113"/>
      <c r="RXG55" s="113"/>
      <c r="RXH55" s="113"/>
      <c r="RXI55" s="113"/>
      <c r="RXJ55" s="113"/>
      <c r="RXK55" s="113"/>
      <c r="RXL55" s="113"/>
      <c r="RXM55" s="113"/>
      <c r="RXN55" s="113"/>
      <c r="RXO55" s="113"/>
      <c r="RXP55" s="113"/>
      <c r="RXQ55" s="113"/>
      <c r="RXR55" s="113"/>
      <c r="RXS55" s="113"/>
      <c r="RXT55" s="113"/>
      <c r="RXU55" s="113"/>
      <c r="RXV55" s="113"/>
      <c r="RXW55" s="113"/>
      <c r="RXX55" s="113"/>
      <c r="RXY55" s="113"/>
      <c r="RXZ55" s="113"/>
      <c r="RYA55" s="113"/>
      <c r="RYB55" s="113"/>
      <c r="RYC55" s="113"/>
      <c r="RYD55" s="113"/>
      <c r="RYE55" s="113"/>
      <c r="RYF55" s="113"/>
      <c r="RYG55" s="113"/>
      <c r="RYH55" s="113"/>
      <c r="RYI55" s="113"/>
      <c r="RYJ55" s="113"/>
      <c r="RYK55" s="113"/>
      <c r="RYL55" s="113"/>
      <c r="RYM55" s="113"/>
      <c r="RYN55" s="113"/>
      <c r="RYO55" s="113"/>
      <c r="RYP55" s="113"/>
      <c r="RYQ55" s="113"/>
      <c r="RYR55" s="113"/>
      <c r="RYS55" s="113"/>
      <c r="RYT55" s="113"/>
      <c r="RYU55" s="113"/>
      <c r="RYV55" s="113"/>
      <c r="RYW55" s="113"/>
      <c r="RYX55" s="113"/>
      <c r="RYY55" s="113"/>
      <c r="RYZ55" s="113"/>
      <c r="RZA55" s="113"/>
      <c r="RZB55" s="113"/>
      <c r="RZC55" s="113"/>
      <c r="RZD55" s="113"/>
      <c r="RZE55" s="113"/>
      <c r="RZF55" s="113"/>
      <c r="RZG55" s="113"/>
      <c r="RZH55" s="113"/>
      <c r="RZI55" s="113"/>
      <c r="RZJ55" s="113"/>
      <c r="RZK55" s="113"/>
      <c r="RZL55" s="113"/>
      <c r="RZM55" s="113"/>
      <c r="RZN55" s="113"/>
      <c r="RZO55" s="113"/>
      <c r="RZP55" s="113"/>
      <c r="RZQ55" s="113"/>
      <c r="RZR55" s="113"/>
      <c r="RZS55" s="113"/>
      <c r="RZT55" s="113"/>
      <c r="RZU55" s="113"/>
      <c r="RZV55" s="113"/>
      <c r="RZW55" s="113"/>
      <c r="RZX55" s="113"/>
      <c r="RZY55" s="113"/>
      <c r="RZZ55" s="113"/>
      <c r="SAA55" s="113"/>
      <c r="SAB55" s="113"/>
      <c r="SAC55" s="113"/>
      <c r="SAD55" s="113"/>
      <c r="SAE55" s="113"/>
      <c r="SAF55" s="113"/>
      <c r="SAG55" s="113"/>
      <c r="SAH55" s="113"/>
      <c r="SAI55" s="113"/>
      <c r="SAJ55" s="113"/>
      <c r="SAK55" s="113"/>
      <c r="SAL55" s="113"/>
      <c r="SAM55" s="113"/>
      <c r="SAN55" s="113"/>
      <c r="SAO55" s="113"/>
      <c r="SAP55" s="113"/>
      <c r="SAQ55" s="113"/>
      <c r="SAR55" s="113"/>
      <c r="SAS55" s="113"/>
      <c r="SAT55" s="113"/>
      <c r="SAU55" s="113"/>
      <c r="SAV55" s="113"/>
      <c r="SAW55" s="113"/>
      <c r="SAX55" s="113"/>
      <c r="SAY55" s="113"/>
      <c r="SAZ55" s="113"/>
      <c r="SBA55" s="113"/>
      <c r="SBB55" s="113"/>
      <c r="SBC55" s="113"/>
      <c r="SBD55" s="113"/>
      <c r="SBE55" s="113"/>
      <c r="SBF55" s="113"/>
      <c r="SBG55" s="113"/>
      <c r="SBH55" s="113"/>
      <c r="SBI55" s="113"/>
      <c r="SBJ55" s="113"/>
      <c r="SBK55" s="113"/>
      <c r="SBL55" s="113"/>
      <c r="SBM55" s="113"/>
      <c r="SBN55" s="113"/>
      <c r="SBO55" s="113"/>
      <c r="SBP55" s="113"/>
      <c r="SBQ55" s="113"/>
      <c r="SBR55" s="113"/>
      <c r="SBS55" s="113"/>
      <c r="SBT55" s="113"/>
      <c r="SBU55" s="113"/>
      <c r="SBV55" s="113"/>
      <c r="SBW55" s="113"/>
      <c r="SBX55" s="113"/>
      <c r="SBY55" s="113"/>
      <c r="SBZ55" s="113"/>
      <c r="SCA55" s="113"/>
      <c r="SCB55" s="113"/>
      <c r="SCC55" s="113"/>
      <c r="SCD55" s="113"/>
      <c r="SCE55" s="113"/>
      <c r="SCF55" s="113"/>
      <c r="SCG55" s="113"/>
      <c r="SCH55" s="113"/>
      <c r="SCI55" s="113"/>
      <c r="SCJ55" s="113"/>
      <c r="SCK55" s="113"/>
      <c r="SCL55" s="113"/>
      <c r="SCM55" s="113"/>
      <c r="SCN55" s="113"/>
      <c r="SCO55" s="113"/>
      <c r="SCP55" s="113"/>
      <c r="SCQ55" s="113"/>
      <c r="SCR55" s="113"/>
      <c r="SCS55" s="113"/>
      <c r="SCT55" s="113"/>
      <c r="SCU55" s="113"/>
      <c r="SCV55" s="113"/>
      <c r="SCW55" s="113"/>
      <c r="SCX55" s="113"/>
      <c r="SCY55" s="113"/>
      <c r="SCZ55" s="113"/>
      <c r="SDA55" s="113"/>
      <c r="SDB55" s="113"/>
      <c r="SDC55" s="113"/>
      <c r="SDD55" s="113"/>
      <c r="SDE55" s="113"/>
      <c r="SDF55" s="113"/>
      <c r="SDG55" s="113"/>
      <c r="SDH55" s="113"/>
      <c r="SDI55" s="113"/>
      <c r="SDJ55" s="113"/>
      <c r="SDK55" s="113"/>
      <c r="SDL55" s="113"/>
      <c r="SDM55" s="113"/>
      <c r="SDN55" s="113"/>
      <c r="SDO55" s="113"/>
      <c r="SDP55" s="113"/>
      <c r="SDQ55" s="113"/>
      <c r="SDR55" s="113"/>
      <c r="SDS55" s="113"/>
      <c r="SDT55" s="113"/>
      <c r="SDU55" s="113"/>
      <c r="SDV55" s="113"/>
      <c r="SDW55" s="113"/>
      <c r="SDX55" s="113"/>
      <c r="SDY55" s="113"/>
      <c r="SDZ55" s="113"/>
      <c r="SEA55" s="113"/>
      <c r="SEB55" s="113"/>
      <c r="SEC55" s="113"/>
      <c r="SED55" s="113"/>
      <c r="SEE55" s="113"/>
      <c r="SEF55" s="113"/>
      <c r="SEG55" s="113"/>
      <c r="SEH55" s="113"/>
      <c r="SEI55" s="113"/>
      <c r="SEJ55" s="113"/>
      <c r="SEK55" s="113"/>
      <c r="SEL55" s="113"/>
      <c r="SEM55" s="113"/>
      <c r="SEN55" s="113"/>
      <c r="SEO55" s="113"/>
      <c r="SEP55" s="113"/>
      <c r="SEQ55" s="113"/>
      <c r="SER55" s="113"/>
      <c r="SES55" s="113"/>
      <c r="SET55" s="113"/>
      <c r="SEU55" s="113"/>
      <c r="SEV55" s="113"/>
      <c r="SEW55" s="113"/>
      <c r="SEX55" s="113"/>
      <c r="SEY55" s="113"/>
      <c r="SEZ55" s="113"/>
      <c r="SFA55" s="113"/>
      <c r="SFB55" s="113"/>
      <c r="SFC55" s="113"/>
      <c r="SFD55" s="113"/>
      <c r="SFE55" s="113"/>
      <c r="SFF55" s="113"/>
      <c r="SFG55" s="113"/>
      <c r="SFH55" s="113"/>
      <c r="SFI55" s="113"/>
      <c r="SFJ55" s="113"/>
      <c r="SFK55" s="113"/>
      <c r="SFL55" s="113"/>
      <c r="SFM55" s="113"/>
      <c r="SFN55" s="113"/>
      <c r="SFO55" s="113"/>
      <c r="SFP55" s="113"/>
      <c r="SFQ55" s="113"/>
      <c r="SFR55" s="113"/>
      <c r="SFS55" s="113"/>
      <c r="SFT55" s="113"/>
      <c r="SFU55" s="113"/>
      <c r="SFV55" s="113"/>
      <c r="SFW55" s="113"/>
      <c r="SFX55" s="113"/>
      <c r="SFY55" s="113"/>
      <c r="SFZ55" s="113"/>
      <c r="SGA55" s="113"/>
      <c r="SGB55" s="113"/>
      <c r="SGC55" s="113"/>
      <c r="SGD55" s="113"/>
      <c r="SGE55" s="113"/>
      <c r="SGF55" s="113"/>
      <c r="SGG55" s="113"/>
      <c r="SGH55" s="113"/>
      <c r="SGI55" s="113"/>
      <c r="SGJ55" s="113"/>
      <c r="SGK55" s="113"/>
      <c r="SGL55" s="113"/>
      <c r="SGM55" s="113"/>
      <c r="SGN55" s="113"/>
      <c r="SGO55" s="113"/>
      <c r="SGP55" s="113"/>
      <c r="SGQ55" s="113"/>
      <c r="SGR55" s="113"/>
      <c r="SGS55" s="113"/>
      <c r="SGT55" s="113"/>
      <c r="SGU55" s="113"/>
      <c r="SGV55" s="113"/>
      <c r="SGW55" s="113"/>
      <c r="SGX55" s="113"/>
      <c r="SGY55" s="113"/>
      <c r="SGZ55" s="113"/>
      <c r="SHA55" s="113"/>
      <c r="SHB55" s="113"/>
      <c r="SHC55" s="113"/>
      <c r="SHD55" s="113"/>
      <c r="SHE55" s="113"/>
      <c r="SHF55" s="113"/>
      <c r="SHG55" s="113"/>
      <c r="SHH55" s="113"/>
      <c r="SHI55" s="113"/>
      <c r="SHJ55" s="113"/>
      <c r="SHK55" s="113"/>
      <c r="SHL55" s="113"/>
      <c r="SHM55" s="113"/>
      <c r="SHN55" s="113"/>
      <c r="SHO55" s="113"/>
      <c r="SHP55" s="113"/>
      <c r="SHQ55" s="113"/>
      <c r="SHR55" s="113"/>
      <c r="SHS55" s="113"/>
      <c r="SHT55" s="113"/>
      <c r="SHU55" s="113"/>
      <c r="SHV55" s="113"/>
      <c r="SHW55" s="113"/>
      <c r="SHX55" s="113"/>
      <c r="SHY55" s="113"/>
      <c r="SHZ55" s="113"/>
      <c r="SIA55" s="113"/>
      <c r="SIB55" s="113"/>
      <c r="SIC55" s="113"/>
      <c r="SID55" s="113"/>
      <c r="SIE55" s="113"/>
      <c r="SIF55" s="113"/>
      <c r="SIG55" s="113"/>
      <c r="SIH55" s="113"/>
      <c r="SII55" s="113"/>
      <c r="SIJ55" s="113"/>
      <c r="SIK55" s="113"/>
      <c r="SIL55" s="113"/>
      <c r="SIM55" s="113"/>
      <c r="SIN55" s="113"/>
      <c r="SIO55" s="113"/>
      <c r="SIP55" s="113"/>
      <c r="SIQ55" s="113"/>
      <c r="SIR55" s="113"/>
      <c r="SIS55" s="113"/>
      <c r="SIT55" s="113"/>
      <c r="SIU55" s="113"/>
      <c r="SIV55" s="113"/>
      <c r="SIW55" s="113"/>
      <c r="SIX55" s="113"/>
      <c r="SIY55" s="113"/>
      <c r="SIZ55" s="113"/>
      <c r="SJA55" s="113"/>
      <c r="SJB55" s="113"/>
      <c r="SJC55" s="113"/>
      <c r="SJD55" s="113"/>
      <c r="SJE55" s="113"/>
      <c r="SJF55" s="113"/>
      <c r="SJG55" s="113"/>
      <c r="SJH55" s="113"/>
      <c r="SJI55" s="113"/>
      <c r="SJJ55" s="113"/>
      <c r="SJK55" s="113"/>
      <c r="SJL55" s="113"/>
      <c r="SJM55" s="113"/>
      <c r="SJN55" s="113"/>
      <c r="SJO55" s="113"/>
      <c r="SJP55" s="113"/>
      <c r="SJQ55" s="113"/>
      <c r="SJR55" s="113"/>
      <c r="SJS55" s="113"/>
      <c r="SJT55" s="113"/>
      <c r="SJU55" s="113"/>
      <c r="SJV55" s="113"/>
      <c r="SJW55" s="113"/>
      <c r="SJX55" s="113"/>
      <c r="SJY55" s="113"/>
      <c r="SJZ55" s="113"/>
      <c r="SKA55" s="113"/>
      <c r="SKB55" s="113"/>
      <c r="SKC55" s="113"/>
      <c r="SKD55" s="113"/>
      <c r="SKE55" s="113"/>
      <c r="SKF55" s="113"/>
      <c r="SKG55" s="113"/>
      <c r="SKH55" s="113"/>
      <c r="SKI55" s="113"/>
      <c r="SKJ55" s="113"/>
      <c r="SKK55" s="113"/>
      <c r="SKL55" s="113"/>
      <c r="SKM55" s="113"/>
      <c r="SKN55" s="113"/>
      <c r="SKO55" s="113"/>
      <c r="SKP55" s="113"/>
      <c r="SKQ55" s="113"/>
      <c r="SKR55" s="113"/>
      <c r="SKS55" s="113"/>
      <c r="SKT55" s="113"/>
      <c r="SKU55" s="113"/>
      <c r="SKV55" s="113"/>
      <c r="SKW55" s="113"/>
      <c r="SKX55" s="113"/>
      <c r="SKY55" s="113"/>
      <c r="SKZ55" s="113"/>
      <c r="SLA55" s="113"/>
      <c r="SLB55" s="113"/>
      <c r="SLC55" s="113"/>
      <c r="SLD55" s="113"/>
      <c r="SLE55" s="113"/>
      <c r="SLF55" s="113"/>
      <c r="SLG55" s="113"/>
      <c r="SLH55" s="113"/>
      <c r="SLI55" s="113"/>
      <c r="SLJ55" s="113"/>
      <c r="SLK55" s="113"/>
      <c r="SLL55" s="113"/>
      <c r="SLM55" s="113"/>
      <c r="SLN55" s="113"/>
      <c r="SLO55" s="113"/>
      <c r="SLP55" s="113"/>
      <c r="SLQ55" s="113"/>
      <c r="SLR55" s="113"/>
      <c r="SLS55" s="113"/>
      <c r="SLT55" s="113"/>
      <c r="SLU55" s="113"/>
      <c r="SLV55" s="113"/>
      <c r="SLW55" s="113"/>
      <c r="SLX55" s="113"/>
      <c r="SLY55" s="113"/>
      <c r="SLZ55" s="113"/>
      <c r="SMA55" s="113"/>
      <c r="SMB55" s="113"/>
      <c r="SMC55" s="113"/>
      <c r="SMD55" s="113"/>
      <c r="SME55" s="113"/>
      <c r="SMF55" s="113"/>
      <c r="SMG55" s="113"/>
      <c r="SMH55" s="113"/>
      <c r="SMI55" s="113"/>
      <c r="SMJ55" s="113"/>
      <c r="SMK55" s="113"/>
      <c r="SML55" s="113"/>
      <c r="SMM55" s="113"/>
      <c r="SMN55" s="113"/>
      <c r="SMO55" s="113"/>
      <c r="SMP55" s="113"/>
      <c r="SMQ55" s="113"/>
      <c r="SMR55" s="113"/>
      <c r="SMS55" s="113"/>
      <c r="SMT55" s="113"/>
      <c r="SMU55" s="113"/>
      <c r="SMV55" s="113"/>
      <c r="SMW55" s="113"/>
      <c r="SMX55" s="113"/>
      <c r="SMY55" s="113"/>
      <c r="SMZ55" s="113"/>
      <c r="SNA55" s="113"/>
      <c r="SNB55" s="113"/>
      <c r="SNC55" s="113"/>
      <c r="SND55" s="113"/>
      <c r="SNE55" s="113"/>
      <c r="SNF55" s="113"/>
      <c r="SNG55" s="113"/>
      <c r="SNH55" s="113"/>
      <c r="SNI55" s="113"/>
      <c r="SNJ55" s="113"/>
      <c r="SNK55" s="113"/>
      <c r="SNL55" s="113"/>
      <c r="SNM55" s="113"/>
      <c r="SNN55" s="113"/>
      <c r="SNO55" s="113"/>
      <c r="SNP55" s="113"/>
      <c r="SNQ55" s="113"/>
      <c r="SNR55" s="113"/>
      <c r="SNS55" s="113"/>
      <c r="SNT55" s="113"/>
      <c r="SNU55" s="113"/>
      <c r="SNV55" s="113"/>
      <c r="SNW55" s="113"/>
      <c r="SNX55" s="113"/>
      <c r="SNY55" s="113"/>
      <c r="SNZ55" s="113"/>
      <c r="SOA55" s="113"/>
      <c r="SOB55" s="113"/>
      <c r="SOC55" s="113"/>
      <c r="SOD55" s="113"/>
      <c r="SOE55" s="113"/>
      <c r="SOF55" s="113"/>
      <c r="SOG55" s="113"/>
      <c r="SOH55" s="113"/>
      <c r="SOI55" s="113"/>
      <c r="SOJ55" s="113"/>
      <c r="SOK55" s="113"/>
      <c r="SOL55" s="113"/>
      <c r="SOM55" s="113"/>
      <c r="SON55" s="113"/>
      <c r="SOO55" s="113"/>
      <c r="SOP55" s="113"/>
      <c r="SOQ55" s="113"/>
      <c r="SOR55" s="113"/>
      <c r="SOS55" s="113"/>
      <c r="SOT55" s="113"/>
      <c r="SOU55" s="113"/>
      <c r="SOV55" s="113"/>
      <c r="SOW55" s="113"/>
      <c r="SOX55" s="113"/>
      <c r="SOY55" s="113"/>
      <c r="SOZ55" s="113"/>
      <c r="SPA55" s="113"/>
      <c r="SPB55" s="113"/>
      <c r="SPC55" s="113"/>
      <c r="SPD55" s="113"/>
      <c r="SPE55" s="113"/>
      <c r="SPF55" s="113"/>
      <c r="SPG55" s="113"/>
      <c r="SPH55" s="113"/>
      <c r="SPI55" s="113"/>
      <c r="SPJ55" s="113"/>
      <c r="SPK55" s="113"/>
      <c r="SPL55" s="113"/>
      <c r="SPM55" s="113"/>
      <c r="SPN55" s="113"/>
      <c r="SPO55" s="113"/>
      <c r="SPP55" s="113"/>
      <c r="SPQ55" s="113"/>
      <c r="SPR55" s="113"/>
      <c r="SPS55" s="113"/>
      <c r="SPT55" s="113"/>
      <c r="SPU55" s="113"/>
      <c r="SPV55" s="113"/>
      <c r="SPW55" s="113"/>
      <c r="SPX55" s="113"/>
      <c r="SPY55" s="113"/>
      <c r="SPZ55" s="113"/>
      <c r="SQA55" s="113"/>
      <c r="SQB55" s="113"/>
      <c r="SQC55" s="113"/>
      <c r="SQD55" s="113"/>
      <c r="SQE55" s="113"/>
      <c r="SQF55" s="113"/>
      <c r="SQG55" s="113"/>
      <c r="SQH55" s="113"/>
      <c r="SQI55" s="113"/>
      <c r="SQJ55" s="113"/>
      <c r="SQK55" s="113"/>
      <c r="SQL55" s="113"/>
      <c r="SQM55" s="113"/>
      <c r="SQN55" s="113"/>
      <c r="SQO55" s="113"/>
      <c r="SQP55" s="113"/>
      <c r="SQQ55" s="113"/>
      <c r="SQR55" s="113"/>
      <c r="SQS55" s="113"/>
      <c r="SQT55" s="113"/>
      <c r="SQU55" s="113"/>
      <c r="SQV55" s="113"/>
      <c r="SQW55" s="113"/>
      <c r="SQX55" s="113"/>
      <c r="SQY55" s="113"/>
      <c r="SQZ55" s="113"/>
      <c r="SRA55" s="113"/>
      <c r="SRB55" s="113"/>
      <c r="SRC55" s="113"/>
      <c r="SRD55" s="113"/>
      <c r="SRE55" s="113"/>
      <c r="SRF55" s="113"/>
      <c r="SRG55" s="113"/>
      <c r="SRH55" s="113"/>
      <c r="SRI55" s="113"/>
      <c r="SRJ55" s="113"/>
      <c r="SRK55" s="113"/>
      <c r="SRL55" s="113"/>
      <c r="SRM55" s="113"/>
      <c r="SRN55" s="113"/>
      <c r="SRO55" s="113"/>
      <c r="SRP55" s="113"/>
      <c r="SRQ55" s="113"/>
      <c r="SRR55" s="113"/>
      <c r="SRS55" s="113"/>
      <c r="SRT55" s="113"/>
      <c r="SRU55" s="113"/>
      <c r="SRV55" s="113"/>
      <c r="SRW55" s="113"/>
      <c r="SRX55" s="113"/>
      <c r="SRY55" s="113"/>
      <c r="SRZ55" s="113"/>
      <c r="SSA55" s="113"/>
      <c r="SSB55" s="113"/>
      <c r="SSC55" s="113"/>
      <c r="SSD55" s="113"/>
      <c r="SSE55" s="113"/>
      <c r="SSF55" s="113"/>
      <c r="SSG55" s="113"/>
      <c r="SSH55" s="113"/>
      <c r="SSI55" s="113"/>
      <c r="SSJ55" s="113"/>
      <c r="SSK55" s="113"/>
      <c r="SSL55" s="113"/>
      <c r="SSM55" s="113"/>
      <c r="SSN55" s="113"/>
      <c r="SSO55" s="113"/>
      <c r="SSP55" s="113"/>
      <c r="SSQ55" s="113"/>
      <c r="SSR55" s="113"/>
      <c r="SSS55" s="113"/>
      <c r="SST55" s="113"/>
      <c r="SSU55" s="113"/>
      <c r="SSV55" s="113"/>
      <c r="SSW55" s="113"/>
      <c r="SSX55" s="113"/>
      <c r="SSY55" s="113"/>
      <c r="SSZ55" s="113"/>
      <c r="STA55" s="113"/>
      <c r="STB55" s="113"/>
      <c r="STC55" s="113"/>
      <c r="STD55" s="113"/>
      <c r="STE55" s="113"/>
      <c r="STF55" s="113"/>
      <c r="STG55" s="113"/>
      <c r="STH55" s="113"/>
      <c r="STI55" s="113"/>
      <c r="STJ55" s="113"/>
      <c r="STK55" s="113"/>
      <c r="STL55" s="113"/>
      <c r="STM55" s="113"/>
      <c r="STN55" s="113"/>
      <c r="STO55" s="113"/>
      <c r="STP55" s="113"/>
      <c r="STQ55" s="113"/>
      <c r="STR55" s="113"/>
      <c r="STS55" s="113"/>
      <c r="STT55" s="113"/>
      <c r="STU55" s="113"/>
      <c r="STV55" s="113"/>
      <c r="STW55" s="113"/>
      <c r="STX55" s="113"/>
      <c r="STY55" s="113"/>
      <c r="STZ55" s="113"/>
      <c r="SUA55" s="113"/>
      <c r="SUB55" s="113"/>
      <c r="SUC55" s="113"/>
      <c r="SUD55" s="113"/>
      <c r="SUE55" s="113"/>
      <c r="SUF55" s="113"/>
      <c r="SUG55" s="113"/>
      <c r="SUH55" s="113"/>
      <c r="SUI55" s="113"/>
      <c r="SUJ55" s="113"/>
      <c r="SUK55" s="113"/>
      <c r="SUL55" s="113"/>
      <c r="SUM55" s="113"/>
      <c r="SUN55" s="113"/>
      <c r="SUO55" s="113"/>
      <c r="SUP55" s="113"/>
      <c r="SUQ55" s="113"/>
      <c r="SUR55" s="113"/>
      <c r="SUS55" s="113"/>
      <c r="SUT55" s="113"/>
      <c r="SUU55" s="113"/>
      <c r="SUV55" s="113"/>
      <c r="SUW55" s="113"/>
      <c r="SUX55" s="113"/>
      <c r="SUY55" s="113"/>
      <c r="SUZ55" s="113"/>
      <c r="SVA55" s="113"/>
      <c r="SVB55" s="113"/>
      <c r="SVC55" s="113"/>
      <c r="SVD55" s="113"/>
      <c r="SVE55" s="113"/>
      <c r="SVF55" s="113"/>
      <c r="SVG55" s="113"/>
      <c r="SVH55" s="113"/>
      <c r="SVI55" s="113"/>
      <c r="SVJ55" s="113"/>
      <c r="SVK55" s="113"/>
      <c r="SVL55" s="113"/>
      <c r="SVM55" s="113"/>
      <c r="SVN55" s="113"/>
      <c r="SVO55" s="113"/>
      <c r="SVP55" s="113"/>
      <c r="SVQ55" s="113"/>
      <c r="SVR55" s="113"/>
      <c r="SVS55" s="113"/>
      <c r="SVT55" s="113"/>
      <c r="SVU55" s="113"/>
      <c r="SVV55" s="113"/>
      <c r="SVW55" s="113"/>
      <c r="SVX55" s="113"/>
      <c r="SVY55" s="113"/>
      <c r="SVZ55" s="113"/>
      <c r="SWA55" s="113"/>
      <c r="SWB55" s="113"/>
      <c r="SWC55" s="113"/>
      <c r="SWD55" s="113"/>
      <c r="SWE55" s="113"/>
      <c r="SWF55" s="113"/>
      <c r="SWG55" s="113"/>
      <c r="SWH55" s="113"/>
      <c r="SWI55" s="113"/>
      <c r="SWJ55" s="113"/>
      <c r="SWK55" s="113"/>
      <c r="SWL55" s="113"/>
      <c r="SWM55" s="113"/>
      <c r="SWN55" s="113"/>
      <c r="SWO55" s="113"/>
      <c r="SWP55" s="113"/>
      <c r="SWQ55" s="113"/>
      <c r="SWR55" s="113"/>
      <c r="SWS55" s="113"/>
      <c r="SWT55" s="113"/>
      <c r="SWU55" s="113"/>
      <c r="SWV55" s="113"/>
      <c r="SWW55" s="113"/>
      <c r="SWX55" s="113"/>
      <c r="SWY55" s="113"/>
      <c r="SWZ55" s="113"/>
      <c r="SXA55" s="113"/>
      <c r="SXB55" s="113"/>
      <c r="SXC55" s="113"/>
      <c r="SXD55" s="113"/>
      <c r="SXE55" s="113"/>
      <c r="SXF55" s="113"/>
      <c r="SXG55" s="113"/>
      <c r="SXH55" s="113"/>
      <c r="SXI55" s="113"/>
      <c r="SXJ55" s="113"/>
      <c r="SXK55" s="113"/>
      <c r="SXL55" s="113"/>
      <c r="SXM55" s="113"/>
      <c r="SXN55" s="113"/>
      <c r="SXO55" s="113"/>
      <c r="SXP55" s="113"/>
      <c r="SXQ55" s="113"/>
      <c r="SXR55" s="113"/>
      <c r="SXS55" s="113"/>
      <c r="SXT55" s="113"/>
      <c r="SXU55" s="113"/>
      <c r="SXV55" s="113"/>
      <c r="SXW55" s="113"/>
      <c r="SXX55" s="113"/>
      <c r="SXY55" s="113"/>
      <c r="SXZ55" s="113"/>
      <c r="SYA55" s="113"/>
      <c r="SYB55" s="113"/>
      <c r="SYC55" s="113"/>
      <c r="SYD55" s="113"/>
      <c r="SYE55" s="113"/>
      <c r="SYF55" s="113"/>
      <c r="SYG55" s="113"/>
      <c r="SYH55" s="113"/>
      <c r="SYI55" s="113"/>
      <c r="SYJ55" s="113"/>
      <c r="SYK55" s="113"/>
      <c r="SYL55" s="113"/>
      <c r="SYM55" s="113"/>
      <c r="SYN55" s="113"/>
      <c r="SYO55" s="113"/>
      <c r="SYP55" s="113"/>
      <c r="SYQ55" s="113"/>
      <c r="SYR55" s="113"/>
      <c r="SYS55" s="113"/>
      <c r="SYT55" s="113"/>
      <c r="SYU55" s="113"/>
      <c r="SYV55" s="113"/>
      <c r="SYW55" s="113"/>
      <c r="SYX55" s="113"/>
      <c r="SYY55" s="113"/>
      <c r="SYZ55" s="113"/>
      <c r="SZA55" s="113"/>
      <c r="SZB55" s="113"/>
      <c r="SZC55" s="113"/>
      <c r="SZD55" s="113"/>
      <c r="SZE55" s="113"/>
      <c r="SZF55" s="113"/>
      <c r="SZG55" s="113"/>
      <c r="SZH55" s="113"/>
      <c r="SZI55" s="113"/>
      <c r="SZJ55" s="113"/>
      <c r="SZK55" s="113"/>
      <c r="SZL55" s="113"/>
      <c r="SZM55" s="113"/>
      <c r="SZN55" s="113"/>
      <c r="SZO55" s="113"/>
      <c r="SZP55" s="113"/>
      <c r="SZQ55" s="113"/>
      <c r="SZR55" s="113"/>
      <c r="SZS55" s="113"/>
      <c r="SZT55" s="113"/>
      <c r="SZU55" s="113"/>
      <c r="SZV55" s="113"/>
      <c r="SZW55" s="113"/>
      <c r="SZX55" s="113"/>
      <c r="SZY55" s="113"/>
      <c r="SZZ55" s="113"/>
      <c r="TAA55" s="113"/>
      <c r="TAB55" s="113"/>
      <c r="TAC55" s="113"/>
      <c r="TAD55" s="113"/>
      <c r="TAE55" s="113"/>
      <c r="TAF55" s="113"/>
      <c r="TAG55" s="113"/>
      <c r="TAH55" s="113"/>
      <c r="TAI55" s="113"/>
      <c r="TAJ55" s="113"/>
      <c r="TAK55" s="113"/>
      <c r="TAL55" s="113"/>
      <c r="TAM55" s="113"/>
      <c r="TAN55" s="113"/>
      <c r="TAO55" s="113"/>
      <c r="TAP55" s="113"/>
      <c r="TAQ55" s="113"/>
      <c r="TAR55" s="113"/>
      <c r="TAS55" s="113"/>
      <c r="TAT55" s="113"/>
      <c r="TAU55" s="113"/>
      <c r="TAV55" s="113"/>
      <c r="TAW55" s="113"/>
      <c r="TAX55" s="113"/>
      <c r="TAY55" s="113"/>
      <c r="TAZ55" s="113"/>
      <c r="TBA55" s="113"/>
      <c r="TBB55" s="113"/>
      <c r="TBC55" s="113"/>
      <c r="TBD55" s="113"/>
      <c r="TBE55" s="113"/>
      <c r="TBF55" s="113"/>
      <c r="TBG55" s="113"/>
      <c r="TBH55" s="113"/>
      <c r="TBI55" s="113"/>
      <c r="TBJ55" s="113"/>
      <c r="TBK55" s="113"/>
      <c r="TBL55" s="113"/>
      <c r="TBM55" s="113"/>
      <c r="TBN55" s="113"/>
      <c r="TBO55" s="113"/>
      <c r="TBP55" s="113"/>
      <c r="TBQ55" s="113"/>
      <c r="TBR55" s="113"/>
      <c r="TBS55" s="113"/>
      <c r="TBT55" s="113"/>
      <c r="TBU55" s="113"/>
      <c r="TBV55" s="113"/>
      <c r="TBW55" s="113"/>
      <c r="TBX55" s="113"/>
      <c r="TBY55" s="113"/>
      <c r="TBZ55" s="113"/>
      <c r="TCA55" s="113"/>
      <c r="TCB55" s="113"/>
      <c r="TCC55" s="113"/>
      <c r="TCD55" s="113"/>
      <c r="TCE55" s="113"/>
      <c r="TCF55" s="113"/>
      <c r="TCG55" s="113"/>
      <c r="TCH55" s="113"/>
      <c r="TCI55" s="113"/>
      <c r="TCJ55" s="113"/>
      <c r="TCK55" s="113"/>
      <c r="TCL55" s="113"/>
      <c r="TCM55" s="113"/>
      <c r="TCN55" s="113"/>
      <c r="TCO55" s="113"/>
      <c r="TCP55" s="113"/>
      <c r="TCQ55" s="113"/>
      <c r="TCR55" s="113"/>
      <c r="TCS55" s="113"/>
      <c r="TCT55" s="113"/>
      <c r="TCU55" s="113"/>
      <c r="TCV55" s="113"/>
      <c r="TCW55" s="113"/>
      <c r="TCX55" s="113"/>
      <c r="TCY55" s="113"/>
      <c r="TCZ55" s="113"/>
      <c r="TDA55" s="113"/>
      <c r="TDB55" s="113"/>
      <c r="TDC55" s="113"/>
      <c r="TDD55" s="113"/>
      <c r="TDE55" s="113"/>
      <c r="TDF55" s="113"/>
      <c r="TDG55" s="113"/>
      <c r="TDH55" s="113"/>
      <c r="TDI55" s="113"/>
      <c r="TDJ55" s="113"/>
      <c r="TDK55" s="113"/>
      <c r="TDL55" s="113"/>
      <c r="TDM55" s="113"/>
      <c r="TDN55" s="113"/>
      <c r="TDO55" s="113"/>
      <c r="TDP55" s="113"/>
      <c r="TDQ55" s="113"/>
      <c r="TDR55" s="113"/>
      <c r="TDS55" s="113"/>
      <c r="TDT55" s="113"/>
      <c r="TDU55" s="113"/>
      <c r="TDV55" s="113"/>
      <c r="TDW55" s="113"/>
      <c r="TDX55" s="113"/>
      <c r="TDY55" s="113"/>
      <c r="TDZ55" s="113"/>
      <c r="TEA55" s="113"/>
      <c r="TEB55" s="113"/>
      <c r="TEC55" s="113"/>
      <c r="TED55" s="113"/>
      <c r="TEE55" s="113"/>
      <c r="TEF55" s="113"/>
      <c r="TEG55" s="113"/>
      <c r="TEH55" s="113"/>
      <c r="TEI55" s="113"/>
      <c r="TEJ55" s="113"/>
      <c r="TEK55" s="113"/>
      <c r="TEL55" s="113"/>
      <c r="TEM55" s="113"/>
      <c r="TEN55" s="113"/>
      <c r="TEO55" s="113"/>
      <c r="TEP55" s="113"/>
      <c r="TEQ55" s="113"/>
      <c r="TER55" s="113"/>
      <c r="TES55" s="113"/>
      <c r="TET55" s="113"/>
      <c r="TEU55" s="113"/>
      <c r="TEV55" s="113"/>
      <c r="TEW55" s="113"/>
      <c r="TEX55" s="113"/>
      <c r="TEY55" s="113"/>
      <c r="TEZ55" s="113"/>
      <c r="TFA55" s="113"/>
      <c r="TFB55" s="113"/>
      <c r="TFC55" s="113"/>
      <c r="TFD55" s="113"/>
      <c r="TFE55" s="113"/>
      <c r="TFF55" s="113"/>
      <c r="TFG55" s="113"/>
      <c r="TFH55" s="113"/>
      <c r="TFI55" s="113"/>
      <c r="TFJ55" s="113"/>
      <c r="TFK55" s="113"/>
      <c r="TFL55" s="113"/>
      <c r="TFM55" s="113"/>
      <c r="TFN55" s="113"/>
      <c r="TFO55" s="113"/>
      <c r="TFP55" s="113"/>
      <c r="TFQ55" s="113"/>
      <c r="TFR55" s="113"/>
      <c r="TFS55" s="113"/>
      <c r="TFT55" s="113"/>
      <c r="TFU55" s="113"/>
      <c r="TFV55" s="113"/>
      <c r="TFW55" s="113"/>
      <c r="TFX55" s="113"/>
      <c r="TFY55" s="113"/>
      <c r="TFZ55" s="113"/>
      <c r="TGA55" s="113"/>
      <c r="TGB55" s="113"/>
      <c r="TGC55" s="113"/>
      <c r="TGD55" s="113"/>
      <c r="TGE55" s="113"/>
      <c r="TGF55" s="113"/>
      <c r="TGG55" s="113"/>
      <c r="TGH55" s="113"/>
      <c r="TGI55" s="113"/>
      <c r="TGJ55" s="113"/>
      <c r="TGK55" s="113"/>
      <c r="TGL55" s="113"/>
      <c r="TGM55" s="113"/>
      <c r="TGN55" s="113"/>
      <c r="TGO55" s="113"/>
      <c r="TGP55" s="113"/>
      <c r="TGQ55" s="113"/>
      <c r="TGR55" s="113"/>
      <c r="TGS55" s="113"/>
      <c r="TGT55" s="113"/>
      <c r="TGU55" s="113"/>
      <c r="TGV55" s="113"/>
      <c r="TGW55" s="113"/>
      <c r="TGX55" s="113"/>
      <c r="TGY55" s="113"/>
      <c r="TGZ55" s="113"/>
      <c r="THA55" s="113"/>
      <c r="THB55" s="113"/>
      <c r="THC55" s="113"/>
      <c r="THD55" s="113"/>
      <c r="THE55" s="113"/>
      <c r="THF55" s="113"/>
      <c r="THG55" s="113"/>
      <c r="THH55" s="113"/>
      <c r="THI55" s="113"/>
      <c r="THJ55" s="113"/>
      <c r="THK55" s="113"/>
      <c r="THL55" s="113"/>
      <c r="THM55" s="113"/>
      <c r="THN55" s="113"/>
      <c r="THO55" s="113"/>
      <c r="THP55" s="113"/>
      <c r="THQ55" s="113"/>
      <c r="THR55" s="113"/>
      <c r="THS55" s="113"/>
      <c r="THT55" s="113"/>
      <c r="THU55" s="113"/>
      <c r="THV55" s="113"/>
      <c r="THW55" s="113"/>
      <c r="THX55" s="113"/>
      <c r="THY55" s="113"/>
      <c r="THZ55" s="113"/>
      <c r="TIA55" s="113"/>
      <c r="TIB55" s="113"/>
      <c r="TIC55" s="113"/>
      <c r="TID55" s="113"/>
      <c r="TIE55" s="113"/>
      <c r="TIF55" s="113"/>
      <c r="TIG55" s="113"/>
      <c r="TIH55" s="113"/>
      <c r="TII55" s="113"/>
      <c r="TIJ55" s="113"/>
      <c r="TIK55" s="113"/>
      <c r="TIL55" s="113"/>
      <c r="TIM55" s="113"/>
      <c r="TIN55" s="113"/>
      <c r="TIO55" s="113"/>
      <c r="TIP55" s="113"/>
      <c r="TIQ55" s="113"/>
      <c r="TIR55" s="113"/>
      <c r="TIS55" s="113"/>
      <c r="TIT55" s="113"/>
      <c r="TIU55" s="113"/>
      <c r="TIV55" s="113"/>
      <c r="TIW55" s="113"/>
      <c r="TIX55" s="113"/>
      <c r="TIY55" s="113"/>
      <c r="TIZ55" s="113"/>
      <c r="TJA55" s="113"/>
      <c r="TJB55" s="113"/>
      <c r="TJC55" s="113"/>
      <c r="TJD55" s="113"/>
      <c r="TJE55" s="113"/>
      <c r="TJF55" s="113"/>
      <c r="TJG55" s="113"/>
      <c r="TJH55" s="113"/>
      <c r="TJI55" s="113"/>
      <c r="TJJ55" s="113"/>
      <c r="TJK55" s="113"/>
      <c r="TJL55" s="113"/>
      <c r="TJM55" s="113"/>
      <c r="TJN55" s="113"/>
      <c r="TJO55" s="113"/>
      <c r="TJP55" s="113"/>
      <c r="TJQ55" s="113"/>
      <c r="TJR55" s="113"/>
      <c r="TJS55" s="113"/>
      <c r="TJT55" s="113"/>
      <c r="TJU55" s="113"/>
      <c r="TJV55" s="113"/>
      <c r="TJW55" s="113"/>
      <c r="TJX55" s="113"/>
      <c r="TJY55" s="113"/>
      <c r="TJZ55" s="113"/>
      <c r="TKA55" s="113"/>
      <c r="TKB55" s="113"/>
      <c r="TKC55" s="113"/>
      <c r="TKD55" s="113"/>
      <c r="TKE55" s="113"/>
      <c r="TKF55" s="113"/>
      <c r="TKG55" s="113"/>
      <c r="TKH55" s="113"/>
      <c r="TKI55" s="113"/>
      <c r="TKJ55" s="113"/>
      <c r="TKK55" s="113"/>
      <c r="TKL55" s="113"/>
      <c r="TKM55" s="113"/>
      <c r="TKN55" s="113"/>
      <c r="TKO55" s="113"/>
      <c r="TKP55" s="113"/>
      <c r="TKQ55" s="113"/>
      <c r="TKR55" s="113"/>
      <c r="TKS55" s="113"/>
      <c r="TKT55" s="113"/>
      <c r="TKU55" s="113"/>
      <c r="TKV55" s="113"/>
      <c r="TKW55" s="113"/>
      <c r="TKX55" s="113"/>
      <c r="TKY55" s="113"/>
      <c r="TKZ55" s="113"/>
      <c r="TLA55" s="113"/>
      <c r="TLB55" s="113"/>
      <c r="TLC55" s="113"/>
      <c r="TLD55" s="113"/>
      <c r="TLE55" s="113"/>
      <c r="TLF55" s="113"/>
      <c r="TLG55" s="113"/>
      <c r="TLH55" s="113"/>
      <c r="TLI55" s="113"/>
      <c r="TLJ55" s="113"/>
      <c r="TLK55" s="113"/>
      <c r="TLL55" s="113"/>
      <c r="TLM55" s="113"/>
      <c r="TLN55" s="113"/>
      <c r="TLO55" s="113"/>
      <c r="TLP55" s="113"/>
      <c r="TLQ55" s="113"/>
      <c r="TLR55" s="113"/>
      <c r="TLS55" s="113"/>
      <c r="TLT55" s="113"/>
      <c r="TLU55" s="113"/>
      <c r="TLV55" s="113"/>
      <c r="TLW55" s="113"/>
      <c r="TLX55" s="113"/>
      <c r="TLY55" s="113"/>
      <c r="TLZ55" s="113"/>
      <c r="TMA55" s="113"/>
      <c r="TMB55" s="113"/>
      <c r="TMC55" s="113"/>
      <c r="TMD55" s="113"/>
      <c r="TME55" s="113"/>
      <c r="TMF55" s="113"/>
      <c r="TMG55" s="113"/>
      <c r="TMH55" s="113"/>
      <c r="TMI55" s="113"/>
      <c r="TMJ55" s="113"/>
      <c r="TMK55" s="113"/>
      <c r="TML55" s="113"/>
      <c r="TMM55" s="113"/>
      <c r="TMN55" s="113"/>
      <c r="TMO55" s="113"/>
      <c r="TMP55" s="113"/>
      <c r="TMQ55" s="113"/>
      <c r="TMR55" s="113"/>
      <c r="TMS55" s="113"/>
      <c r="TMT55" s="113"/>
      <c r="TMU55" s="113"/>
      <c r="TMV55" s="113"/>
      <c r="TMW55" s="113"/>
      <c r="TMX55" s="113"/>
      <c r="TMY55" s="113"/>
      <c r="TMZ55" s="113"/>
      <c r="TNA55" s="113"/>
      <c r="TNB55" s="113"/>
      <c r="TNC55" s="113"/>
      <c r="TND55" s="113"/>
      <c r="TNE55" s="113"/>
      <c r="TNF55" s="113"/>
      <c r="TNG55" s="113"/>
      <c r="TNH55" s="113"/>
      <c r="TNI55" s="113"/>
      <c r="TNJ55" s="113"/>
      <c r="TNK55" s="113"/>
      <c r="TNL55" s="113"/>
      <c r="TNM55" s="113"/>
      <c r="TNN55" s="113"/>
      <c r="TNO55" s="113"/>
      <c r="TNP55" s="113"/>
      <c r="TNQ55" s="113"/>
      <c r="TNR55" s="113"/>
      <c r="TNS55" s="113"/>
      <c r="TNT55" s="113"/>
      <c r="TNU55" s="113"/>
      <c r="TNV55" s="113"/>
      <c r="TNW55" s="113"/>
      <c r="TNX55" s="113"/>
      <c r="TNY55" s="113"/>
      <c r="TNZ55" s="113"/>
      <c r="TOA55" s="113"/>
      <c r="TOB55" s="113"/>
      <c r="TOC55" s="113"/>
      <c r="TOD55" s="113"/>
      <c r="TOE55" s="113"/>
      <c r="TOF55" s="113"/>
      <c r="TOG55" s="113"/>
      <c r="TOH55" s="113"/>
      <c r="TOI55" s="113"/>
      <c r="TOJ55" s="113"/>
      <c r="TOK55" s="113"/>
      <c r="TOL55" s="113"/>
      <c r="TOM55" s="113"/>
      <c r="TON55" s="113"/>
      <c r="TOO55" s="113"/>
      <c r="TOP55" s="113"/>
      <c r="TOQ55" s="113"/>
      <c r="TOR55" s="113"/>
      <c r="TOS55" s="113"/>
      <c r="TOT55" s="113"/>
      <c r="TOU55" s="113"/>
      <c r="TOV55" s="113"/>
      <c r="TOW55" s="113"/>
      <c r="TOX55" s="113"/>
      <c r="TOY55" s="113"/>
      <c r="TOZ55" s="113"/>
      <c r="TPA55" s="113"/>
      <c r="TPB55" s="113"/>
      <c r="TPC55" s="113"/>
      <c r="TPD55" s="113"/>
      <c r="TPE55" s="113"/>
      <c r="TPF55" s="113"/>
      <c r="TPG55" s="113"/>
      <c r="TPH55" s="113"/>
      <c r="TPI55" s="113"/>
      <c r="TPJ55" s="113"/>
      <c r="TPK55" s="113"/>
      <c r="TPL55" s="113"/>
      <c r="TPM55" s="113"/>
      <c r="TPN55" s="113"/>
      <c r="TPO55" s="113"/>
      <c r="TPP55" s="113"/>
      <c r="TPQ55" s="113"/>
      <c r="TPR55" s="113"/>
      <c r="TPS55" s="113"/>
      <c r="TPT55" s="113"/>
      <c r="TPU55" s="113"/>
      <c r="TPV55" s="113"/>
      <c r="TPW55" s="113"/>
      <c r="TPX55" s="113"/>
      <c r="TPY55" s="113"/>
      <c r="TPZ55" s="113"/>
      <c r="TQA55" s="113"/>
      <c r="TQB55" s="113"/>
      <c r="TQC55" s="113"/>
      <c r="TQD55" s="113"/>
      <c r="TQE55" s="113"/>
      <c r="TQF55" s="113"/>
      <c r="TQG55" s="113"/>
      <c r="TQH55" s="113"/>
      <c r="TQI55" s="113"/>
      <c r="TQJ55" s="113"/>
      <c r="TQK55" s="113"/>
      <c r="TQL55" s="113"/>
      <c r="TQM55" s="113"/>
      <c r="TQN55" s="113"/>
      <c r="TQO55" s="113"/>
      <c r="TQP55" s="113"/>
      <c r="TQQ55" s="113"/>
      <c r="TQR55" s="113"/>
      <c r="TQS55" s="113"/>
      <c r="TQT55" s="113"/>
      <c r="TQU55" s="113"/>
      <c r="TQV55" s="113"/>
      <c r="TQW55" s="113"/>
      <c r="TQX55" s="113"/>
      <c r="TQY55" s="113"/>
      <c r="TQZ55" s="113"/>
      <c r="TRA55" s="113"/>
      <c r="TRB55" s="113"/>
      <c r="TRC55" s="113"/>
      <c r="TRD55" s="113"/>
      <c r="TRE55" s="113"/>
      <c r="TRF55" s="113"/>
      <c r="TRG55" s="113"/>
      <c r="TRH55" s="113"/>
      <c r="TRI55" s="113"/>
      <c r="TRJ55" s="113"/>
      <c r="TRK55" s="113"/>
      <c r="TRL55" s="113"/>
      <c r="TRM55" s="113"/>
      <c r="TRN55" s="113"/>
      <c r="TRO55" s="113"/>
      <c r="TRP55" s="113"/>
      <c r="TRQ55" s="113"/>
      <c r="TRR55" s="113"/>
      <c r="TRS55" s="113"/>
      <c r="TRT55" s="113"/>
      <c r="TRU55" s="113"/>
      <c r="TRV55" s="113"/>
      <c r="TRW55" s="113"/>
      <c r="TRX55" s="113"/>
      <c r="TRY55" s="113"/>
      <c r="TRZ55" s="113"/>
      <c r="TSA55" s="113"/>
      <c r="TSB55" s="113"/>
      <c r="TSC55" s="113"/>
      <c r="TSD55" s="113"/>
      <c r="TSE55" s="113"/>
      <c r="TSF55" s="113"/>
      <c r="TSG55" s="113"/>
      <c r="TSH55" s="113"/>
      <c r="TSI55" s="113"/>
      <c r="TSJ55" s="113"/>
      <c r="TSK55" s="113"/>
      <c r="TSL55" s="113"/>
      <c r="TSM55" s="113"/>
      <c r="TSN55" s="113"/>
      <c r="TSO55" s="113"/>
      <c r="TSP55" s="113"/>
      <c r="TSQ55" s="113"/>
      <c r="TSR55" s="113"/>
      <c r="TSS55" s="113"/>
      <c r="TST55" s="113"/>
      <c r="TSU55" s="113"/>
      <c r="TSV55" s="113"/>
      <c r="TSW55" s="113"/>
      <c r="TSX55" s="113"/>
      <c r="TSY55" s="113"/>
      <c r="TSZ55" s="113"/>
      <c r="TTA55" s="113"/>
      <c r="TTB55" s="113"/>
      <c r="TTC55" s="113"/>
      <c r="TTD55" s="113"/>
      <c r="TTE55" s="113"/>
      <c r="TTF55" s="113"/>
      <c r="TTG55" s="113"/>
      <c r="TTH55" s="113"/>
      <c r="TTI55" s="113"/>
      <c r="TTJ55" s="113"/>
      <c r="TTK55" s="113"/>
      <c r="TTL55" s="113"/>
      <c r="TTM55" s="113"/>
      <c r="TTN55" s="113"/>
      <c r="TTO55" s="113"/>
      <c r="TTP55" s="113"/>
      <c r="TTQ55" s="113"/>
      <c r="TTR55" s="113"/>
      <c r="TTS55" s="113"/>
      <c r="TTT55" s="113"/>
      <c r="TTU55" s="113"/>
      <c r="TTV55" s="113"/>
      <c r="TTW55" s="113"/>
      <c r="TTX55" s="113"/>
      <c r="TTY55" s="113"/>
      <c r="TTZ55" s="113"/>
      <c r="TUA55" s="113"/>
      <c r="TUB55" s="113"/>
      <c r="TUC55" s="113"/>
      <c r="TUD55" s="113"/>
      <c r="TUE55" s="113"/>
      <c r="TUF55" s="113"/>
      <c r="TUG55" s="113"/>
      <c r="TUH55" s="113"/>
      <c r="TUI55" s="113"/>
      <c r="TUJ55" s="113"/>
      <c r="TUK55" s="113"/>
      <c r="TUL55" s="113"/>
      <c r="TUM55" s="113"/>
      <c r="TUN55" s="113"/>
      <c r="TUO55" s="113"/>
      <c r="TUP55" s="113"/>
      <c r="TUQ55" s="113"/>
      <c r="TUR55" s="113"/>
      <c r="TUS55" s="113"/>
      <c r="TUT55" s="113"/>
      <c r="TUU55" s="113"/>
      <c r="TUV55" s="113"/>
      <c r="TUW55" s="113"/>
      <c r="TUX55" s="113"/>
      <c r="TUY55" s="113"/>
      <c r="TUZ55" s="113"/>
      <c r="TVA55" s="113"/>
      <c r="TVB55" s="113"/>
      <c r="TVC55" s="113"/>
      <c r="TVD55" s="113"/>
      <c r="TVE55" s="113"/>
      <c r="TVF55" s="113"/>
      <c r="TVG55" s="113"/>
      <c r="TVH55" s="113"/>
      <c r="TVI55" s="113"/>
      <c r="TVJ55" s="113"/>
      <c r="TVK55" s="113"/>
      <c r="TVL55" s="113"/>
      <c r="TVM55" s="113"/>
      <c r="TVN55" s="113"/>
      <c r="TVO55" s="113"/>
      <c r="TVP55" s="113"/>
      <c r="TVQ55" s="113"/>
      <c r="TVR55" s="113"/>
      <c r="TVS55" s="113"/>
      <c r="TVT55" s="113"/>
      <c r="TVU55" s="113"/>
      <c r="TVV55" s="113"/>
      <c r="TVW55" s="113"/>
      <c r="TVX55" s="113"/>
      <c r="TVY55" s="113"/>
      <c r="TVZ55" s="113"/>
      <c r="TWA55" s="113"/>
      <c r="TWB55" s="113"/>
      <c r="TWC55" s="113"/>
      <c r="TWD55" s="113"/>
      <c r="TWE55" s="113"/>
      <c r="TWF55" s="113"/>
      <c r="TWG55" s="113"/>
      <c r="TWH55" s="113"/>
      <c r="TWI55" s="113"/>
      <c r="TWJ55" s="113"/>
      <c r="TWK55" s="113"/>
      <c r="TWL55" s="113"/>
      <c r="TWM55" s="113"/>
      <c r="TWN55" s="113"/>
      <c r="TWO55" s="113"/>
      <c r="TWP55" s="113"/>
      <c r="TWQ55" s="113"/>
      <c r="TWR55" s="113"/>
      <c r="TWS55" s="113"/>
      <c r="TWT55" s="113"/>
      <c r="TWU55" s="113"/>
      <c r="TWV55" s="113"/>
      <c r="TWW55" s="113"/>
      <c r="TWX55" s="113"/>
      <c r="TWY55" s="113"/>
      <c r="TWZ55" s="113"/>
      <c r="TXA55" s="113"/>
      <c r="TXB55" s="113"/>
      <c r="TXC55" s="113"/>
      <c r="TXD55" s="113"/>
      <c r="TXE55" s="113"/>
      <c r="TXF55" s="113"/>
      <c r="TXG55" s="113"/>
      <c r="TXH55" s="113"/>
      <c r="TXI55" s="113"/>
      <c r="TXJ55" s="113"/>
      <c r="TXK55" s="113"/>
      <c r="TXL55" s="113"/>
      <c r="TXM55" s="113"/>
      <c r="TXN55" s="113"/>
      <c r="TXO55" s="113"/>
      <c r="TXP55" s="113"/>
      <c r="TXQ55" s="113"/>
      <c r="TXR55" s="113"/>
      <c r="TXS55" s="113"/>
      <c r="TXT55" s="113"/>
      <c r="TXU55" s="113"/>
      <c r="TXV55" s="113"/>
      <c r="TXW55" s="113"/>
      <c r="TXX55" s="113"/>
      <c r="TXY55" s="113"/>
      <c r="TXZ55" s="113"/>
      <c r="TYA55" s="113"/>
      <c r="TYB55" s="113"/>
      <c r="TYC55" s="113"/>
      <c r="TYD55" s="113"/>
      <c r="TYE55" s="113"/>
      <c r="TYF55" s="113"/>
      <c r="TYG55" s="113"/>
      <c r="TYH55" s="113"/>
      <c r="TYI55" s="113"/>
      <c r="TYJ55" s="113"/>
      <c r="TYK55" s="113"/>
      <c r="TYL55" s="113"/>
      <c r="TYM55" s="113"/>
      <c r="TYN55" s="113"/>
      <c r="TYO55" s="113"/>
      <c r="TYP55" s="113"/>
      <c r="TYQ55" s="113"/>
      <c r="TYR55" s="113"/>
      <c r="TYS55" s="113"/>
      <c r="TYT55" s="113"/>
      <c r="TYU55" s="113"/>
      <c r="TYV55" s="113"/>
      <c r="TYW55" s="113"/>
      <c r="TYX55" s="113"/>
      <c r="TYY55" s="113"/>
      <c r="TYZ55" s="113"/>
      <c r="TZA55" s="113"/>
      <c r="TZB55" s="113"/>
      <c r="TZC55" s="113"/>
      <c r="TZD55" s="113"/>
      <c r="TZE55" s="113"/>
      <c r="TZF55" s="113"/>
      <c r="TZG55" s="113"/>
      <c r="TZH55" s="113"/>
      <c r="TZI55" s="113"/>
      <c r="TZJ55" s="113"/>
      <c r="TZK55" s="113"/>
      <c r="TZL55" s="113"/>
      <c r="TZM55" s="113"/>
      <c r="TZN55" s="113"/>
      <c r="TZO55" s="113"/>
      <c r="TZP55" s="113"/>
      <c r="TZQ55" s="113"/>
      <c r="TZR55" s="113"/>
      <c r="TZS55" s="113"/>
      <c r="TZT55" s="113"/>
      <c r="TZU55" s="113"/>
      <c r="TZV55" s="113"/>
      <c r="TZW55" s="113"/>
      <c r="TZX55" s="113"/>
      <c r="TZY55" s="113"/>
      <c r="TZZ55" s="113"/>
      <c r="UAA55" s="113"/>
      <c r="UAB55" s="113"/>
      <c r="UAC55" s="113"/>
      <c r="UAD55" s="113"/>
      <c r="UAE55" s="113"/>
      <c r="UAF55" s="113"/>
      <c r="UAG55" s="113"/>
      <c r="UAH55" s="113"/>
      <c r="UAI55" s="113"/>
      <c r="UAJ55" s="113"/>
      <c r="UAK55" s="113"/>
      <c r="UAL55" s="113"/>
      <c r="UAM55" s="113"/>
      <c r="UAN55" s="113"/>
      <c r="UAO55" s="113"/>
      <c r="UAP55" s="113"/>
      <c r="UAQ55" s="113"/>
      <c r="UAR55" s="113"/>
      <c r="UAS55" s="113"/>
      <c r="UAT55" s="113"/>
      <c r="UAU55" s="113"/>
      <c r="UAV55" s="113"/>
      <c r="UAW55" s="113"/>
      <c r="UAX55" s="113"/>
      <c r="UAY55" s="113"/>
      <c r="UAZ55" s="113"/>
      <c r="UBA55" s="113"/>
      <c r="UBB55" s="113"/>
      <c r="UBC55" s="113"/>
      <c r="UBD55" s="113"/>
      <c r="UBE55" s="113"/>
      <c r="UBF55" s="113"/>
      <c r="UBG55" s="113"/>
      <c r="UBH55" s="113"/>
      <c r="UBI55" s="113"/>
      <c r="UBJ55" s="113"/>
      <c r="UBK55" s="113"/>
      <c r="UBL55" s="113"/>
      <c r="UBM55" s="113"/>
      <c r="UBN55" s="113"/>
      <c r="UBO55" s="113"/>
      <c r="UBP55" s="113"/>
      <c r="UBQ55" s="113"/>
      <c r="UBR55" s="113"/>
      <c r="UBS55" s="113"/>
      <c r="UBT55" s="113"/>
      <c r="UBU55" s="113"/>
      <c r="UBV55" s="113"/>
      <c r="UBW55" s="113"/>
      <c r="UBX55" s="113"/>
      <c r="UBY55" s="113"/>
      <c r="UBZ55" s="113"/>
      <c r="UCA55" s="113"/>
      <c r="UCB55" s="113"/>
      <c r="UCC55" s="113"/>
      <c r="UCD55" s="113"/>
      <c r="UCE55" s="113"/>
      <c r="UCF55" s="113"/>
      <c r="UCG55" s="113"/>
      <c r="UCH55" s="113"/>
      <c r="UCI55" s="113"/>
      <c r="UCJ55" s="113"/>
      <c r="UCK55" s="113"/>
      <c r="UCL55" s="113"/>
      <c r="UCM55" s="113"/>
      <c r="UCN55" s="113"/>
      <c r="UCO55" s="113"/>
      <c r="UCP55" s="113"/>
      <c r="UCQ55" s="113"/>
      <c r="UCR55" s="113"/>
      <c r="UCS55" s="113"/>
      <c r="UCT55" s="113"/>
      <c r="UCU55" s="113"/>
      <c r="UCV55" s="113"/>
      <c r="UCW55" s="113"/>
      <c r="UCX55" s="113"/>
      <c r="UCY55" s="113"/>
      <c r="UCZ55" s="113"/>
      <c r="UDA55" s="113"/>
      <c r="UDB55" s="113"/>
      <c r="UDC55" s="113"/>
      <c r="UDD55" s="113"/>
      <c r="UDE55" s="113"/>
      <c r="UDF55" s="113"/>
      <c r="UDG55" s="113"/>
      <c r="UDH55" s="113"/>
      <c r="UDI55" s="113"/>
      <c r="UDJ55" s="113"/>
      <c r="UDK55" s="113"/>
      <c r="UDL55" s="113"/>
      <c r="UDM55" s="113"/>
      <c r="UDN55" s="113"/>
      <c r="UDO55" s="113"/>
      <c r="UDP55" s="113"/>
      <c r="UDQ55" s="113"/>
      <c r="UDR55" s="113"/>
      <c r="UDS55" s="113"/>
      <c r="UDT55" s="113"/>
      <c r="UDU55" s="113"/>
      <c r="UDV55" s="113"/>
      <c r="UDW55" s="113"/>
      <c r="UDX55" s="113"/>
      <c r="UDY55" s="113"/>
      <c r="UDZ55" s="113"/>
      <c r="UEA55" s="113"/>
      <c r="UEB55" s="113"/>
      <c r="UEC55" s="113"/>
      <c r="UED55" s="113"/>
      <c r="UEE55" s="113"/>
      <c r="UEF55" s="113"/>
      <c r="UEG55" s="113"/>
      <c r="UEH55" s="113"/>
      <c r="UEI55" s="113"/>
      <c r="UEJ55" s="113"/>
      <c r="UEK55" s="113"/>
      <c r="UEL55" s="113"/>
      <c r="UEM55" s="113"/>
      <c r="UEN55" s="113"/>
      <c r="UEO55" s="113"/>
      <c r="UEP55" s="113"/>
      <c r="UEQ55" s="113"/>
      <c r="UER55" s="113"/>
      <c r="UES55" s="113"/>
      <c r="UET55" s="113"/>
      <c r="UEU55" s="113"/>
      <c r="UEV55" s="113"/>
      <c r="UEW55" s="113"/>
      <c r="UEX55" s="113"/>
      <c r="UEY55" s="113"/>
      <c r="UEZ55" s="113"/>
      <c r="UFA55" s="113"/>
      <c r="UFB55" s="113"/>
      <c r="UFC55" s="113"/>
      <c r="UFD55" s="113"/>
      <c r="UFE55" s="113"/>
      <c r="UFF55" s="113"/>
      <c r="UFG55" s="113"/>
      <c r="UFH55" s="113"/>
      <c r="UFI55" s="113"/>
      <c r="UFJ55" s="113"/>
      <c r="UFK55" s="113"/>
      <c r="UFL55" s="113"/>
      <c r="UFM55" s="113"/>
      <c r="UFN55" s="113"/>
      <c r="UFO55" s="113"/>
      <c r="UFP55" s="113"/>
      <c r="UFQ55" s="113"/>
      <c r="UFR55" s="113"/>
      <c r="UFS55" s="113"/>
      <c r="UFT55" s="113"/>
      <c r="UFU55" s="113"/>
      <c r="UFV55" s="113"/>
      <c r="UFW55" s="113"/>
      <c r="UFX55" s="113"/>
      <c r="UFY55" s="113"/>
      <c r="UFZ55" s="113"/>
      <c r="UGA55" s="113"/>
      <c r="UGB55" s="113"/>
      <c r="UGC55" s="113"/>
      <c r="UGD55" s="113"/>
      <c r="UGE55" s="113"/>
      <c r="UGF55" s="113"/>
      <c r="UGG55" s="113"/>
      <c r="UGH55" s="113"/>
      <c r="UGI55" s="113"/>
      <c r="UGJ55" s="113"/>
      <c r="UGK55" s="113"/>
      <c r="UGL55" s="113"/>
      <c r="UGM55" s="113"/>
      <c r="UGN55" s="113"/>
      <c r="UGO55" s="113"/>
      <c r="UGP55" s="113"/>
      <c r="UGQ55" s="113"/>
      <c r="UGR55" s="113"/>
      <c r="UGS55" s="113"/>
      <c r="UGT55" s="113"/>
      <c r="UGU55" s="113"/>
      <c r="UGV55" s="113"/>
      <c r="UGW55" s="113"/>
      <c r="UGX55" s="113"/>
      <c r="UGY55" s="113"/>
      <c r="UGZ55" s="113"/>
      <c r="UHA55" s="113"/>
      <c r="UHB55" s="113"/>
      <c r="UHC55" s="113"/>
      <c r="UHD55" s="113"/>
      <c r="UHE55" s="113"/>
      <c r="UHF55" s="113"/>
      <c r="UHG55" s="113"/>
      <c r="UHH55" s="113"/>
      <c r="UHI55" s="113"/>
      <c r="UHJ55" s="113"/>
      <c r="UHK55" s="113"/>
      <c r="UHL55" s="113"/>
      <c r="UHM55" s="113"/>
      <c r="UHN55" s="113"/>
      <c r="UHO55" s="113"/>
      <c r="UHP55" s="113"/>
      <c r="UHQ55" s="113"/>
      <c r="UHR55" s="113"/>
      <c r="UHS55" s="113"/>
      <c r="UHT55" s="113"/>
      <c r="UHU55" s="113"/>
      <c r="UHV55" s="113"/>
      <c r="UHW55" s="113"/>
      <c r="UHX55" s="113"/>
      <c r="UHY55" s="113"/>
      <c r="UHZ55" s="113"/>
      <c r="UIA55" s="113"/>
      <c r="UIB55" s="113"/>
      <c r="UIC55" s="113"/>
      <c r="UID55" s="113"/>
      <c r="UIE55" s="113"/>
      <c r="UIF55" s="113"/>
      <c r="UIG55" s="113"/>
      <c r="UIH55" s="113"/>
      <c r="UII55" s="113"/>
      <c r="UIJ55" s="113"/>
      <c r="UIK55" s="113"/>
      <c r="UIL55" s="113"/>
      <c r="UIM55" s="113"/>
      <c r="UIN55" s="113"/>
      <c r="UIO55" s="113"/>
      <c r="UIP55" s="113"/>
      <c r="UIQ55" s="113"/>
      <c r="UIR55" s="113"/>
      <c r="UIS55" s="113"/>
      <c r="UIT55" s="113"/>
      <c r="UIU55" s="113"/>
      <c r="UIV55" s="113"/>
      <c r="UIW55" s="113"/>
      <c r="UIX55" s="113"/>
      <c r="UIY55" s="113"/>
      <c r="UIZ55" s="113"/>
      <c r="UJA55" s="113"/>
      <c r="UJB55" s="113"/>
      <c r="UJC55" s="113"/>
      <c r="UJD55" s="113"/>
      <c r="UJE55" s="113"/>
      <c r="UJF55" s="113"/>
      <c r="UJG55" s="113"/>
      <c r="UJH55" s="113"/>
      <c r="UJI55" s="113"/>
      <c r="UJJ55" s="113"/>
      <c r="UJK55" s="113"/>
      <c r="UJL55" s="113"/>
      <c r="UJM55" s="113"/>
      <c r="UJN55" s="113"/>
      <c r="UJO55" s="113"/>
      <c r="UJP55" s="113"/>
      <c r="UJQ55" s="113"/>
      <c r="UJR55" s="113"/>
      <c r="UJS55" s="113"/>
      <c r="UJT55" s="113"/>
      <c r="UJU55" s="113"/>
      <c r="UJV55" s="113"/>
      <c r="UJW55" s="113"/>
      <c r="UJX55" s="113"/>
      <c r="UJY55" s="113"/>
      <c r="UJZ55" s="113"/>
      <c r="UKA55" s="113"/>
      <c r="UKB55" s="113"/>
      <c r="UKC55" s="113"/>
      <c r="UKD55" s="113"/>
      <c r="UKE55" s="113"/>
      <c r="UKF55" s="113"/>
      <c r="UKG55" s="113"/>
      <c r="UKH55" s="113"/>
      <c r="UKI55" s="113"/>
      <c r="UKJ55" s="113"/>
      <c r="UKK55" s="113"/>
      <c r="UKL55" s="113"/>
      <c r="UKM55" s="113"/>
      <c r="UKN55" s="113"/>
      <c r="UKO55" s="113"/>
      <c r="UKP55" s="113"/>
      <c r="UKQ55" s="113"/>
      <c r="UKR55" s="113"/>
      <c r="UKS55" s="113"/>
      <c r="UKT55" s="113"/>
      <c r="UKU55" s="113"/>
      <c r="UKV55" s="113"/>
      <c r="UKW55" s="113"/>
      <c r="UKX55" s="113"/>
      <c r="UKY55" s="113"/>
      <c r="UKZ55" s="113"/>
      <c r="ULA55" s="113"/>
      <c r="ULB55" s="113"/>
      <c r="ULC55" s="113"/>
      <c r="ULD55" s="113"/>
      <c r="ULE55" s="113"/>
      <c r="ULF55" s="113"/>
      <c r="ULG55" s="113"/>
      <c r="ULH55" s="113"/>
      <c r="ULI55" s="113"/>
      <c r="ULJ55" s="113"/>
      <c r="ULK55" s="113"/>
      <c r="ULL55" s="113"/>
      <c r="ULM55" s="113"/>
      <c r="ULN55" s="113"/>
      <c r="ULO55" s="113"/>
      <c r="ULP55" s="113"/>
      <c r="ULQ55" s="113"/>
      <c r="ULR55" s="113"/>
      <c r="ULS55" s="113"/>
      <c r="ULT55" s="113"/>
      <c r="ULU55" s="113"/>
      <c r="ULV55" s="113"/>
      <c r="ULW55" s="113"/>
      <c r="ULX55" s="113"/>
      <c r="ULY55" s="113"/>
      <c r="ULZ55" s="113"/>
      <c r="UMA55" s="113"/>
      <c r="UMB55" s="113"/>
      <c r="UMC55" s="113"/>
      <c r="UMD55" s="113"/>
      <c r="UME55" s="113"/>
      <c r="UMF55" s="113"/>
      <c r="UMG55" s="113"/>
      <c r="UMH55" s="113"/>
      <c r="UMI55" s="113"/>
      <c r="UMJ55" s="113"/>
      <c r="UMK55" s="113"/>
      <c r="UML55" s="113"/>
      <c r="UMM55" s="113"/>
      <c r="UMN55" s="113"/>
      <c r="UMO55" s="113"/>
      <c r="UMP55" s="113"/>
      <c r="UMQ55" s="113"/>
      <c r="UMR55" s="113"/>
      <c r="UMS55" s="113"/>
      <c r="UMT55" s="113"/>
      <c r="UMU55" s="113"/>
      <c r="UMV55" s="113"/>
      <c r="UMW55" s="113"/>
      <c r="UMX55" s="113"/>
      <c r="UMY55" s="113"/>
      <c r="UMZ55" s="113"/>
      <c r="UNA55" s="113"/>
      <c r="UNB55" s="113"/>
      <c r="UNC55" s="113"/>
      <c r="UND55" s="113"/>
      <c r="UNE55" s="113"/>
      <c r="UNF55" s="113"/>
      <c r="UNG55" s="113"/>
      <c r="UNH55" s="113"/>
      <c r="UNI55" s="113"/>
      <c r="UNJ55" s="113"/>
      <c r="UNK55" s="113"/>
      <c r="UNL55" s="113"/>
      <c r="UNM55" s="113"/>
      <c r="UNN55" s="113"/>
      <c r="UNO55" s="113"/>
      <c r="UNP55" s="113"/>
      <c r="UNQ55" s="113"/>
      <c r="UNR55" s="113"/>
      <c r="UNS55" s="113"/>
      <c r="UNT55" s="113"/>
      <c r="UNU55" s="113"/>
      <c r="UNV55" s="113"/>
      <c r="UNW55" s="113"/>
      <c r="UNX55" s="113"/>
      <c r="UNY55" s="113"/>
      <c r="UNZ55" s="113"/>
      <c r="UOA55" s="113"/>
      <c r="UOB55" s="113"/>
      <c r="UOC55" s="113"/>
      <c r="UOD55" s="113"/>
      <c r="UOE55" s="113"/>
      <c r="UOF55" s="113"/>
      <c r="UOG55" s="113"/>
      <c r="UOH55" s="113"/>
      <c r="UOI55" s="113"/>
      <c r="UOJ55" s="113"/>
      <c r="UOK55" s="113"/>
      <c r="UOL55" s="113"/>
      <c r="UOM55" s="113"/>
      <c r="UON55" s="113"/>
      <c r="UOO55" s="113"/>
      <c r="UOP55" s="113"/>
      <c r="UOQ55" s="113"/>
      <c r="UOR55" s="113"/>
      <c r="UOS55" s="113"/>
      <c r="UOT55" s="113"/>
      <c r="UOU55" s="113"/>
      <c r="UOV55" s="113"/>
      <c r="UOW55" s="113"/>
      <c r="UOX55" s="113"/>
      <c r="UOY55" s="113"/>
      <c r="UOZ55" s="113"/>
      <c r="UPA55" s="113"/>
      <c r="UPB55" s="113"/>
      <c r="UPC55" s="113"/>
      <c r="UPD55" s="113"/>
      <c r="UPE55" s="113"/>
      <c r="UPF55" s="113"/>
      <c r="UPG55" s="113"/>
      <c r="UPH55" s="113"/>
      <c r="UPI55" s="113"/>
      <c r="UPJ55" s="113"/>
      <c r="UPK55" s="113"/>
      <c r="UPL55" s="113"/>
      <c r="UPM55" s="113"/>
      <c r="UPN55" s="113"/>
      <c r="UPO55" s="113"/>
      <c r="UPP55" s="113"/>
      <c r="UPQ55" s="113"/>
      <c r="UPR55" s="113"/>
      <c r="UPS55" s="113"/>
      <c r="UPT55" s="113"/>
      <c r="UPU55" s="113"/>
      <c r="UPV55" s="113"/>
      <c r="UPW55" s="113"/>
      <c r="UPX55" s="113"/>
      <c r="UPY55" s="113"/>
      <c r="UPZ55" s="113"/>
      <c r="UQA55" s="113"/>
      <c r="UQB55" s="113"/>
      <c r="UQC55" s="113"/>
      <c r="UQD55" s="113"/>
      <c r="UQE55" s="113"/>
      <c r="UQF55" s="113"/>
      <c r="UQG55" s="113"/>
      <c r="UQH55" s="113"/>
      <c r="UQI55" s="113"/>
      <c r="UQJ55" s="113"/>
      <c r="UQK55" s="113"/>
      <c r="UQL55" s="113"/>
      <c r="UQM55" s="113"/>
      <c r="UQN55" s="113"/>
      <c r="UQO55" s="113"/>
      <c r="UQP55" s="113"/>
      <c r="UQQ55" s="113"/>
      <c r="UQR55" s="113"/>
      <c r="UQS55" s="113"/>
      <c r="UQT55" s="113"/>
      <c r="UQU55" s="113"/>
      <c r="UQV55" s="113"/>
      <c r="UQW55" s="113"/>
      <c r="UQX55" s="113"/>
      <c r="UQY55" s="113"/>
      <c r="UQZ55" s="113"/>
      <c r="URA55" s="113"/>
      <c r="URB55" s="113"/>
      <c r="URC55" s="113"/>
      <c r="URD55" s="113"/>
      <c r="URE55" s="113"/>
      <c r="URF55" s="113"/>
      <c r="URG55" s="113"/>
      <c r="URH55" s="113"/>
      <c r="URI55" s="113"/>
      <c r="URJ55" s="113"/>
      <c r="URK55" s="113"/>
      <c r="URL55" s="113"/>
      <c r="URM55" s="113"/>
      <c r="URN55" s="113"/>
      <c r="URO55" s="113"/>
      <c r="URP55" s="113"/>
      <c r="URQ55" s="113"/>
      <c r="URR55" s="113"/>
      <c r="URS55" s="113"/>
      <c r="URT55" s="113"/>
      <c r="URU55" s="113"/>
      <c r="URV55" s="113"/>
      <c r="URW55" s="113"/>
      <c r="URX55" s="113"/>
      <c r="URY55" s="113"/>
      <c r="URZ55" s="113"/>
      <c r="USA55" s="113"/>
      <c r="USB55" s="113"/>
      <c r="USC55" s="113"/>
      <c r="USD55" s="113"/>
      <c r="USE55" s="113"/>
      <c r="USF55" s="113"/>
      <c r="USG55" s="113"/>
      <c r="USH55" s="113"/>
      <c r="USI55" s="113"/>
      <c r="USJ55" s="113"/>
      <c r="USK55" s="113"/>
      <c r="USL55" s="113"/>
      <c r="USM55" s="113"/>
      <c r="USN55" s="113"/>
      <c r="USO55" s="113"/>
      <c r="USP55" s="113"/>
      <c r="USQ55" s="113"/>
      <c r="USR55" s="113"/>
      <c r="USS55" s="113"/>
      <c r="UST55" s="113"/>
      <c r="USU55" s="113"/>
      <c r="USV55" s="113"/>
      <c r="USW55" s="113"/>
      <c r="USX55" s="113"/>
      <c r="USY55" s="113"/>
      <c r="USZ55" s="113"/>
      <c r="UTA55" s="113"/>
      <c r="UTB55" s="113"/>
      <c r="UTC55" s="113"/>
      <c r="UTD55" s="113"/>
      <c r="UTE55" s="113"/>
      <c r="UTF55" s="113"/>
      <c r="UTG55" s="113"/>
      <c r="UTH55" s="113"/>
      <c r="UTI55" s="113"/>
      <c r="UTJ55" s="113"/>
      <c r="UTK55" s="113"/>
      <c r="UTL55" s="113"/>
      <c r="UTM55" s="113"/>
      <c r="UTN55" s="113"/>
      <c r="UTO55" s="113"/>
      <c r="UTP55" s="113"/>
      <c r="UTQ55" s="113"/>
      <c r="UTR55" s="113"/>
      <c r="UTS55" s="113"/>
      <c r="UTT55" s="113"/>
      <c r="UTU55" s="113"/>
      <c r="UTV55" s="113"/>
      <c r="UTW55" s="113"/>
      <c r="UTX55" s="113"/>
      <c r="UTY55" s="113"/>
      <c r="UTZ55" s="113"/>
      <c r="UUA55" s="113"/>
      <c r="UUB55" s="113"/>
      <c r="UUC55" s="113"/>
      <c r="UUD55" s="113"/>
      <c r="UUE55" s="113"/>
      <c r="UUF55" s="113"/>
      <c r="UUG55" s="113"/>
      <c r="UUH55" s="113"/>
      <c r="UUI55" s="113"/>
      <c r="UUJ55" s="113"/>
      <c r="UUK55" s="113"/>
      <c r="UUL55" s="113"/>
      <c r="UUM55" s="113"/>
      <c r="UUN55" s="113"/>
      <c r="UUO55" s="113"/>
      <c r="UUP55" s="113"/>
      <c r="UUQ55" s="113"/>
      <c r="UUR55" s="113"/>
      <c r="UUS55" s="113"/>
      <c r="UUT55" s="113"/>
      <c r="UUU55" s="113"/>
      <c r="UUV55" s="113"/>
      <c r="UUW55" s="113"/>
      <c r="UUX55" s="113"/>
      <c r="UUY55" s="113"/>
      <c r="UUZ55" s="113"/>
      <c r="UVA55" s="113"/>
      <c r="UVB55" s="113"/>
      <c r="UVC55" s="113"/>
      <c r="UVD55" s="113"/>
      <c r="UVE55" s="113"/>
      <c r="UVF55" s="113"/>
      <c r="UVG55" s="113"/>
      <c r="UVH55" s="113"/>
      <c r="UVI55" s="113"/>
      <c r="UVJ55" s="113"/>
      <c r="UVK55" s="113"/>
      <c r="UVL55" s="113"/>
      <c r="UVM55" s="113"/>
      <c r="UVN55" s="113"/>
      <c r="UVO55" s="113"/>
      <c r="UVP55" s="113"/>
      <c r="UVQ55" s="113"/>
      <c r="UVR55" s="113"/>
      <c r="UVS55" s="113"/>
      <c r="UVT55" s="113"/>
      <c r="UVU55" s="113"/>
      <c r="UVV55" s="113"/>
      <c r="UVW55" s="113"/>
      <c r="UVX55" s="113"/>
      <c r="UVY55" s="113"/>
      <c r="UVZ55" s="113"/>
      <c r="UWA55" s="113"/>
      <c r="UWB55" s="113"/>
      <c r="UWC55" s="113"/>
      <c r="UWD55" s="113"/>
      <c r="UWE55" s="113"/>
      <c r="UWF55" s="113"/>
      <c r="UWG55" s="113"/>
      <c r="UWH55" s="113"/>
      <c r="UWI55" s="113"/>
      <c r="UWJ55" s="113"/>
      <c r="UWK55" s="113"/>
      <c r="UWL55" s="113"/>
      <c r="UWM55" s="113"/>
      <c r="UWN55" s="113"/>
      <c r="UWO55" s="113"/>
      <c r="UWP55" s="113"/>
      <c r="UWQ55" s="113"/>
      <c r="UWR55" s="113"/>
      <c r="UWS55" s="113"/>
      <c r="UWT55" s="113"/>
      <c r="UWU55" s="113"/>
      <c r="UWV55" s="113"/>
      <c r="UWW55" s="113"/>
      <c r="UWX55" s="113"/>
      <c r="UWY55" s="113"/>
      <c r="UWZ55" s="113"/>
      <c r="UXA55" s="113"/>
      <c r="UXB55" s="113"/>
      <c r="UXC55" s="113"/>
      <c r="UXD55" s="113"/>
      <c r="UXE55" s="113"/>
      <c r="UXF55" s="113"/>
      <c r="UXG55" s="113"/>
      <c r="UXH55" s="113"/>
      <c r="UXI55" s="113"/>
      <c r="UXJ55" s="113"/>
      <c r="UXK55" s="113"/>
      <c r="UXL55" s="113"/>
      <c r="UXM55" s="113"/>
      <c r="UXN55" s="113"/>
      <c r="UXO55" s="113"/>
      <c r="UXP55" s="113"/>
      <c r="UXQ55" s="113"/>
      <c r="UXR55" s="113"/>
      <c r="UXS55" s="113"/>
      <c r="UXT55" s="113"/>
      <c r="UXU55" s="113"/>
      <c r="UXV55" s="113"/>
      <c r="UXW55" s="113"/>
      <c r="UXX55" s="113"/>
      <c r="UXY55" s="113"/>
      <c r="UXZ55" s="113"/>
      <c r="UYA55" s="113"/>
      <c r="UYB55" s="113"/>
      <c r="UYC55" s="113"/>
      <c r="UYD55" s="113"/>
      <c r="UYE55" s="113"/>
      <c r="UYF55" s="113"/>
      <c r="UYG55" s="113"/>
      <c r="UYH55" s="113"/>
      <c r="UYI55" s="113"/>
      <c r="UYJ55" s="113"/>
      <c r="UYK55" s="113"/>
      <c r="UYL55" s="113"/>
      <c r="UYM55" s="113"/>
      <c r="UYN55" s="113"/>
      <c r="UYO55" s="113"/>
      <c r="UYP55" s="113"/>
      <c r="UYQ55" s="113"/>
      <c r="UYR55" s="113"/>
      <c r="UYS55" s="113"/>
      <c r="UYT55" s="113"/>
      <c r="UYU55" s="113"/>
      <c r="UYV55" s="113"/>
      <c r="UYW55" s="113"/>
      <c r="UYX55" s="113"/>
      <c r="UYY55" s="113"/>
      <c r="UYZ55" s="113"/>
      <c r="UZA55" s="113"/>
      <c r="UZB55" s="113"/>
      <c r="UZC55" s="113"/>
      <c r="UZD55" s="113"/>
      <c r="UZE55" s="113"/>
      <c r="UZF55" s="113"/>
      <c r="UZG55" s="113"/>
      <c r="UZH55" s="113"/>
      <c r="UZI55" s="113"/>
      <c r="UZJ55" s="113"/>
      <c r="UZK55" s="113"/>
      <c r="UZL55" s="113"/>
      <c r="UZM55" s="113"/>
      <c r="UZN55" s="113"/>
      <c r="UZO55" s="113"/>
      <c r="UZP55" s="113"/>
      <c r="UZQ55" s="113"/>
      <c r="UZR55" s="113"/>
      <c r="UZS55" s="113"/>
      <c r="UZT55" s="113"/>
      <c r="UZU55" s="113"/>
      <c r="UZV55" s="113"/>
      <c r="UZW55" s="113"/>
      <c r="UZX55" s="113"/>
      <c r="UZY55" s="113"/>
      <c r="UZZ55" s="113"/>
      <c r="VAA55" s="113"/>
      <c r="VAB55" s="113"/>
      <c r="VAC55" s="113"/>
      <c r="VAD55" s="113"/>
      <c r="VAE55" s="113"/>
      <c r="VAF55" s="113"/>
      <c r="VAG55" s="113"/>
      <c r="VAH55" s="113"/>
      <c r="VAI55" s="113"/>
      <c r="VAJ55" s="113"/>
      <c r="VAK55" s="113"/>
      <c r="VAL55" s="113"/>
      <c r="VAM55" s="113"/>
      <c r="VAN55" s="113"/>
      <c r="VAO55" s="113"/>
      <c r="VAP55" s="113"/>
      <c r="VAQ55" s="113"/>
      <c r="VAR55" s="113"/>
      <c r="VAS55" s="113"/>
      <c r="VAT55" s="113"/>
      <c r="VAU55" s="113"/>
      <c r="VAV55" s="113"/>
      <c r="VAW55" s="113"/>
      <c r="VAX55" s="113"/>
      <c r="VAY55" s="113"/>
      <c r="VAZ55" s="113"/>
      <c r="VBA55" s="113"/>
      <c r="VBB55" s="113"/>
      <c r="VBC55" s="113"/>
      <c r="VBD55" s="113"/>
      <c r="VBE55" s="113"/>
      <c r="VBF55" s="113"/>
      <c r="VBG55" s="113"/>
      <c r="VBH55" s="113"/>
      <c r="VBI55" s="113"/>
      <c r="VBJ55" s="113"/>
      <c r="VBK55" s="113"/>
      <c r="VBL55" s="113"/>
      <c r="VBM55" s="113"/>
      <c r="VBN55" s="113"/>
      <c r="VBO55" s="113"/>
      <c r="VBP55" s="113"/>
      <c r="VBQ55" s="113"/>
      <c r="VBR55" s="113"/>
      <c r="VBS55" s="113"/>
      <c r="VBT55" s="113"/>
      <c r="VBU55" s="113"/>
      <c r="VBV55" s="113"/>
      <c r="VBW55" s="113"/>
      <c r="VBX55" s="113"/>
      <c r="VBY55" s="113"/>
      <c r="VBZ55" s="113"/>
      <c r="VCA55" s="113"/>
      <c r="VCB55" s="113"/>
      <c r="VCC55" s="113"/>
      <c r="VCD55" s="113"/>
      <c r="VCE55" s="113"/>
      <c r="VCF55" s="113"/>
      <c r="VCG55" s="113"/>
      <c r="VCH55" s="113"/>
      <c r="VCI55" s="113"/>
      <c r="VCJ55" s="113"/>
      <c r="VCK55" s="113"/>
      <c r="VCL55" s="113"/>
      <c r="VCM55" s="113"/>
      <c r="VCN55" s="113"/>
      <c r="VCO55" s="113"/>
      <c r="VCP55" s="113"/>
      <c r="VCQ55" s="113"/>
      <c r="VCR55" s="113"/>
      <c r="VCS55" s="113"/>
      <c r="VCT55" s="113"/>
      <c r="VCU55" s="113"/>
      <c r="VCV55" s="113"/>
      <c r="VCW55" s="113"/>
      <c r="VCX55" s="113"/>
      <c r="VCY55" s="113"/>
      <c r="VCZ55" s="113"/>
      <c r="VDA55" s="113"/>
      <c r="VDB55" s="113"/>
      <c r="VDC55" s="113"/>
      <c r="VDD55" s="113"/>
      <c r="VDE55" s="113"/>
      <c r="VDF55" s="113"/>
      <c r="VDG55" s="113"/>
      <c r="VDH55" s="113"/>
      <c r="VDI55" s="113"/>
      <c r="VDJ55" s="113"/>
      <c r="VDK55" s="113"/>
      <c r="VDL55" s="113"/>
      <c r="VDM55" s="113"/>
      <c r="VDN55" s="113"/>
      <c r="VDO55" s="113"/>
      <c r="VDP55" s="113"/>
      <c r="VDQ55" s="113"/>
      <c r="VDR55" s="113"/>
      <c r="VDS55" s="113"/>
      <c r="VDT55" s="113"/>
      <c r="VDU55" s="113"/>
      <c r="VDV55" s="113"/>
      <c r="VDW55" s="113"/>
      <c r="VDX55" s="113"/>
      <c r="VDY55" s="113"/>
      <c r="VDZ55" s="113"/>
      <c r="VEA55" s="113"/>
      <c r="VEB55" s="113"/>
      <c r="VEC55" s="113"/>
      <c r="VED55" s="113"/>
      <c r="VEE55" s="113"/>
      <c r="VEF55" s="113"/>
      <c r="VEG55" s="113"/>
      <c r="VEH55" s="113"/>
      <c r="VEI55" s="113"/>
      <c r="VEJ55" s="113"/>
      <c r="VEK55" s="113"/>
      <c r="VEL55" s="113"/>
      <c r="VEM55" s="113"/>
      <c r="VEN55" s="113"/>
      <c r="VEO55" s="113"/>
      <c r="VEP55" s="113"/>
      <c r="VEQ55" s="113"/>
      <c r="VER55" s="113"/>
      <c r="VES55" s="113"/>
      <c r="VET55" s="113"/>
      <c r="VEU55" s="113"/>
      <c r="VEV55" s="113"/>
      <c r="VEW55" s="113"/>
      <c r="VEX55" s="113"/>
      <c r="VEY55" s="113"/>
      <c r="VEZ55" s="113"/>
      <c r="VFA55" s="113"/>
      <c r="VFB55" s="113"/>
      <c r="VFC55" s="113"/>
      <c r="VFD55" s="113"/>
      <c r="VFE55" s="113"/>
      <c r="VFF55" s="113"/>
      <c r="VFG55" s="113"/>
      <c r="VFH55" s="113"/>
      <c r="VFI55" s="113"/>
      <c r="VFJ55" s="113"/>
      <c r="VFK55" s="113"/>
      <c r="VFL55" s="113"/>
      <c r="VFM55" s="113"/>
      <c r="VFN55" s="113"/>
      <c r="VFO55" s="113"/>
      <c r="VFP55" s="113"/>
      <c r="VFQ55" s="113"/>
      <c r="VFR55" s="113"/>
      <c r="VFS55" s="113"/>
      <c r="VFT55" s="113"/>
      <c r="VFU55" s="113"/>
      <c r="VFV55" s="113"/>
      <c r="VFW55" s="113"/>
      <c r="VFX55" s="113"/>
      <c r="VFY55" s="113"/>
      <c r="VFZ55" s="113"/>
      <c r="VGA55" s="113"/>
      <c r="VGB55" s="113"/>
      <c r="VGC55" s="113"/>
      <c r="VGD55" s="113"/>
      <c r="VGE55" s="113"/>
      <c r="VGF55" s="113"/>
      <c r="VGG55" s="113"/>
      <c r="VGH55" s="113"/>
      <c r="VGI55" s="113"/>
      <c r="VGJ55" s="113"/>
      <c r="VGK55" s="113"/>
      <c r="VGL55" s="113"/>
      <c r="VGM55" s="113"/>
      <c r="VGN55" s="113"/>
      <c r="VGO55" s="113"/>
      <c r="VGP55" s="113"/>
      <c r="VGQ55" s="113"/>
      <c r="VGR55" s="113"/>
      <c r="VGS55" s="113"/>
      <c r="VGT55" s="113"/>
      <c r="VGU55" s="113"/>
      <c r="VGV55" s="113"/>
      <c r="VGW55" s="113"/>
      <c r="VGX55" s="113"/>
      <c r="VGY55" s="113"/>
      <c r="VGZ55" s="113"/>
      <c r="VHA55" s="113"/>
      <c r="VHB55" s="113"/>
      <c r="VHC55" s="113"/>
      <c r="VHD55" s="113"/>
      <c r="VHE55" s="113"/>
      <c r="VHF55" s="113"/>
      <c r="VHG55" s="113"/>
      <c r="VHH55" s="113"/>
      <c r="VHI55" s="113"/>
      <c r="VHJ55" s="113"/>
      <c r="VHK55" s="113"/>
      <c r="VHL55" s="113"/>
      <c r="VHM55" s="113"/>
      <c r="VHN55" s="113"/>
      <c r="VHO55" s="113"/>
      <c r="VHP55" s="113"/>
      <c r="VHQ55" s="113"/>
      <c r="VHR55" s="113"/>
      <c r="VHS55" s="113"/>
      <c r="VHT55" s="113"/>
      <c r="VHU55" s="113"/>
      <c r="VHV55" s="113"/>
      <c r="VHW55" s="113"/>
      <c r="VHX55" s="113"/>
      <c r="VHY55" s="113"/>
      <c r="VHZ55" s="113"/>
      <c r="VIA55" s="113"/>
      <c r="VIB55" s="113"/>
      <c r="VIC55" s="113"/>
      <c r="VID55" s="113"/>
      <c r="VIE55" s="113"/>
      <c r="VIF55" s="113"/>
      <c r="VIG55" s="113"/>
      <c r="VIH55" s="113"/>
      <c r="VII55" s="113"/>
      <c r="VIJ55" s="113"/>
      <c r="VIK55" s="113"/>
      <c r="VIL55" s="113"/>
      <c r="VIM55" s="113"/>
      <c r="VIN55" s="113"/>
      <c r="VIO55" s="113"/>
      <c r="VIP55" s="113"/>
      <c r="VIQ55" s="113"/>
      <c r="VIR55" s="113"/>
      <c r="VIS55" s="113"/>
      <c r="VIT55" s="113"/>
      <c r="VIU55" s="113"/>
      <c r="VIV55" s="113"/>
      <c r="VIW55" s="113"/>
      <c r="VIX55" s="113"/>
      <c r="VIY55" s="113"/>
      <c r="VIZ55" s="113"/>
      <c r="VJA55" s="113"/>
      <c r="VJB55" s="113"/>
      <c r="VJC55" s="113"/>
      <c r="VJD55" s="113"/>
      <c r="VJE55" s="113"/>
      <c r="VJF55" s="113"/>
      <c r="VJG55" s="113"/>
      <c r="VJH55" s="113"/>
      <c r="VJI55" s="113"/>
      <c r="VJJ55" s="113"/>
      <c r="VJK55" s="113"/>
      <c r="VJL55" s="113"/>
      <c r="VJM55" s="113"/>
      <c r="VJN55" s="113"/>
      <c r="VJO55" s="113"/>
      <c r="VJP55" s="113"/>
      <c r="VJQ55" s="113"/>
      <c r="VJR55" s="113"/>
      <c r="VJS55" s="113"/>
      <c r="VJT55" s="113"/>
      <c r="VJU55" s="113"/>
      <c r="VJV55" s="113"/>
      <c r="VJW55" s="113"/>
      <c r="VJX55" s="113"/>
      <c r="VJY55" s="113"/>
      <c r="VJZ55" s="113"/>
      <c r="VKA55" s="113"/>
      <c r="VKB55" s="113"/>
      <c r="VKC55" s="113"/>
      <c r="VKD55" s="113"/>
      <c r="VKE55" s="113"/>
      <c r="VKF55" s="113"/>
      <c r="VKG55" s="113"/>
      <c r="VKH55" s="113"/>
      <c r="VKI55" s="113"/>
      <c r="VKJ55" s="113"/>
      <c r="VKK55" s="113"/>
      <c r="VKL55" s="113"/>
      <c r="VKM55" s="113"/>
      <c r="VKN55" s="113"/>
      <c r="VKO55" s="113"/>
      <c r="VKP55" s="113"/>
      <c r="VKQ55" s="113"/>
      <c r="VKR55" s="113"/>
      <c r="VKS55" s="113"/>
      <c r="VKT55" s="113"/>
      <c r="VKU55" s="113"/>
      <c r="VKV55" s="113"/>
      <c r="VKW55" s="113"/>
      <c r="VKX55" s="113"/>
      <c r="VKY55" s="113"/>
      <c r="VKZ55" s="113"/>
      <c r="VLA55" s="113"/>
      <c r="VLB55" s="113"/>
      <c r="VLC55" s="113"/>
      <c r="VLD55" s="113"/>
      <c r="VLE55" s="113"/>
      <c r="VLF55" s="113"/>
      <c r="VLG55" s="113"/>
      <c r="VLH55" s="113"/>
      <c r="VLI55" s="113"/>
      <c r="VLJ55" s="113"/>
      <c r="VLK55" s="113"/>
      <c r="VLL55" s="113"/>
      <c r="VLM55" s="113"/>
      <c r="VLN55" s="113"/>
      <c r="VLO55" s="113"/>
      <c r="VLP55" s="113"/>
      <c r="VLQ55" s="113"/>
      <c r="VLR55" s="113"/>
      <c r="VLS55" s="113"/>
      <c r="VLT55" s="113"/>
      <c r="VLU55" s="113"/>
      <c r="VLV55" s="113"/>
      <c r="VLW55" s="113"/>
      <c r="VLX55" s="113"/>
      <c r="VLY55" s="113"/>
      <c r="VLZ55" s="113"/>
      <c r="VMA55" s="113"/>
      <c r="VMB55" s="113"/>
      <c r="VMC55" s="113"/>
      <c r="VMD55" s="113"/>
      <c r="VME55" s="113"/>
      <c r="VMF55" s="113"/>
      <c r="VMG55" s="113"/>
      <c r="VMH55" s="113"/>
      <c r="VMI55" s="113"/>
      <c r="VMJ55" s="113"/>
      <c r="VMK55" s="113"/>
      <c r="VML55" s="113"/>
      <c r="VMM55" s="113"/>
      <c r="VMN55" s="113"/>
      <c r="VMO55" s="113"/>
      <c r="VMP55" s="113"/>
      <c r="VMQ55" s="113"/>
      <c r="VMR55" s="113"/>
      <c r="VMS55" s="113"/>
      <c r="VMT55" s="113"/>
      <c r="VMU55" s="113"/>
      <c r="VMV55" s="113"/>
      <c r="VMW55" s="113"/>
      <c r="VMX55" s="113"/>
      <c r="VMY55" s="113"/>
      <c r="VMZ55" s="113"/>
      <c r="VNA55" s="113"/>
      <c r="VNB55" s="113"/>
      <c r="VNC55" s="113"/>
      <c r="VND55" s="113"/>
      <c r="VNE55" s="113"/>
      <c r="VNF55" s="113"/>
      <c r="VNG55" s="113"/>
      <c r="VNH55" s="113"/>
      <c r="VNI55" s="113"/>
      <c r="VNJ55" s="113"/>
      <c r="VNK55" s="113"/>
      <c r="VNL55" s="113"/>
      <c r="VNM55" s="113"/>
      <c r="VNN55" s="113"/>
      <c r="VNO55" s="113"/>
      <c r="VNP55" s="113"/>
      <c r="VNQ55" s="113"/>
      <c r="VNR55" s="113"/>
      <c r="VNS55" s="113"/>
      <c r="VNT55" s="113"/>
      <c r="VNU55" s="113"/>
      <c r="VNV55" s="113"/>
      <c r="VNW55" s="113"/>
      <c r="VNX55" s="113"/>
      <c r="VNY55" s="113"/>
      <c r="VNZ55" s="113"/>
      <c r="VOA55" s="113"/>
      <c r="VOB55" s="113"/>
      <c r="VOC55" s="113"/>
      <c r="VOD55" s="113"/>
      <c r="VOE55" s="113"/>
      <c r="VOF55" s="113"/>
      <c r="VOG55" s="113"/>
      <c r="VOH55" s="113"/>
      <c r="VOI55" s="113"/>
      <c r="VOJ55" s="113"/>
      <c r="VOK55" s="113"/>
      <c r="VOL55" s="113"/>
      <c r="VOM55" s="113"/>
      <c r="VON55" s="113"/>
      <c r="VOO55" s="113"/>
      <c r="VOP55" s="113"/>
      <c r="VOQ55" s="113"/>
      <c r="VOR55" s="113"/>
      <c r="VOS55" s="113"/>
      <c r="VOT55" s="113"/>
      <c r="VOU55" s="113"/>
      <c r="VOV55" s="113"/>
      <c r="VOW55" s="113"/>
      <c r="VOX55" s="113"/>
      <c r="VOY55" s="113"/>
      <c r="VOZ55" s="113"/>
      <c r="VPA55" s="113"/>
      <c r="VPB55" s="113"/>
      <c r="VPC55" s="113"/>
      <c r="VPD55" s="113"/>
      <c r="VPE55" s="113"/>
      <c r="VPF55" s="113"/>
      <c r="VPG55" s="113"/>
      <c r="VPH55" s="113"/>
      <c r="VPI55" s="113"/>
      <c r="VPJ55" s="113"/>
      <c r="VPK55" s="113"/>
      <c r="VPL55" s="113"/>
      <c r="VPM55" s="113"/>
      <c r="VPN55" s="113"/>
      <c r="VPO55" s="113"/>
      <c r="VPP55" s="113"/>
      <c r="VPQ55" s="113"/>
      <c r="VPR55" s="113"/>
      <c r="VPS55" s="113"/>
      <c r="VPT55" s="113"/>
      <c r="VPU55" s="113"/>
      <c r="VPV55" s="113"/>
      <c r="VPW55" s="113"/>
      <c r="VPX55" s="113"/>
      <c r="VPY55" s="113"/>
      <c r="VPZ55" s="113"/>
      <c r="VQA55" s="113"/>
      <c r="VQB55" s="113"/>
      <c r="VQC55" s="113"/>
      <c r="VQD55" s="113"/>
      <c r="VQE55" s="113"/>
      <c r="VQF55" s="113"/>
      <c r="VQG55" s="113"/>
      <c r="VQH55" s="113"/>
      <c r="VQI55" s="113"/>
      <c r="VQJ55" s="113"/>
      <c r="VQK55" s="113"/>
      <c r="VQL55" s="113"/>
      <c r="VQM55" s="113"/>
      <c r="VQN55" s="113"/>
      <c r="VQO55" s="113"/>
      <c r="VQP55" s="113"/>
      <c r="VQQ55" s="113"/>
      <c r="VQR55" s="113"/>
      <c r="VQS55" s="113"/>
      <c r="VQT55" s="113"/>
      <c r="VQU55" s="113"/>
      <c r="VQV55" s="113"/>
      <c r="VQW55" s="113"/>
      <c r="VQX55" s="113"/>
      <c r="VQY55" s="113"/>
      <c r="VQZ55" s="113"/>
      <c r="VRA55" s="113"/>
      <c r="VRB55" s="113"/>
      <c r="VRC55" s="113"/>
      <c r="VRD55" s="113"/>
      <c r="VRE55" s="113"/>
      <c r="VRF55" s="113"/>
      <c r="VRG55" s="113"/>
      <c r="VRH55" s="113"/>
      <c r="VRI55" s="113"/>
      <c r="VRJ55" s="113"/>
      <c r="VRK55" s="113"/>
      <c r="VRL55" s="113"/>
      <c r="VRM55" s="113"/>
      <c r="VRN55" s="113"/>
      <c r="VRO55" s="113"/>
      <c r="VRP55" s="113"/>
      <c r="VRQ55" s="113"/>
      <c r="VRR55" s="113"/>
      <c r="VRS55" s="113"/>
      <c r="VRT55" s="113"/>
      <c r="VRU55" s="113"/>
      <c r="VRV55" s="113"/>
      <c r="VRW55" s="113"/>
      <c r="VRX55" s="113"/>
      <c r="VRY55" s="113"/>
      <c r="VRZ55" s="113"/>
      <c r="VSA55" s="113"/>
      <c r="VSB55" s="113"/>
      <c r="VSC55" s="113"/>
      <c r="VSD55" s="113"/>
      <c r="VSE55" s="113"/>
      <c r="VSF55" s="113"/>
      <c r="VSG55" s="113"/>
      <c r="VSH55" s="113"/>
      <c r="VSI55" s="113"/>
      <c r="VSJ55" s="113"/>
      <c r="VSK55" s="113"/>
      <c r="VSL55" s="113"/>
      <c r="VSM55" s="113"/>
      <c r="VSN55" s="113"/>
      <c r="VSO55" s="113"/>
      <c r="VSP55" s="113"/>
      <c r="VSQ55" s="113"/>
      <c r="VSR55" s="113"/>
      <c r="VSS55" s="113"/>
      <c r="VST55" s="113"/>
      <c r="VSU55" s="113"/>
      <c r="VSV55" s="113"/>
      <c r="VSW55" s="113"/>
      <c r="VSX55" s="113"/>
      <c r="VSY55" s="113"/>
      <c r="VSZ55" s="113"/>
      <c r="VTA55" s="113"/>
      <c r="VTB55" s="113"/>
      <c r="VTC55" s="113"/>
      <c r="VTD55" s="113"/>
      <c r="VTE55" s="113"/>
      <c r="VTF55" s="113"/>
      <c r="VTG55" s="113"/>
      <c r="VTH55" s="113"/>
      <c r="VTI55" s="113"/>
      <c r="VTJ55" s="113"/>
      <c r="VTK55" s="113"/>
      <c r="VTL55" s="113"/>
      <c r="VTM55" s="113"/>
      <c r="VTN55" s="113"/>
      <c r="VTO55" s="113"/>
      <c r="VTP55" s="113"/>
      <c r="VTQ55" s="113"/>
      <c r="VTR55" s="113"/>
      <c r="VTS55" s="113"/>
      <c r="VTT55" s="113"/>
      <c r="VTU55" s="113"/>
      <c r="VTV55" s="113"/>
      <c r="VTW55" s="113"/>
      <c r="VTX55" s="113"/>
      <c r="VTY55" s="113"/>
      <c r="VTZ55" s="113"/>
      <c r="VUA55" s="113"/>
      <c r="VUB55" s="113"/>
      <c r="VUC55" s="113"/>
      <c r="VUD55" s="113"/>
      <c r="VUE55" s="113"/>
      <c r="VUF55" s="113"/>
      <c r="VUG55" s="113"/>
      <c r="VUH55" s="113"/>
      <c r="VUI55" s="113"/>
      <c r="VUJ55" s="113"/>
      <c r="VUK55" s="113"/>
      <c r="VUL55" s="113"/>
      <c r="VUM55" s="113"/>
      <c r="VUN55" s="113"/>
      <c r="VUO55" s="113"/>
      <c r="VUP55" s="113"/>
      <c r="VUQ55" s="113"/>
      <c r="VUR55" s="113"/>
      <c r="VUS55" s="113"/>
      <c r="VUT55" s="113"/>
      <c r="VUU55" s="113"/>
      <c r="VUV55" s="113"/>
      <c r="VUW55" s="113"/>
      <c r="VUX55" s="113"/>
      <c r="VUY55" s="113"/>
      <c r="VUZ55" s="113"/>
      <c r="VVA55" s="113"/>
      <c r="VVB55" s="113"/>
      <c r="VVC55" s="113"/>
      <c r="VVD55" s="113"/>
      <c r="VVE55" s="113"/>
      <c r="VVF55" s="113"/>
      <c r="VVG55" s="113"/>
      <c r="VVH55" s="113"/>
      <c r="VVI55" s="113"/>
      <c r="VVJ55" s="113"/>
      <c r="VVK55" s="113"/>
      <c r="VVL55" s="113"/>
      <c r="VVM55" s="113"/>
      <c r="VVN55" s="113"/>
      <c r="VVO55" s="113"/>
      <c r="VVP55" s="113"/>
      <c r="VVQ55" s="113"/>
      <c r="VVR55" s="113"/>
      <c r="VVS55" s="113"/>
      <c r="VVT55" s="113"/>
      <c r="VVU55" s="113"/>
      <c r="VVV55" s="113"/>
      <c r="VVW55" s="113"/>
      <c r="VVX55" s="113"/>
      <c r="VVY55" s="113"/>
      <c r="VVZ55" s="113"/>
      <c r="VWA55" s="113"/>
      <c r="VWB55" s="113"/>
      <c r="VWC55" s="113"/>
      <c r="VWD55" s="113"/>
      <c r="VWE55" s="113"/>
      <c r="VWF55" s="113"/>
      <c r="VWG55" s="113"/>
      <c r="VWH55" s="113"/>
      <c r="VWI55" s="113"/>
      <c r="VWJ55" s="113"/>
      <c r="VWK55" s="113"/>
      <c r="VWL55" s="113"/>
      <c r="VWM55" s="113"/>
      <c r="VWN55" s="113"/>
      <c r="VWO55" s="113"/>
      <c r="VWP55" s="113"/>
      <c r="VWQ55" s="113"/>
      <c r="VWR55" s="113"/>
      <c r="VWS55" s="113"/>
      <c r="VWT55" s="113"/>
      <c r="VWU55" s="113"/>
      <c r="VWV55" s="113"/>
      <c r="VWW55" s="113"/>
      <c r="VWX55" s="113"/>
      <c r="VWY55" s="113"/>
      <c r="VWZ55" s="113"/>
      <c r="VXA55" s="113"/>
      <c r="VXB55" s="113"/>
      <c r="VXC55" s="113"/>
      <c r="VXD55" s="113"/>
      <c r="VXE55" s="113"/>
      <c r="VXF55" s="113"/>
      <c r="VXG55" s="113"/>
      <c r="VXH55" s="113"/>
      <c r="VXI55" s="113"/>
      <c r="VXJ55" s="113"/>
      <c r="VXK55" s="113"/>
      <c r="VXL55" s="113"/>
      <c r="VXM55" s="113"/>
      <c r="VXN55" s="113"/>
      <c r="VXO55" s="113"/>
      <c r="VXP55" s="113"/>
      <c r="VXQ55" s="113"/>
      <c r="VXR55" s="113"/>
      <c r="VXS55" s="113"/>
      <c r="VXT55" s="113"/>
      <c r="VXU55" s="113"/>
      <c r="VXV55" s="113"/>
      <c r="VXW55" s="113"/>
      <c r="VXX55" s="113"/>
      <c r="VXY55" s="113"/>
      <c r="VXZ55" s="113"/>
      <c r="VYA55" s="113"/>
      <c r="VYB55" s="113"/>
      <c r="VYC55" s="113"/>
      <c r="VYD55" s="113"/>
      <c r="VYE55" s="113"/>
      <c r="VYF55" s="113"/>
      <c r="VYG55" s="113"/>
      <c r="VYH55" s="113"/>
      <c r="VYI55" s="113"/>
      <c r="VYJ55" s="113"/>
      <c r="VYK55" s="113"/>
      <c r="VYL55" s="113"/>
      <c r="VYM55" s="113"/>
      <c r="VYN55" s="113"/>
      <c r="VYO55" s="113"/>
      <c r="VYP55" s="113"/>
      <c r="VYQ55" s="113"/>
      <c r="VYR55" s="113"/>
      <c r="VYS55" s="113"/>
      <c r="VYT55" s="113"/>
      <c r="VYU55" s="113"/>
      <c r="VYV55" s="113"/>
      <c r="VYW55" s="113"/>
      <c r="VYX55" s="113"/>
      <c r="VYY55" s="113"/>
      <c r="VYZ55" s="113"/>
      <c r="VZA55" s="113"/>
      <c r="VZB55" s="113"/>
      <c r="VZC55" s="113"/>
      <c r="VZD55" s="113"/>
      <c r="VZE55" s="113"/>
      <c r="VZF55" s="113"/>
      <c r="VZG55" s="113"/>
      <c r="VZH55" s="113"/>
      <c r="VZI55" s="113"/>
      <c r="VZJ55" s="113"/>
      <c r="VZK55" s="113"/>
      <c r="VZL55" s="113"/>
      <c r="VZM55" s="113"/>
      <c r="VZN55" s="113"/>
      <c r="VZO55" s="113"/>
      <c r="VZP55" s="113"/>
      <c r="VZQ55" s="113"/>
      <c r="VZR55" s="113"/>
      <c r="VZS55" s="113"/>
      <c r="VZT55" s="113"/>
      <c r="VZU55" s="113"/>
      <c r="VZV55" s="113"/>
      <c r="VZW55" s="113"/>
      <c r="VZX55" s="113"/>
      <c r="VZY55" s="113"/>
      <c r="VZZ55" s="113"/>
      <c r="WAA55" s="113"/>
      <c r="WAB55" s="113"/>
      <c r="WAC55" s="113"/>
      <c r="WAD55" s="113"/>
      <c r="WAE55" s="113"/>
      <c r="WAF55" s="113"/>
      <c r="WAG55" s="113"/>
      <c r="WAH55" s="113"/>
      <c r="WAI55" s="113"/>
      <c r="WAJ55" s="113"/>
      <c r="WAK55" s="113"/>
      <c r="WAL55" s="113"/>
      <c r="WAM55" s="113"/>
      <c r="WAN55" s="113"/>
      <c r="WAO55" s="113"/>
      <c r="WAP55" s="113"/>
      <c r="WAQ55" s="113"/>
      <c r="WAR55" s="113"/>
      <c r="WAS55" s="113"/>
      <c r="WAT55" s="113"/>
      <c r="WAU55" s="113"/>
      <c r="WAV55" s="113"/>
      <c r="WAW55" s="113"/>
      <c r="WAX55" s="113"/>
      <c r="WAY55" s="113"/>
      <c r="WAZ55" s="113"/>
      <c r="WBA55" s="113"/>
      <c r="WBB55" s="113"/>
      <c r="WBC55" s="113"/>
      <c r="WBD55" s="113"/>
      <c r="WBE55" s="113"/>
      <c r="WBF55" s="113"/>
      <c r="WBG55" s="113"/>
      <c r="WBH55" s="113"/>
      <c r="WBI55" s="113"/>
      <c r="WBJ55" s="113"/>
      <c r="WBK55" s="113"/>
      <c r="WBL55" s="113"/>
      <c r="WBM55" s="113"/>
      <c r="WBN55" s="113"/>
      <c r="WBO55" s="113"/>
      <c r="WBP55" s="113"/>
      <c r="WBQ55" s="113"/>
      <c r="WBR55" s="113"/>
      <c r="WBS55" s="113"/>
      <c r="WBT55" s="113"/>
      <c r="WBU55" s="113"/>
      <c r="WBV55" s="113"/>
      <c r="WBW55" s="113"/>
      <c r="WBX55" s="113"/>
      <c r="WBY55" s="113"/>
      <c r="WBZ55" s="113"/>
      <c r="WCA55" s="113"/>
      <c r="WCB55" s="113"/>
      <c r="WCC55" s="113"/>
      <c r="WCD55" s="113"/>
      <c r="WCE55" s="113"/>
      <c r="WCF55" s="113"/>
      <c r="WCG55" s="113"/>
      <c r="WCH55" s="113"/>
      <c r="WCI55" s="113"/>
      <c r="WCJ55" s="113"/>
      <c r="WCK55" s="113"/>
      <c r="WCL55" s="113"/>
      <c r="WCM55" s="113"/>
      <c r="WCN55" s="113"/>
      <c r="WCO55" s="113"/>
      <c r="WCP55" s="113"/>
      <c r="WCQ55" s="113"/>
      <c r="WCR55" s="113"/>
      <c r="WCS55" s="113"/>
      <c r="WCT55" s="113"/>
      <c r="WCU55" s="113"/>
      <c r="WCV55" s="113"/>
      <c r="WCW55" s="113"/>
      <c r="WCX55" s="113"/>
      <c r="WCY55" s="113"/>
      <c r="WCZ55" s="113"/>
      <c r="WDA55" s="113"/>
      <c r="WDB55" s="113"/>
      <c r="WDC55" s="113"/>
      <c r="WDD55" s="113"/>
      <c r="WDE55" s="113"/>
      <c r="WDF55" s="113"/>
      <c r="WDG55" s="113"/>
      <c r="WDH55" s="113"/>
      <c r="WDI55" s="113"/>
      <c r="WDJ55" s="113"/>
      <c r="WDK55" s="113"/>
      <c r="WDL55" s="113"/>
      <c r="WDM55" s="113"/>
      <c r="WDN55" s="113"/>
      <c r="WDO55" s="113"/>
      <c r="WDP55" s="113"/>
      <c r="WDQ55" s="113"/>
      <c r="WDR55" s="113"/>
      <c r="WDS55" s="113"/>
      <c r="WDT55" s="113"/>
      <c r="WDU55" s="113"/>
      <c r="WDV55" s="113"/>
      <c r="WDW55" s="113"/>
      <c r="WDX55" s="113"/>
      <c r="WDY55" s="113"/>
      <c r="WDZ55" s="113"/>
      <c r="WEA55" s="113"/>
      <c r="WEB55" s="113"/>
      <c r="WEC55" s="113"/>
      <c r="WED55" s="113"/>
      <c r="WEE55" s="113"/>
      <c r="WEF55" s="113"/>
      <c r="WEG55" s="113"/>
      <c r="WEH55" s="113"/>
      <c r="WEI55" s="113"/>
      <c r="WEJ55" s="113"/>
      <c r="WEK55" s="113"/>
      <c r="WEL55" s="113"/>
      <c r="WEM55" s="113"/>
      <c r="WEN55" s="113"/>
      <c r="WEO55" s="113"/>
      <c r="WEP55" s="113"/>
      <c r="WEQ55" s="113"/>
      <c r="WER55" s="113"/>
      <c r="WES55" s="113"/>
      <c r="WET55" s="113"/>
      <c r="WEU55" s="113"/>
      <c r="WEV55" s="113"/>
      <c r="WEW55" s="113"/>
      <c r="WEX55" s="113"/>
      <c r="WEY55" s="113"/>
      <c r="WEZ55" s="113"/>
      <c r="WFA55" s="113"/>
      <c r="WFB55" s="113"/>
      <c r="WFC55" s="113"/>
      <c r="WFD55" s="113"/>
      <c r="WFE55" s="113"/>
      <c r="WFF55" s="113"/>
      <c r="WFG55" s="113"/>
      <c r="WFH55" s="113"/>
      <c r="WFI55" s="113"/>
      <c r="WFJ55" s="113"/>
      <c r="WFK55" s="113"/>
      <c r="WFL55" s="113"/>
      <c r="WFM55" s="113"/>
      <c r="WFN55" s="113"/>
      <c r="WFO55" s="113"/>
      <c r="WFP55" s="113"/>
      <c r="WFQ55" s="113"/>
      <c r="WFR55" s="113"/>
      <c r="WFS55" s="113"/>
      <c r="WFT55" s="113"/>
      <c r="WFU55" s="113"/>
      <c r="WFV55" s="113"/>
      <c r="WFW55" s="113"/>
      <c r="WFX55" s="113"/>
      <c r="WFY55" s="113"/>
      <c r="WFZ55" s="113"/>
      <c r="WGA55" s="113"/>
      <c r="WGB55" s="113"/>
      <c r="WGC55" s="113"/>
      <c r="WGD55" s="113"/>
      <c r="WGE55" s="113"/>
      <c r="WGF55" s="113"/>
      <c r="WGG55" s="113"/>
      <c r="WGH55" s="113"/>
      <c r="WGI55" s="113"/>
      <c r="WGJ55" s="113"/>
      <c r="WGK55" s="113"/>
      <c r="WGL55" s="113"/>
      <c r="WGM55" s="113"/>
      <c r="WGN55" s="113"/>
      <c r="WGO55" s="113"/>
      <c r="WGP55" s="113"/>
      <c r="WGQ55" s="113"/>
      <c r="WGR55" s="113"/>
      <c r="WGS55" s="113"/>
      <c r="WGT55" s="113"/>
      <c r="WGU55" s="113"/>
      <c r="WGV55" s="113"/>
      <c r="WGW55" s="113"/>
      <c r="WGX55" s="113"/>
      <c r="WGY55" s="113"/>
      <c r="WGZ55" s="113"/>
      <c r="WHA55" s="113"/>
      <c r="WHB55" s="113"/>
      <c r="WHC55" s="113"/>
      <c r="WHD55" s="113"/>
      <c r="WHE55" s="113"/>
      <c r="WHF55" s="113"/>
      <c r="WHG55" s="113"/>
      <c r="WHH55" s="113"/>
      <c r="WHI55" s="113"/>
      <c r="WHJ55" s="113"/>
      <c r="WHK55" s="113"/>
      <c r="WHL55" s="113"/>
      <c r="WHM55" s="113"/>
      <c r="WHN55" s="113"/>
      <c r="WHO55" s="113"/>
      <c r="WHP55" s="113"/>
      <c r="WHQ55" s="113"/>
      <c r="WHR55" s="113"/>
      <c r="WHS55" s="113"/>
      <c r="WHT55" s="113"/>
      <c r="WHU55" s="113"/>
      <c r="WHV55" s="113"/>
      <c r="WHW55" s="113"/>
      <c r="WHX55" s="113"/>
      <c r="WHY55" s="113"/>
      <c r="WHZ55" s="113"/>
      <c r="WIA55" s="113"/>
      <c r="WIB55" s="113"/>
      <c r="WIC55" s="113"/>
      <c r="WID55" s="113"/>
      <c r="WIE55" s="113"/>
      <c r="WIF55" s="113"/>
      <c r="WIG55" s="113"/>
      <c r="WIH55" s="113"/>
      <c r="WII55" s="113"/>
      <c r="WIJ55" s="113"/>
      <c r="WIK55" s="113"/>
      <c r="WIL55" s="113"/>
      <c r="WIM55" s="113"/>
      <c r="WIN55" s="113"/>
      <c r="WIO55" s="113"/>
      <c r="WIP55" s="113"/>
      <c r="WIQ55" s="113"/>
      <c r="WIR55" s="113"/>
      <c r="WIS55" s="113"/>
      <c r="WIT55" s="113"/>
      <c r="WIU55" s="113"/>
      <c r="WIV55" s="113"/>
      <c r="WIW55" s="113"/>
      <c r="WIX55" s="113"/>
      <c r="WIY55" s="113"/>
      <c r="WIZ55" s="113"/>
      <c r="WJA55" s="113"/>
      <c r="WJB55" s="113"/>
      <c r="WJC55" s="113"/>
      <c r="WJD55" s="113"/>
      <c r="WJE55" s="113"/>
      <c r="WJF55" s="113"/>
      <c r="WJG55" s="113"/>
      <c r="WJH55" s="113"/>
      <c r="WJI55" s="113"/>
      <c r="WJJ55" s="113"/>
      <c r="WJK55" s="113"/>
      <c r="WJL55" s="113"/>
      <c r="WJM55" s="113"/>
      <c r="WJN55" s="113"/>
      <c r="WJO55" s="113"/>
      <c r="WJP55" s="113"/>
      <c r="WJQ55" s="113"/>
      <c r="WJR55" s="113"/>
      <c r="WJS55" s="113"/>
      <c r="WJT55" s="113"/>
      <c r="WJU55" s="113"/>
      <c r="WJV55" s="113"/>
      <c r="WJW55" s="113"/>
      <c r="WJX55" s="113"/>
      <c r="WJY55" s="113"/>
      <c r="WJZ55" s="113"/>
      <c r="WKA55" s="113"/>
      <c r="WKB55" s="113"/>
      <c r="WKC55" s="113"/>
      <c r="WKD55" s="113"/>
      <c r="WKE55" s="113"/>
      <c r="WKF55" s="113"/>
      <c r="WKG55" s="113"/>
      <c r="WKH55" s="113"/>
      <c r="WKI55" s="113"/>
      <c r="WKJ55" s="113"/>
      <c r="WKK55" s="113"/>
      <c r="WKL55" s="113"/>
      <c r="WKM55" s="113"/>
      <c r="WKN55" s="113"/>
      <c r="WKO55" s="113"/>
      <c r="WKP55" s="113"/>
      <c r="WKQ55" s="113"/>
      <c r="WKR55" s="113"/>
      <c r="WKS55" s="113"/>
      <c r="WKT55" s="113"/>
      <c r="WKU55" s="113"/>
      <c r="WKV55" s="113"/>
      <c r="WKW55" s="113"/>
      <c r="WKX55" s="113"/>
      <c r="WKY55" s="113"/>
      <c r="WKZ55" s="113"/>
      <c r="WLA55" s="113"/>
      <c r="WLB55" s="113"/>
      <c r="WLC55" s="113"/>
      <c r="WLD55" s="113"/>
      <c r="WLE55" s="113"/>
      <c r="WLF55" s="113"/>
      <c r="WLG55" s="113"/>
      <c r="WLH55" s="113"/>
      <c r="WLI55" s="113"/>
      <c r="WLJ55" s="113"/>
      <c r="WLK55" s="113"/>
      <c r="WLL55" s="113"/>
      <c r="WLM55" s="113"/>
      <c r="WLN55" s="113"/>
      <c r="WLO55" s="113"/>
      <c r="WLP55" s="113"/>
      <c r="WLQ55" s="113"/>
      <c r="WLR55" s="113"/>
      <c r="WLS55" s="113"/>
      <c r="WLT55" s="113"/>
      <c r="WLU55" s="113"/>
      <c r="WLV55" s="113"/>
      <c r="WLW55" s="113"/>
      <c r="WLX55" s="113"/>
      <c r="WLY55" s="113"/>
      <c r="WLZ55" s="113"/>
      <c r="WMA55" s="113"/>
      <c r="WMB55" s="113"/>
      <c r="WMC55" s="113"/>
      <c r="WMD55" s="113"/>
      <c r="WME55" s="113"/>
      <c r="WMF55" s="113"/>
      <c r="WMG55" s="113"/>
      <c r="WMH55" s="113"/>
      <c r="WMI55" s="113"/>
      <c r="WMJ55" s="113"/>
      <c r="WMK55" s="113"/>
      <c r="WML55" s="113"/>
      <c r="WMM55" s="113"/>
      <c r="WMN55" s="113"/>
      <c r="WMO55" s="113"/>
      <c r="WMP55" s="113"/>
      <c r="WMQ55" s="113"/>
      <c r="WMR55" s="113"/>
      <c r="WMS55" s="113"/>
      <c r="WMT55" s="113"/>
      <c r="WMU55" s="113"/>
      <c r="WMV55" s="113"/>
      <c r="WMW55" s="113"/>
      <c r="WMX55" s="113"/>
      <c r="WMY55" s="113"/>
      <c r="WMZ55" s="113"/>
      <c r="WNA55" s="113"/>
      <c r="WNB55" s="113"/>
      <c r="WNC55" s="113"/>
      <c r="WND55" s="113"/>
      <c r="WNE55" s="113"/>
      <c r="WNF55" s="113"/>
      <c r="WNG55" s="113"/>
      <c r="WNH55" s="113"/>
      <c r="WNI55" s="113"/>
      <c r="WNJ55" s="113"/>
      <c r="WNK55" s="113"/>
      <c r="WNL55" s="113"/>
      <c r="WNM55" s="113"/>
      <c r="WNN55" s="113"/>
      <c r="WNO55" s="113"/>
      <c r="WNP55" s="113"/>
      <c r="WNQ55" s="113"/>
      <c r="WNR55" s="113"/>
      <c r="WNS55" s="113"/>
      <c r="WNT55" s="113"/>
      <c r="WNU55" s="113"/>
      <c r="WNV55" s="113"/>
      <c r="WNW55" s="113"/>
      <c r="WNX55" s="113"/>
      <c r="WNY55" s="113"/>
      <c r="WNZ55" s="113"/>
      <c r="WOA55" s="113"/>
      <c r="WOB55" s="113"/>
      <c r="WOC55" s="113"/>
      <c r="WOD55" s="113"/>
      <c r="WOE55" s="113"/>
      <c r="WOF55" s="113"/>
      <c r="WOG55" s="113"/>
      <c r="WOH55" s="113"/>
      <c r="WOI55" s="113"/>
      <c r="WOJ55" s="113"/>
      <c r="WOK55" s="113"/>
      <c r="WOL55" s="113"/>
      <c r="WOM55" s="113"/>
      <c r="WON55" s="113"/>
      <c r="WOO55" s="113"/>
      <c r="WOP55" s="113"/>
      <c r="WOQ55" s="113"/>
      <c r="WOR55" s="113"/>
      <c r="WOS55" s="113"/>
      <c r="WOT55" s="113"/>
      <c r="WOU55" s="113"/>
      <c r="WOV55" s="113"/>
      <c r="WOW55" s="113"/>
      <c r="WOX55" s="113"/>
      <c r="WOY55" s="113"/>
      <c r="WOZ55" s="113"/>
      <c r="WPA55" s="113"/>
      <c r="WPB55" s="113"/>
      <c r="WPC55" s="113"/>
      <c r="WPD55" s="113"/>
      <c r="WPE55" s="113"/>
      <c r="WPF55" s="113"/>
      <c r="WPG55" s="113"/>
      <c r="WPH55" s="113"/>
      <c r="WPI55" s="113"/>
      <c r="WPJ55" s="113"/>
      <c r="WPK55" s="113"/>
      <c r="WPL55" s="113"/>
      <c r="WPM55" s="113"/>
      <c r="WPN55" s="113"/>
      <c r="WPO55" s="113"/>
      <c r="WPP55" s="113"/>
      <c r="WPQ55" s="113"/>
      <c r="WPR55" s="113"/>
      <c r="WPS55" s="113"/>
      <c r="WPT55" s="113"/>
      <c r="WPU55" s="113"/>
      <c r="WPV55" s="113"/>
      <c r="WPW55" s="113"/>
      <c r="WPX55" s="113"/>
      <c r="WPY55" s="113"/>
      <c r="WPZ55" s="113"/>
      <c r="WQA55" s="113"/>
      <c r="WQB55" s="113"/>
      <c r="WQC55" s="113"/>
      <c r="WQD55" s="113"/>
      <c r="WQE55" s="113"/>
      <c r="WQF55" s="113"/>
      <c r="WQG55" s="113"/>
      <c r="WQH55" s="113"/>
      <c r="WQI55" s="113"/>
      <c r="WQJ55" s="113"/>
      <c r="WQK55" s="113"/>
      <c r="WQL55" s="113"/>
      <c r="WQM55" s="113"/>
      <c r="WQN55" s="113"/>
      <c r="WQO55" s="113"/>
      <c r="WQP55" s="113"/>
      <c r="WQQ55" s="113"/>
      <c r="WQR55" s="113"/>
      <c r="WQS55" s="113"/>
      <c r="WQT55" s="113"/>
      <c r="WQU55" s="113"/>
      <c r="WQV55" s="113"/>
      <c r="WQW55" s="113"/>
      <c r="WQX55" s="113"/>
      <c r="WQY55" s="113"/>
      <c r="WQZ55" s="113"/>
      <c r="WRA55" s="113"/>
      <c r="WRB55" s="113"/>
      <c r="WRC55" s="113"/>
      <c r="WRD55" s="113"/>
      <c r="WRE55" s="113"/>
      <c r="WRF55" s="113"/>
      <c r="WRG55" s="113"/>
      <c r="WRH55" s="113"/>
      <c r="WRI55" s="113"/>
      <c r="WRJ55" s="113"/>
      <c r="WRK55" s="113"/>
      <c r="WRL55" s="113"/>
      <c r="WRM55" s="113"/>
      <c r="WRN55" s="113"/>
      <c r="WRO55" s="113"/>
      <c r="WRP55" s="113"/>
      <c r="WRQ55" s="113"/>
      <c r="WRR55" s="113"/>
      <c r="WRS55" s="113"/>
      <c r="WRT55" s="113"/>
      <c r="WRU55" s="113"/>
      <c r="WRV55" s="113"/>
      <c r="WRW55" s="113"/>
      <c r="WRX55" s="113"/>
      <c r="WRY55" s="113"/>
      <c r="WRZ55" s="113"/>
      <c r="WSA55" s="113"/>
      <c r="WSB55" s="113"/>
      <c r="WSC55" s="113"/>
      <c r="WSD55" s="113"/>
      <c r="WSE55" s="113"/>
      <c r="WSF55" s="113"/>
      <c r="WSG55" s="113"/>
      <c r="WSH55" s="113"/>
      <c r="WSI55" s="113"/>
      <c r="WSJ55" s="113"/>
      <c r="WSK55" s="113"/>
      <c r="WSL55" s="113"/>
      <c r="WSM55" s="113"/>
      <c r="WSN55" s="113"/>
      <c r="WSO55" s="113"/>
      <c r="WSP55" s="113"/>
      <c r="WSQ55" s="113"/>
      <c r="WSR55" s="113"/>
      <c r="WSS55" s="113"/>
      <c r="WST55" s="113"/>
      <c r="WSU55" s="113"/>
      <c r="WSV55" s="113"/>
      <c r="WSW55" s="113"/>
      <c r="WSX55" s="113"/>
      <c r="WSY55" s="113"/>
      <c r="WSZ55" s="113"/>
      <c r="WTA55" s="113"/>
      <c r="WTB55" s="113"/>
      <c r="WTC55" s="113"/>
      <c r="WTD55" s="113"/>
      <c r="WTE55" s="113"/>
      <c r="WTF55" s="113"/>
      <c r="WTG55" s="113"/>
      <c r="WTH55" s="113"/>
      <c r="WTI55" s="113"/>
      <c r="WTJ55" s="113"/>
      <c r="WTK55" s="113"/>
      <c r="WTL55" s="113"/>
      <c r="WTM55" s="113"/>
      <c r="WTN55" s="113"/>
      <c r="WTO55" s="113"/>
      <c r="WTP55" s="113"/>
      <c r="WTQ55" s="113"/>
      <c r="WTR55" s="113"/>
      <c r="WTS55" s="113"/>
      <c r="WTT55" s="113"/>
      <c r="WTU55" s="113"/>
      <c r="WTV55" s="113"/>
      <c r="WTW55" s="113"/>
      <c r="WTX55" s="113"/>
      <c r="WTY55" s="113"/>
      <c r="WTZ55" s="113"/>
      <c r="WUA55" s="113"/>
      <c r="WUB55" s="113"/>
      <c r="WUC55" s="113"/>
      <c r="WUD55" s="113"/>
      <c r="WUE55" s="113"/>
      <c r="WUF55" s="113"/>
      <c r="WUG55" s="113"/>
      <c r="WUH55" s="113"/>
      <c r="WUI55" s="113"/>
      <c r="WUJ55" s="113"/>
      <c r="WUK55" s="113"/>
      <c r="WUL55" s="113"/>
      <c r="WUM55" s="113"/>
      <c r="WUN55" s="113"/>
      <c r="WUO55" s="113"/>
      <c r="WUP55" s="113"/>
      <c r="WUQ55" s="113"/>
      <c r="WUR55" s="113"/>
      <c r="WUS55" s="113"/>
      <c r="WUT55" s="113"/>
      <c r="WUU55" s="113"/>
      <c r="WUV55" s="113"/>
      <c r="WUW55" s="113"/>
      <c r="WUX55" s="113"/>
      <c r="WUY55" s="113"/>
      <c r="WUZ55" s="113"/>
      <c r="WVA55" s="113"/>
      <c r="WVB55" s="113"/>
      <c r="WVC55" s="113"/>
      <c r="WVD55" s="113"/>
      <c r="WVE55" s="113"/>
      <c r="WVF55" s="113"/>
      <c r="WVG55" s="113"/>
      <c r="WVH55" s="113"/>
      <c r="WVI55" s="113"/>
      <c r="WVJ55" s="113"/>
      <c r="WVK55" s="113"/>
      <c r="WVL55" s="113"/>
      <c r="WVM55" s="113"/>
      <c r="WVN55" s="113"/>
      <c r="WVO55" s="113"/>
      <c r="WVP55" s="113"/>
      <c r="WVQ55" s="113"/>
      <c r="WVR55" s="113"/>
      <c r="WVS55" s="113"/>
      <c r="WVT55" s="113"/>
      <c r="WVU55" s="113"/>
      <c r="WVV55" s="113"/>
      <c r="WVW55" s="113"/>
      <c r="WVX55" s="113"/>
      <c r="WVY55" s="113"/>
      <c r="WVZ55" s="113"/>
      <c r="WWA55" s="113"/>
      <c r="WWB55" s="113"/>
      <c r="WWC55" s="113"/>
      <c r="WWD55" s="113"/>
      <c r="WWE55" s="113"/>
      <c r="WWF55" s="113"/>
      <c r="WWG55" s="113"/>
      <c r="WWH55" s="113"/>
      <c r="WWI55" s="113"/>
      <c r="WWJ55" s="113"/>
      <c r="WWK55" s="113"/>
      <c r="WWL55" s="113"/>
      <c r="WWM55" s="113"/>
      <c r="WWN55" s="113"/>
      <c r="WWO55" s="113"/>
      <c r="WWP55" s="113"/>
      <c r="WWQ55" s="113"/>
      <c r="WWR55" s="113"/>
      <c r="WWS55" s="113"/>
      <c r="WWT55" s="113"/>
      <c r="WWU55" s="113"/>
      <c r="WWV55" s="113"/>
      <c r="WWW55" s="113"/>
      <c r="WWX55" s="113"/>
      <c r="WWY55" s="113"/>
      <c r="WWZ55" s="113"/>
      <c r="WXA55" s="113"/>
      <c r="WXB55" s="113"/>
      <c r="WXC55" s="113"/>
      <c r="WXD55" s="113"/>
      <c r="WXE55" s="113"/>
      <c r="WXF55" s="113"/>
      <c r="WXG55" s="113"/>
      <c r="WXH55" s="113"/>
      <c r="WXI55" s="113"/>
      <c r="WXJ55" s="113"/>
      <c r="WXK55" s="113"/>
      <c r="WXL55" s="113"/>
      <c r="WXM55" s="113"/>
      <c r="WXN55" s="113"/>
      <c r="WXO55" s="113"/>
      <c r="WXP55" s="113"/>
      <c r="WXQ55" s="113"/>
      <c r="WXR55" s="113"/>
      <c r="WXS55" s="113"/>
      <c r="WXT55" s="113"/>
      <c r="WXU55" s="113"/>
      <c r="WXV55" s="113"/>
      <c r="WXW55" s="113"/>
      <c r="WXX55" s="113"/>
      <c r="WXY55" s="113"/>
      <c r="WXZ55" s="113"/>
      <c r="WYA55" s="113"/>
      <c r="WYB55" s="113"/>
      <c r="WYC55" s="113"/>
      <c r="WYD55" s="113"/>
      <c r="WYE55" s="113"/>
      <c r="WYF55" s="113"/>
      <c r="WYG55" s="113"/>
      <c r="WYH55" s="113"/>
      <c r="WYI55" s="113"/>
      <c r="WYJ55" s="113"/>
      <c r="WYK55" s="113"/>
      <c r="WYL55" s="113"/>
      <c r="WYM55" s="113"/>
      <c r="WYN55" s="113"/>
      <c r="WYO55" s="113"/>
      <c r="WYP55" s="113"/>
      <c r="WYQ55" s="113"/>
      <c r="WYR55" s="113"/>
      <c r="WYS55" s="113"/>
      <c r="WYT55" s="113"/>
      <c r="WYU55" s="113"/>
      <c r="WYV55" s="113"/>
      <c r="WYW55" s="113"/>
      <c r="WYX55" s="113"/>
      <c r="WYY55" s="113"/>
      <c r="WYZ55" s="113"/>
      <c r="WZA55" s="113"/>
      <c r="WZB55" s="113"/>
      <c r="WZC55" s="113"/>
      <c r="WZD55" s="113"/>
      <c r="WZE55" s="113"/>
      <c r="WZF55" s="113"/>
      <c r="WZG55" s="113"/>
      <c r="WZH55" s="113"/>
      <c r="WZI55" s="113"/>
      <c r="WZJ55" s="113"/>
      <c r="WZK55" s="113"/>
      <c r="WZL55" s="113"/>
      <c r="WZM55" s="113"/>
      <c r="WZN55" s="113"/>
      <c r="WZO55" s="113"/>
      <c r="WZP55" s="113"/>
      <c r="WZQ55" s="113"/>
      <c r="WZR55" s="113"/>
      <c r="WZS55" s="113"/>
      <c r="WZT55" s="113"/>
      <c r="WZU55" s="113"/>
      <c r="WZV55" s="113"/>
      <c r="WZW55" s="113"/>
      <c r="WZX55" s="113"/>
      <c r="WZY55" s="113"/>
      <c r="WZZ55" s="113"/>
      <c r="XAA55" s="113"/>
      <c r="XAB55" s="113"/>
      <c r="XAC55" s="113"/>
      <c r="XAD55" s="113"/>
      <c r="XAE55" s="113"/>
      <c r="XAF55" s="113"/>
      <c r="XAG55" s="113"/>
      <c r="XAH55" s="113"/>
      <c r="XAI55" s="113"/>
      <c r="XAJ55" s="113"/>
      <c r="XAK55" s="113"/>
      <c r="XAL55" s="113"/>
      <c r="XAM55" s="113"/>
      <c r="XAN55" s="113"/>
      <c r="XAO55" s="113"/>
      <c r="XAP55" s="113"/>
      <c r="XAQ55" s="113"/>
      <c r="XAR55" s="113"/>
      <c r="XAS55" s="113"/>
      <c r="XAT55" s="113"/>
      <c r="XAU55" s="113"/>
      <c r="XAV55" s="113"/>
      <c r="XAW55" s="113"/>
      <c r="XAX55" s="113"/>
      <c r="XAY55" s="113"/>
      <c r="XAZ55" s="113"/>
      <c r="XBA55" s="113"/>
      <c r="XBB55" s="113"/>
      <c r="XBC55" s="113"/>
      <c r="XBD55" s="113"/>
      <c r="XBE55" s="113"/>
      <c r="XBF55" s="113"/>
      <c r="XBG55" s="113"/>
      <c r="XBH55" s="113"/>
      <c r="XBI55" s="113"/>
      <c r="XBJ55" s="113"/>
      <c r="XBK55" s="113"/>
      <c r="XBL55" s="113"/>
      <c r="XBM55" s="113"/>
      <c r="XBN55" s="113"/>
      <c r="XBO55" s="113"/>
      <c r="XBP55" s="113"/>
      <c r="XBQ55" s="113"/>
      <c r="XBR55" s="113"/>
      <c r="XBS55" s="113"/>
      <c r="XBT55" s="113"/>
      <c r="XBU55" s="113"/>
      <c r="XBV55" s="113"/>
      <c r="XBW55" s="113"/>
      <c r="XBX55" s="113"/>
      <c r="XBY55" s="113"/>
      <c r="XBZ55" s="113"/>
      <c r="XCA55" s="113"/>
      <c r="XCB55" s="113"/>
      <c r="XCC55" s="113"/>
      <c r="XCD55" s="113"/>
      <c r="XCE55" s="113"/>
      <c r="XCF55" s="113"/>
      <c r="XCG55" s="113"/>
      <c r="XCH55" s="113"/>
      <c r="XCI55" s="113"/>
      <c r="XCJ55" s="113"/>
      <c r="XCK55" s="113"/>
      <c r="XCL55" s="113"/>
      <c r="XCM55" s="113"/>
      <c r="XCN55" s="113"/>
      <c r="XCO55" s="113"/>
      <c r="XCP55" s="113"/>
      <c r="XCQ55" s="113"/>
      <c r="XCR55" s="113"/>
      <c r="XCS55" s="113"/>
      <c r="XCT55" s="113"/>
      <c r="XCU55" s="113"/>
      <c r="XCV55" s="113"/>
      <c r="XCW55" s="113"/>
      <c r="XCX55" s="113"/>
      <c r="XCY55" s="113"/>
      <c r="XCZ55" s="113"/>
      <c r="XDA55" s="113"/>
      <c r="XDB55" s="113"/>
      <c r="XDC55" s="113"/>
      <c r="XDD55" s="113"/>
      <c r="XDE55" s="113"/>
      <c r="XDF55" s="113"/>
      <c r="XDG55" s="113"/>
      <c r="XDH55" s="113"/>
      <c r="XDI55" s="113"/>
      <c r="XDJ55" s="113"/>
      <c r="XDK55" s="113"/>
      <c r="XDL55" s="113"/>
      <c r="XDM55" s="113"/>
      <c r="XDN55" s="113"/>
      <c r="XDO55" s="113"/>
      <c r="XDP55" s="113"/>
      <c r="XDQ55" s="113"/>
      <c r="XDR55" s="113"/>
      <c r="XDS55" s="113"/>
      <c r="XDT55" s="113"/>
      <c r="XDU55" s="113"/>
      <c r="XDV55" s="113"/>
      <c r="XDW55" s="113"/>
      <c r="XDX55" s="113"/>
      <c r="XDY55" s="113"/>
      <c r="XDZ55" s="113"/>
      <c r="XEA55" s="113"/>
      <c r="XEB55" s="113"/>
      <c r="XEC55" s="113"/>
      <c r="XED55" s="113"/>
      <c r="XEE55" s="113"/>
      <c r="XEF55" s="113"/>
      <c r="XEG55" s="113"/>
      <c r="XEH55" s="113"/>
      <c r="XEI55" s="113"/>
      <c r="XEJ55" s="113"/>
      <c r="XEK55" s="113"/>
      <c r="XEL55" s="113"/>
      <c r="XEM55" s="113"/>
      <c r="XEN55" s="113"/>
      <c r="XEO55" s="113"/>
      <c r="XEP55" s="113"/>
      <c r="XEQ55" s="113"/>
      <c r="XER55" s="113"/>
      <c r="XES55" s="113"/>
      <c r="XET55" s="113"/>
      <c r="XEU55" s="113"/>
      <c r="XEV55" s="113"/>
      <c r="XEW55" s="113"/>
      <c r="XEX55" s="113"/>
      <c r="XEY55" s="113"/>
      <c r="XEZ55" s="113"/>
      <c r="XFA55" s="113"/>
      <c r="XFB55" s="113"/>
      <c r="XFC55" s="113"/>
      <c r="XFD55" s="113"/>
    </row>
    <row r="56" spans="1:16384" customFormat="1" ht="18.25" customHeight="1" x14ac:dyDescent="0.2">
      <c r="A56" s="113" t="s">
        <v>904</v>
      </c>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c r="AO56" s="113"/>
      <c r="AP56" s="113"/>
      <c r="AQ56" s="113"/>
      <c r="AR56" s="113"/>
      <c r="AS56" s="113"/>
      <c r="AT56" s="113"/>
      <c r="AU56" s="113"/>
      <c r="AV56" s="113"/>
      <c r="AW56" s="113"/>
      <c r="AX56" s="113"/>
      <c r="AY56" s="113"/>
      <c r="AZ56" s="113"/>
      <c r="BA56" s="113"/>
      <c r="BB56" s="113"/>
      <c r="BC56" s="113"/>
      <c r="BD56" s="113"/>
      <c r="BE56" s="113"/>
      <c r="BF56" s="113"/>
      <c r="BG56" s="113"/>
      <c r="BH56" s="113"/>
      <c r="BI56" s="113"/>
      <c r="BJ56" s="113"/>
      <c r="BK56" s="113"/>
      <c r="BL56" s="113"/>
      <c r="BM56" s="113"/>
      <c r="BN56" s="113"/>
      <c r="BO56" s="113"/>
      <c r="BP56" s="113"/>
      <c r="BQ56" s="113"/>
      <c r="BR56" s="113"/>
      <c r="BS56" s="113"/>
      <c r="BT56" s="113"/>
      <c r="BU56" s="113"/>
      <c r="BV56" s="113"/>
      <c r="BW56" s="113"/>
      <c r="BX56" s="113"/>
      <c r="BY56" s="113"/>
      <c r="BZ56" s="113"/>
      <c r="CA56" s="113"/>
      <c r="CB56" s="113"/>
      <c r="CC56" s="113"/>
      <c r="CD56" s="113"/>
      <c r="CE56" s="113"/>
      <c r="CF56" s="113"/>
      <c r="CG56" s="113"/>
      <c r="CH56" s="113"/>
      <c r="CI56" s="113"/>
      <c r="CJ56" s="113"/>
      <c r="CK56" s="113"/>
      <c r="CL56" s="113"/>
      <c r="CM56" s="113"/>
      <c r="CN56" s="113"/>
      <c r="CO56" s="113"/>
      <c r="CP56" s="113"/>
      <c r="CQ56" s="113"/>
      <c r="CR56" s="113"/>
      <c r="CS56" s="113"/>
      <c r="CT56" s="113"/>
      <c r="CU56" s="113"/>
      <c r="CV56" s="113"/>
      <c r="CW56" s="113"/>
      <c r="CX56" s="113"/>
      <c r="CY56" s="113"/>
      <c r="CZ56" s="113"/>
      <c r="DA56" s="113"/>
      <c r="DB56" s="113"/>
      <c r="DC56" s="113"/>
      <c r="DD56" s="113"/>
      <c r="DE56" s="113"/>
      <c r="DF56" s="113"/>
      <c r="DG56" s="113"/>
      <c r="DH56" s="113"/>
      <c r="DI56" s="113"/>
      <c r="DJ56" s="113"/>
      <c r="DK56" s="113"/>
      <c r="DL56" s="113"/>
      <c r="DM56" s="113"/>
      <c r="DN56" s="113"/>
      <c r="DO56" s="113"/>
      <c r="DP56" s="113"/>
      <c r="DQ56" s="113"/>
      <c r="DR56" s="113"/>
      <c r="DS56" s="113"/>
      <c r="DT56" s="113"/>
      <c r="DU56" s="113"/>
      <c r="DV56" s="113"/>
      <c r="DW56" s="113"/>
      <c r="DX56" s="113"/>
      <c r="DY56" s="113"/>
      <c r="DZ56" s="113"/>
      <c r="EA56" s="113"/>
      <c r="EB56" s="113"/>
      <c r="EC56" s="113"/>
      <c r="ED56" s="113"/>
      <c r="EE56" s="113"/>
      <c r="EF56" s="113"/>
      <c r="EG56" s="113"/>
      <c r="EH56" s="113"/>
      <c r="EI56" s="113"/>
      <c r="EJ56" s="113"/>
      <c r="EK56" s="113"/>
      <c r="EL56" s="113"/>
      <c r="EM56" s="113"/>
      <c r="EN56" s="113"/>
      <c r="EO56" s="113"/>
      <c r="EP56" s="113"/>
      <c r="EQ56" s="113"/>
      <c r="ER56" s="113"/>
      <c r="ES56" s="113"/>
      <c r="ET56" s="113"/>
      <c r="EU56" s="113"/>
      <c r="EV56" s="113"/>
      <c r="EW56" s="113"/>
      <c r="EX56" s="113"/>
      <c r="EY56" s="113"/>
      <c r="EZ56" s="113"/>
      <c r="FA56" s="113"/>
      <c r="FB56" s="113"/>
      <c r="FC56" s="113"/>
      <c r="FD56" s="113"/>
      <c r="FE56" s="113"/>
      <c r="FF56" s="113"/>
      <c r="FG56" s="113"/>
      <c r="FH56" s="113"/>
      <c r="FI56" s="113"/>
      <c r="FJ56" s="113"/>
      <c r="FK56" s="113"/>
      <c r="FL56" s="113"/>
      <c r="FM56" s="113"/>
      <c r="FN56" s="113"/>
      <c r="FO56" s="113"/>
      <c r="FP56" s="113"/>
      <c r="FQ56" s="113"/>
      <c r="FR56" s="113"/>
      <c r="FS56" s="113"/>
      <c r="FT56" s="113"/>
      <c r="FU56" s="113"/>
      <c r="FV56" s="113"/>
      <c r="FW56" s="113"/>
      <c r="FX56" s="113"/>
      <c r="FY56" s="113"/>
      <c r="FZ56" s="113"/>
      <c r="GA56" s="113"/>
      <c r="GB56" s="113"/>
      <c r="GC56" s="113"/>
      <c r="GD56" s="113"/>
      <c r="GE56" s="113"/>
      <c r="GF56" s="113"/>
      <c r="GG56" s="113"/>
      <c r="GH56" s="113"/>
      <c r="GI56" s="113"/>
      <c r="GJ56" s="113"/>
      <c r="GK56" s="113"/>
      <c r="GL56" s="113"/>
      <c r="GM56" s="113"/>
      <c r="GN56" s="113"/>
      <c r="GO56" s="113"/>
      <c r="GP56" s="113"/>
      <c r="GQ56" s="113"/>
      <c r="GR56" s="113"/>
      <c r="GS56" s="113"/>
      <c r="GT56" s="113"/>
      <c r="GU56" s="113"/>
      <c r="GV56" s="113"/>
      <c r="GW56" s="113"/>
      <c r="GX56" s="113"/>
      <c r="GY56" s="113"/>
      <c r="GZ56" s="113"/>
      <c r="HA56" s="113"/>
      <c r="HB56" s="113"/>
      <c r="HC56" s="113"/>
      <c r="HD56" s="113"/>
      <c r="HE56" s="113"/>
      <c r="HF56" s="113"/>
      <c r="HG56" s="113"/>
      <c r="HH56" s="113"/>
      <c r="HI56" s="113"/>
      <c r="HJ56" s="113"/>
      <c r="HK56" s="113"/>
      <c r="HL56" s="113"/>
      <c r="HM56" s="113"/>
      <c r="HN56" s="113"/>
      <c r="HO56" s="113"/>
      <c r="HP56" s="113"/>
      <c r="HQ56" s="113"/>
      <c r="HR56" s="113"/>
      <c r="HS56" s="113"/>
      <c r="HT56" s="113"/>
      <c r="HU56" s="113"/>
      <c r="HV56" s="113"/>
      <c r="HW56" s="113"/>
      <c r="HX56" s="113"/>
      <c r="HY56" s="113"/>
      <c r="HZ56" s="113"/>
      <c r="IA56" s="113"/>
      <c r="IB56" s="113"/>
      <c r="IC56" s="113"/>
      <c r="ID56" s="113"/>
      <c r="IE56" s="113"/>
      <c r="IF56" s="113"/>
      <c r="IG56" s="113"/>
      <c r="IH56" s="113"/>
      <c r="II56" s="113"/>
      <c r="IJ56" s="113"/>
      <c r="IK56" s="113"/>
      <c r="IL56" s="113"/>
      <c r="IM56" s="113"/>
      <c r="IN56" s="113"/>
      <c r="IO56" s="113"/>
      <c r="IP56" s="113"/>
      <c r="IQ56" s="113"/>
      <c r="IR56" s="113"/>
      <c r="IS56" s="113"/>
      <c r="IT56" s="113"/>
      <c r="IU56" s="113"/>
      <c r="IV56" s="113"/>
      <c r="IW56" s="113"/>
      <c r="IX56" s="113"/>
      <c r="IY56" s="113"/>
      <c r="IZ56" s="113"/>
      <c r="JA56" s="113"/>
      <c r="JB56" s="113"/>
      <c r="JC56" s="113"/>
      <c r="JD56" s="113"/>
      <c r="JE56" s="113"/>
      <c r="JF56" s="113"/>
      <c r="JG56" s="113"/>
      <c r="JH56" s="113"/>
      <c r="JI56" s="113"/>
      <c r="JJ56" s="113"/>
      <c r="JK56" s="113"/>
      <c r="JL56" s="113"/>
      <c r="JM56" s="113"/>
      <c r="JN56" s="113"/>
      <c r="JO56" s="113"/>
      <c r="JP56" s="113"/>
      <c r="JQ56" s="113"/>
      <c r="JR56" s="113"/>
      <c r="JS56" s="113"/>
      <c r="JT56" s="113"/>
      <c r="JU56" s="113"/>
      <c r="JV56" s="113"/>
      <c r="JW56" s="113"/>
      <c r="JX56" s="113"/>
      <c r="JY56" s="113"/>
      <c r="JZ56" s="113"/>
      <c r="KA56" s="113"/>
      <c r="KB56" s="113"/>
      <c r="KC56" s="113"/>
      <c r="KD56" s="113"/>
      <c r="KE56" s="113"/>
      <c r="KF56" s="113"/>
      <c r="KG56" s="113"/>
      <c r="KH56" s="113"/>
      <c r="KI56" s="113"/>
      <c r="KJ56" s="113"/>
      <c r="KK56" s="113"/>
      <c r="KL56" s="113"/>
      <c r="KM56" s="113"/>
      <c r="KN56" s="113"/>
      <c r="KO56" s="113"/>
      <c r="KP56" s="113"/>
      <c r="KQ56" s="113"/>
      <c r="KR56" s="113"/>
      <c r="KS56" s="113"/>
      <c r="KT56" s="113"/>
      <c r="KU56" s="113"/>
      <c r="KV56" s="113"/>
      <c r="KW56" s="113"/>
      <c r="KX56" s="113"/>
      <c r="KY56" s="113"/>
      <c r="KZ56" s="113"/>
      <c r="LA56" s="113"/>
      <c r="LB56" s="113"/>
      <c r="LC56" s="113"/>
      <c r="LD56" s="113"/>
      <c r="LE56" s="113"/>
      <c r="LF56" s="113"/>
      <c r="LG56" s="113"/>
      <c r="LH56" s="113"/>
      <c r="LI56" s="113"/>
      <c r="LJ56" s="113"/>
      <c r="LK56" s="113"/>
      <c r="LL56" s="113"/>
      <c r="LM56" s="113"/>
      <c r="LN56" s="113"/>
      <c r="LO56" s="113"/>
      <c r="LP56" s="113"/>
      <c r="LQ56" s="113"/>
      <c r="LR56" s="113"/>
      <c r="LS56" s="113"/>
      <c r="LT56" s="113"/>
      <c r="LU56" s="113"/>
      <c r="LV56" s="113"/>
      <c r="LW56" s="113"/>
      <c r="LX56" s="113"/>
      <c r="LY56" s="113"/>
      <c r="LZ56" s="113"/>
      <c r="MA56" s="113"/>
      <c r="MB56" s="113"/>
      <c r="MC56" s="113"/>
      <c r="MD56" s="113"/>
      <c r="ME56" s="113"/>
      <c r="MF56" s="113"/>
      <c r="MG56" s="113"/>
      <c r="MH56" s="113"/>
      <c r="MI56" s="113"/>
      <c r="MJ56" s="113"/>
      <c r="MK56" s="113"/>
      <c r="ML56" s="113"/>
      <c r="MM56" s="113"/>
      <c r="MN56" s="113"/>
      <c r="MO56" s="113"/>
      <c r="MP56" s="113"/>
      <c r="MQ56" s="113"/>
      <c r="MR56" s="113"/>
      <c r="MS56" s="113"/>
      <c r="MT56" s="113"/>
      <c r="MU56" s="113"/>
      <c r="MV56" s="113"/>
      <c r="MW56" s="113"/>
      <c r="MX56" s="113"/>
      <c r="MY56" s="113"/>
      <c r="MZ56" s="113"/>
      <c r="NA56" s="113"/>
      <c r="NB56" s="113"/>
      <c r="NC56" s="113"/>
      <c r="ND56" s="113"/>
      <c r="NE56" s="113"/>
      <c r="NF56" s="113"/>
      <c r="NG56" s="113"/>
      <c r="NH56" s="113"/>
      <c r="NI56" s="113"/>
      <c r="NJ56" s="113"/>
      <c r="NK56" s="113"/>
      <c r="NL56" s="113"/>
      <c r="NM56" s="113"/>
      <c r="NN56" s="113"/>
      <c r="NO56" s="113"/>
      <c r="NP56" s="113"/>
      <c r="NQ56" s="113"/>
      <c r="NR56" s="113"/>
      <c r="NS56" s="113"/>
      <c r="NT56" s="113"/>
      <c r="NU56" s="113"/>
      <c r="NV56" s="113"/>
      <c r="NW56" s="113"/>
      <c r="NX56" s="113"/>
      <c r="NY56" s="113"/>
      <c r="NZ56" s="113"/>
      <c r="OA56" s="113"/>
      <c r="OB56" s="113"/>
      <c r="OC56" s="113"/>
      <c r="OD56" s="113"/>
      <c r="OE56" s="113"/>
      <c r="OF56" s="113"/>
      <c r="OG56" s="113"/>
      <c r="OH56" s="113"/>
      <c r="OI56" s="113"/>
      <c r="OJ56" s="113"/>
      <c r="OK56" s="113"/>
      <c r="OL56" s="113"/>
      <c r="OM56" s="113"/>
      <c r="ON56" s="113"/>
      <c r="OO56" s="113"/>
      <c r="OP56" s="113"/>
      <c r="OQ56" s="113"/>
      <c r="OR56" s="113"/>
      <c r="OS56" s="113"/>
      <c r="OT56" s="113"/>
      <c r="OU56" s="113"/>
      <c r="OV56" s="113"/>
      <c r="OW56" s="113"/>
      <c r="OX56" s="113"/>
      <c r="OY56" s="113"/>
      <c r="OZ56" s="113"/>
      <c r="PA56" s="113"/>
      <c r="PB56" s="113"/>
      <c r="PC56" s="113"/>
      <c r="PD56" s="113"/>
      <c r="PE56" s="113"/>
      <c r="PF56" s="113"/>
      <c r="PG56" s="113"/>
      <c r="PH56" s="113"/>
      <c r="PI56" s="113"/>
      <c r="PJ56" s="113"/>
      <c r="PK56" s="113"/>
      <c r="PL56" s="113"/>
      <c r="PM56" s="113"/>
      <c r="PN56" s="113"/>
      <c r="PO56" s="113"/>
      <c r="PP56" s="113"/>
      <c r="PQ56" s="113"/>
      <c r="PR56" s="113"/>
      <c r="PS56" s="113"/>
      <c r="PT56" s="113"/>
      <c r="PU56" s="113"/>
      <c r="PV56" s="113"/>
      <c r="PW56" s="113"/>
      <c r="PX56" s="113"/>
      <c r="PY56" s="113"/>
      <c r="PZ56" s="113"/>
      <c r="QA56" s="113"/>
      <c r="QB56" s="113"/>
      <c r="QC56" s="113"/>
      <c r="QD56" s="113"/>
      <c r="QE56" s="113"/>
      <c r="QF56" s="113"/>
      <c r="QG56" s="113"/>
      <c r="QH56" s="113"/>
      <c r="QI56" s="113"/>
      <c r="QJ56" s="113"/>
      <c r="QK56" s="113"/>
      <c r="QL56" s="113"/>
      <c r="QM56" s="113"/>
      <c r="QN56" s="113"/>
      <c r="QO56" s="113"/>
      <c r="QP56" s="113"/>
      <c r="QQ56" s="113"/>
      <c r="QR56" s="113"/>
      <c r="QS56" s="113"/>
      <c r="QT56" s="113"/>
      <c r="QU56" s="113"/>
      <c r="QV56" s="113"/>
      <c r="QW56" s="113"/>
      <c r="QX56" s="113"/>
      <c r="QY56" s="113"/>
      <c r="QZ56" s="113"/>
      <c r="RA56" s="113"/>
      <c r="RB56" s="113"/>
      <c r="RC56" s="113"/>
      <c r="RD56" s="113"/>
      <c r="RE56" s="113"/>
      <c r="RF56" s="113"/>
      <c r="RG56" s="113"/>
      <c r="RH56" s="113"/>
      <c r="RI56" s="113"/>
      <c r="RJ56" s="113"/>
      <c r="RK56" s="113"/>
      <c r="RL56" s="113"/>
      <c r="RM56" s="113"/>
      <c r="RN56" s="113"/>
      <c r="RO56" s="113"/>
      <c r="RP56" s="113"/>
      <c r="RQ56" s="113"/>
      <c r="RR56" s="113"/>
      <c r="RS56" s="113"/>
      <c r="RT56" s="113"/>
      <c r="RU56" s="113"/>
      <c r="RV56" s="113"/>
      <c r="RW56" s="113"/>
      <c r="RX56" s="113"/>
      <c r="RY56" s="113"/>
      <c r="RZ56" s="113"/>
      <c r="SA56" s="113"/>
      <c r="SB56" s="113"/>
      <c r="SC56" s="113"/>
      <c r="SD56" s="113"/>
      <c r="SE56" s="113"/>
      <c r="SF56" s="113"/>
      <c r="SG56" s="113"/>
      <c r="SH56" s="113"/>
      <c r="SI56" s="113"/>
      <c r="SJ56" s="113"/>
      <c r="SK56" s="113"/>
      <c r="SL56" s="113"/>
      <c r="SM56" s="113"/>
      <c r="SN56" s="113"/>
      <c r="SO56" s="113"/>
      <c r="SP56" s="113"/>
      <c r="SQ56" s="113"/>
      <c r="SR56" s="113"/>
      <c r="SS56" s="113"/>
      <c r="ST56" s="113"/>
      <c r="SU56" s="113"/>
      <c r="SV56" s="113"/>
      <c r="SW56" s="113"/>
      <c r="SX56" s="113"/>
      <c r="SY56" s="113"/>
      <c r="SZ56" s="113"/>
      <c r="TA56" s="113"/>
      <c r="TB56" s="113"/>
      <c r="TC56" s="113"/>
      <c r="TD56" s="113"/>
      <c r="TE56" s="113"/>
      <c r="TF56" s="113"/>
      <c r="TG56" s="113"/>
      <c r="TH56" s="113"/>
      <c r="TI56" s="113"/>
      <c r="TJ56" s="113"/>
      <c r="TK56" s="113"/>
      <c r="TL56" s="113"/>
      <c r="TM56" s="113"/>
      <c r="TN56" s="113"/>
      <c r="TO56" s="113"/>
      <c r="TP56" s="113"/>
      <c r="TQ56" s="113"/>
      <c r="TR56" s="113"/>
      <c r="TS56" s="113"/>
      <c r="TT56" s="113"/>
      <c r="TU56" s="113"/>
      <c r="TV56" s="113"/>
      <c r="TW56" s="113"/>
      <c r="TX56" s="113"/>
      <c r="TY56" s="113"/>
      <c r="TZ56" s="113"/>
      <c r="UA56" s="113"/>
      <c r="UB56" s="113"/>
      <c r="UC56" s="113"/>
      <c r="UD56" s="113"/>
      <c r="UE56" s="113"/>
      <c r="UF56" s="113"/>
      <c r="UG56" s="113"/>
      <c r="UH56" s="113"/>
      <c r="UI56" s="113"/>
      <c r="UJ56" s="113"/>
      <c r="UK56" s="113"/>
      <c r="UL56" s="113"/>
      <c r="UM56" s="113"/>
      <c r="UN56" s="113"/>
      <c r="UO56" s="113"/>
      <c r="UP56" s="113"/>
      <c r="UQ56" s="113"/>
      <c r="UR56" s="113"/>
      <c r="US56" s="113"/>
      <c r="UT56" s="113"/>
      <c r="UU56" s="113"/>
      <c r="UV56" s="113"/>
      <c r="UW56" s="113"/>
      <c r="UX56" s="113"/>
      <c r="UY56" s="113"/>
      <c r="UZ56" s="113"/>
      <c r="VA56" s="113"/>
      <c r="VB56" s="113"/>
      <c r="VC56" s="113"/>
      <c r="VD56" s="113"/>
      <c r="VE56" s="113"/>
      <c r="VF56" s="113"/>
      <c r="VG56" s="113"/>
      <c r="VH56" s="113"/>
      <c r="VI56" s="113"/>
      <c r="VJ56" s="113"/>
      <c r="VK56" s="113"/>
      <c r="VL56" s="113"/>
      <c r="VM56" s="113"/>
      <c r="VN56" s="113"/>
      <c r="VO56" s="113"/>
      <c r="VP56" s="113"/>
      <c r="VQ56" s="113"/>
      <c r="VR56" s="113"/>
      <c r="VS56" s="113"/>
      <c r="VT56" s="113"/>
      <c r="VU56" s="113"/>
      <c r="VV56" s="113"/>
      <c r="VW56" s="113"/>
      <c r="VX56" s="113"/>
      <c r="VY56" s="113"/>
      <c r="VZ56" s="113"/>
      <c r="WA56" s="113"/>
      <c r="WB56" s="113"/>
      <c r="WC56" s="113"/>
      <c r="WD56" s="113"/>
      <c r="WE56" s="113"/>
      <c r="WF56" s="113"/>
      <c r="WG56" s="113"/>
      <c r="WH56" s="113"/>
      <c r="WI56" s="113"/>
      <c r="WJ56" s="113"/>
      <c r="WK56" s="113"/>
      <c r="WL56" s="113"/>
      <c r="WM56" s="113"/>
      <c r="WN56" s="113"/>
      <c r="WO56" s="113"/>
      <c r="WP56" s="113"/>
      <c r="WQ56" s="113"/>
      <c r="WR56" s="113"/>
      <c r="WS56" s="113"/>
      <c r="WT56" s="113"/>
      <c r="WU56" s="113"/>
      <c r="WV56" s="113"/>
      <c r="WW56" s="113"/>
      <c r="WX56" s="113"/>
      <c r="WY56" s="113"/>
      <c r="WZ56" s="113"/>
      <c r="XA56" s="113"/>
      <c r="XB56" s="113"/>
      <c r="XC56" s="113"/>
      <c r="XD56" s="113"/>
      <c r="XE56" s="113"/>
      <c r="XF56" s="113"/>
      <c r="XG56" s="113"/>
      <c r="XH56" s="113"/>
      <c r="XI56" s="113"/>
      <c r="XJ56" s="113"/>
      <c r="XK56" s="113"/>
      <c r="XL56" s="113"/>
      <c r="XM56" s="113"/>
      <c r="XN56" s="113"/>
      <c r="XO56" s="113"/>
      <c r="XP56" s="113"/>
      <c r="XQ56" s="113"/>
      <c r="XR56" s="113"/>
      <c r="XS56" s="113"/>
      <c r="XT56" s="113"/>
      <c r="XU56" s="113"/>
      <c r="XV56" s="113"/>
      <c r="XW56" s="113"/>
      <c r="XX56" s="113"/>
      <c r="XY56" s="113"/>
      <c r="XZ56" s="113"/>
      <c r="YA56" s="113"/>
      <c r="YB56" s="113"/>
      <c r="YC56" s="113"/>
      <c r="YD56" s="113"/>
      <c r="YE56" s="113"/>
      <c r="YF56" s="113"/>
      <c r="YG56" s="113"/>
      <c r="YH56" s="113"/>
      <c r="YI56" s="113"/>
      <c r="YJ56" s="113"/>
      <c r="YK56" s="113"/>
      <c r="YL56" s="113"/>
      <c r="YM56" s="113"/>
      <c r="YN56" s="113"/>
      <c r="YO56" s="113"/>
      <c r="YP56" s="113"/>
      <c r="YQ56" s="113"/>
      <c r="YR56" s="113"/>
      <c r="YS56" s="113"/>
      <c r="YT56" s="113"/>
      <c r="YU56" s="113"/>
      <c r="YV56" s="113"/>
      <c r="YW56" s="113"/>
      <c r="YX56" s="113"/>
      <c r="YY56" s="113"/>
      <c r="YZ56" s="113"/>
      <c r="ZA56" s="113"/>
      <c r="ZB56" s="113"/>
      <c r="ZC56" s="113"/>
      <c r="ZD56" s="113"/>
      <c r="ZE56" s="113"/>
      <c r="ZF56" s="113"/>
      <c r="ZG56" s="113"/>
      <c r="ZH56" s="113"/>
      <c r="ZI56" s="113"/>
      <c r="ZJ56" s="113"/>
      <c r="ZK56" s="113"/>
      <c r="ZL56" s="113"/>
      <c r="ZM56" s="113"/>
      <c r="ZN56" s="113"/>
      <c r="ZO56" s="113"/>
      <c r="ZP56" s="113"/>
      <c r="ZQ56" s="113"/>
      <c r="ZR56" s="113"/>
      <c r="ZS56" s="113"/>
      <c r="ZT56" s="113"/>
      <c r="ZU56" s="113"/>
      <c r="ZV56" s="113"/>
      <c r="ZW56" s="113"/>
      <c r="ZX56" s="113"/>
      <c r="ZY56" s="113"/>
      <c r="ZZ56" s="113"/>
      <c r="AAA56" s="113"/>
      <c r="AAB56" s="113"/>
      <c r="AAC56" s="113"/>
      <c r="AAD56" s="113"/>
      <c r="AAE56" s="113"/>
      <c r="AAF56" s="113"/>
      <c r="AAG56" s="113"/>
      <c r="AAH56" s="113"/>
      <c r="AAI56" s="113"/>
      <c r="AAJ56" s="113"/>
      <c r="AAK56" s="113"/>
      <c r="AAL56" s="113"/>
      <c r="AAM56" s="113"/>
      <c r="AAN56" s="113"/>
      <c r="AAO56" s="113"/>
      <c r="AAP56" s="113"/>
      <c r="AAQ56" s="113"/>
      <c r="AAR56" s="113"/>
      <c r="AAS56" s="113"/>
      <c r="AAT56" s="113"/>
      <c r="AAU56" s="113"/>
      <c r="AAV56" s="113"/>
      <c r="AAW56" s="113"/>
      <c r="AAX56" s="113"/>
      <c r="AAY56" s="113"/>
      <c r="AAZ56" s="113"/>
      <c r="ABA56" s="113"/>
      <c r="ABB56" s="113"/>
      <c r="ABC56" s="113"/>
      <c r="ABD56" s="113"/>
      <c r="ABE56" s="113"/>
      <c r="ABF56" s="113"/>
      <c r="ABG56" s="113"/>
      <c r="ABH56" s="113"/>
      <c r="ABI56" s="113"/>
      <c r="ABJ56" s="113"/>
      <c r="ABK56" s="113"/>
      <c r="ABL56" s="113"/>
      <c r="ABM56" s="113"/>
      <c r="ABN56" s="113"/>
      <c r="ABO56" s="113"/>
      <c r="ABP56" s="113"/>
      <c r="ABQ56" s="113"/>
      <c r="ABR56" s="113"/>
      <c r="ABS56" s="113"/>
      <c r="ABT56" s="113"/>
      <c r="ABU56" s="113"/>
      <c r="ABV56" s="113"/>
      <c r="ABW56" s="113"/>
      <c r="ABX56" s="113"/>
      <c r="ABY56" s="113"/>
      <c r="ABZ56" s="113"/>
      <c r="ACA56" s="113"/>
      <c r="ACB56" s="113"/>
      <c r="ACC56" s="113"/>
      <c r="ACD56" s="113"/>
      <c r="ACE56" s="113"/>
      <c r="ACF56" s="113"/>
      <c r="ACG56" s="113"/>
      <c r="ACH56" s="113"/>
      <c r="ACI56" s="113"/>
      <c r="ACJ56" s="113"/>
      <c r="ACK56" s="113"/>
      <c r="ACL56" s="113"/>
      <c r="ACM56" s="113"/>
      <c r="ACN56" s="113"/>
      <c r="ACO56" s="113"/>
      <c r="ACP56" s="113"/>
      <c r="ACQ56" s="113"/>
      <c r="ACR56" s="113"/>
      <c r="ACS56" s="113"/>
      <c r="ACT56" s="113"/>
      <c r="ACU56" s="113"/>
      <c r="ACV56" s="113"/>
      <c r="ACW56" s="113"/>
      <c r="ACX56" s="113"/>
      <c r="ACY56" s="113"/>
      <c r="ACZ56" s="113"/>
      <c r="ADA56" s="113"/>
      <c r="ADB56" s="113"/>
      <c r="ADC56" s="113"/>
      <c r="ADD56" s="113"/>
      <c r="ADE56" s="113"/>
      <c r="ADF56" s="113"/>
      <c r="ADG56" s="113"/>
      <c r="ADH56" s="113"/>
      <c r="ADI56" s="113"/>
      <c r="ADJ56" s="113"/>
      <c r="ADK56" s="113"/>
      <c r="ADL56" s="113"/>
      <c r="ADM56" s="113"/>
      <c r="ADN56" s="113"/>
      <c r="ADO56" s="113"/>
      <c r="ADP56" s="113"/>
      <c r="ADQ56" s="113"/>
      <c r="ADR56" s="113"/>
      <c r="ADS56" s="113"/>
      <c r="ADT56" s="113"/>
      <c r="ADU56" s="113"/>
      <c r="ADV56" s="113"/>
      <c r="ADW56" s="113"/>
      <c r="ADX56" s="113"/>
      <c r="ADY56" s="113"/>
      <c r="ADZ56" s="113"/>
      <c r="AEA56" s="113"/>
      <c r="AEB56" s="113"/>
      <c r="AEC56" s="113"/>
      <c r="AED56" s="113"/>
      <c r="AEE56" s="113"/>
      <c r="AEF56" s="113"/>
      <c r="AEG56" s="113"/>
      <c r="AEH56" s="113"/>
      <c r="AEI56" s="113"/>
      <c r="AEJ56" s="113"/>
      <c r="AEK56" s="113"/>
      <c r="AEL56" s="113"/>
      <c r="AEM56" s="113"/>
      <c r="AEN56" s="113"/>
      <c r="AEO56" s="113"/>
      <c r="AEP56" s="113"/>
      <c r="AEQ56" s="113"/>
      <c r="AER56" s="113"/>
      <c r="AES56" s="113"/>
      <c r="AET56" s="113"/>
      <c r="AEU56" s="113"/>
      <c r="AEV56" s="113"/>
      <c r="AEW56" s="113"/>
      <c r="AEX56" s="113"/>
      <c r="AEY56" s="113"/>
      <c r="AEZ56" s="113"/>
      <c r="AFA56" s="113"/>
      <c r="AFB56" s="113"/>
      <c r="AFC56" s="113"/>
      <c r="AFD56" s="113"/>
      <c r="AFE56" s="113"/>
      <c r="AFF56" s="113"/>
      <c r="AFG56" s="113"/>
      <c r="AFH56" s="113"/>
      <c r="AFI56" s="113"/>
      <c r="AFJ56" s="113"/>
      <c r="AFK56" s="113"/>
      <c r="AFL56" s="113"/>
      <c r="AFM56" s="113"/>
      <c r="AFN56" s="113"/>
      <c r="AFO56" s="113"/>
      <c r="AFP56" s="113"/>
      <c r="AFQ56" s="113"/>
      <c r="AFR56" s="113"/>
      <c r="AFS56" s="113"/>
      <c r="AFT56" s="113"/>
      <c r="AFU56" s="113"/>
      <c r="AFV56" s="113"/>
      <c r="AFW56" s="113"/>
      <c r="AFX56" s="113"/>
      <c r="AFY56" s="113"/>
      <c r="AFZ56" s="113"/>
      <c r="AGA56" s="113"/>
      <c r="AGB56" s="113"/>
      <c r="AGC56" s="113"/>
      <c r="AGD56" s="113"/>
      <c r="AGE56" s="113"/>
      <c r="AGF56" s="113"/>
      <c r="AGG56" s="113"/>
      <c r="AGH56" s="113"/>
      <c r="AGI56" s="113"/>
      <c r="AGJ56" s="113"/>
      <c r="AGK56" s="113"/>
      <c r="AGL56" s="113"/>
      <c r="AGM56" s="113"/>
      <c r="AGN56" s="113"/>
      <c r="AGO56" s="113"/>
      <c r="AGP56" s="113"/>
      <c r="AGQ56" s="113"/>
      <c r="AGR56" s="113"/>
      <c r="AGS56" s="113"/>
      <c r="AGT56" s="113"/>
      <c r="AGU56" s="113"/>
      <c r="AGV56" s="113"/>
      <c r="AGW56" s="113"/>
      <c r="AGX56" s="113"/>
      <c r="AGY56" s="113"/>
      <c r="AGZ56" s="113"/>
      <c r="AHA56" s="113"/>
      <c r="AHB56" s="113"/>
      <c r="AHC56" s="113"/>
      <c r="AHD56" s="113"/>
      <c r="AHE56" s="113"/>
      <c r="AHF56" s="113"/>
      <c r="AHG56" s="113"/>
      <c r="AHH56" s="113"/>
      <c r="AHI56" s="113"/>
      <c r="AHJ56" s="113"/>
      <c r="AHK56" s="113"/>
      <c r="AHL56" s="113"/>
      <c r="AHM56" s="113"/>
      <c r="AHN56" s="113"/>
      <c r="AHO56" s="113"/>
      <c r="AHP56" s="113"/>
      <c r="AHQ56" s="113"/>
      <c r="AHR56" s="113"/>
      <c r="AHS56" s="113"/>
      <c r="AHT56" s="113"/>
      <c r="AHU56" s="113"/>
      <c r="AHV56" s="113"/>
      <c r="AHW56" s="113"/>
      <c r="AHX56" s="113"/>
      <c r="AHY56" s="113"/>
      <c r="AHZ56" s="113"/>
      <c r="AIA56" s="113"/>
      <c r="AIB56" s="113"/>
      <c r="AIC56" s="113"/>
      <c r="AID56" s="113"/>
      <c r="AIE56" s="113"/>
      <c r="AIF56" s="113"/>
      <c r="AIG56" s="113"/>
      <c r="AIH56" s="113"/>
      <c r="AII56" s="113"/>
      <c r="AIJ56" s="113"/>
      <c r="AIK56" s="113"/>
      <c r="AIL56" s="113"/>
      <c r="AIM56" s="113"/>
      <c r="AIN56" s="113"/>
      <c r="AIO56" s="113"/>
      <c r="AIP56" s="113"/>
      <c r="AIQ56" s="113"/>
      <c r="AIR56" s="113"/>
      <c r="AIS56" s="113"/>
      <c r="AIT56" s="113"/>
      <c r="AIU56" s="113"/>
      <c r="AIV56" s="113"/>
      <c r="AIW56" s="113"/>
      <c r="AIX56" s="113"/>
      <c r="AIY56" s="113"/>
      <c r="AIZ56" s="113"/>
      <c r="AJA56" s="113"/>
      <c r="AJB56" s="113"/>
      <c r="AJC56" s="113"/>
      <c r="AJD56" s="113"/>
      <c r="AJE56" s="113"/>
      <c r="AJF56" s="113"/>
      <c r="AJG56" s="113"/>
      <c r="AJH56" s="113"/>
      <c r="AJI56" s="113"/>
      <c r="AJJ56" s="113"/>
      <c r="AJK56" s="113"/>
      <c r="AJL56" s="113"/>
      <c r="AJM56" s="113"/>
      <c r="AJN56" s="113"/>
      <c r="AJO56" s="113"/>
      <c r="AJP56" s="113"/>
      <c r="AJQ56" s="113"/>
      <c r="AJR56" s="113"/>
      <c r="AJS56" s="113"/>
      <c r="AJT56" s="113"/>
      <c r="AJU56" s="113"/>
      <c r="AJV56" s="113"/>
      <c r="AJW56" s="113"/>
      <c r="AJX56" s="113"/>
      <c r="AJY56" s="113"/>
      <c r="AJZ56" s="113"/>
      <c r="AKA56" s="113"/>
      <c r="AKB56" s="113"/>
      <c r="AKC56" s="113"/>
      <c r="AKD56" s="113"/>
      <c r="AKE56" s="113"/>
      <c r="AKF56" s="113"/>
      <c r="AKG56" s="113"/>
      <c r="AKH56" s="113"/>
      <c r="AKI56" s="113"/>
      <c r="AKJ56" s="113"/>
      <c r="AKK56" s="113"/>
      <c r="AKL56" s="113"/>
      <c r="AKM56" s="113"/>
      <c r="AKN56" s="113"/>
      <c r="AKO56" s="113"/>
      <c r="AKP56" s="113"/>
      <c r="AKQ56" s="113"/>
      <c r="AKR56" s="113"/>
      <c r="AKS56" s="113"/>
      <c r="AKT56" s="113"/>
      <c r="AKU56" s="113"/>
      <c r="AKV56" s="113"/>
      <c r="AKW56" s="113"/>
      <c r="AKX56" s="113"/>
      <c r="AKY56" s="113"/>
      <c r="AKZ56" s="113"/>
      <c r="ALA56" s="113"/>
      <c r="ALB56" s="113"/>
      <c r="ALC56" s="113"/>
      <c r="ALD56" s="113"/>
      <c r="ALE56" s="113"/>
      <c r="ALF56" s="113"/>
      <c r="ALG56" s="113"/>
      <c r="ALH56" s="113"/>
      <c r="ALI56" s="113"/>
      <c r="ALJ56" s="113"/>
      <c r="ALK56" s="113"/>
      <c r="ALL56" s="113"/>
      <c r="ALM56" s="113"/>
      <c r="ALN56" s="113"/>
      <c r="ALO56" s="113"/>
      <c r="ALP56" s="113"/>
      <c r="ALQ56" s="113"/>
      <c r="ALR56" s="113"/>
      <c r="ALS56" s="113"/>
      <c r="ALT56" s="113"/>
      <c r="ALU56" s="113"/>
      <c r="ALV56" s="113"/>
      <c r="ALW56" s="113"/>
      <c r="ALX56" s="113"/>
      <c r="ALY56" s="113"/>
      <c r="ALZ56" s="113"/>
      <c r="AMA56" s="113"/>
      <c r="AMB56" s="113"/>
      <c r="AMC56" s="113"/>
      <c r="AMD56" s="113"/>
      <c r="AME56" s="113"/>
      <c r="AMF56" s="113"/>
      <c r="AMG56" s="113"/>
      <c r="AMH56" s="113"/>
      <c r="AMI56" s="113"/>
      <c r="AMJ56" s="113"/>
      <c r="AMK56" s="113"/>
      <c r="AML56" s="113"/>
      <c r="AMM56" s="113"/>
      <c r="AMN56" s="113"/>
      <c r="AMO56" s="113"/>
      <c r="AMP56" s="113"/>
      <c r="AMQ56" s="113"/>
      <c r="AMR56" s="113"/>
      <c r="AMS56" s="113"/>
      <c r="AMT56" s="113"/>
      <c r="AMU56" s="113"/>
      <c r="AMV56" s="113"/>
      <c r="AMW56" s="113"/>
      <c r="AMX56" s="113"/>
      <c r="AMY56" s="113"/>
      <c r="AMZ56" s="113"/>
      <c r="ANA56" s="113"/>
      <c r="ANB56" s="113"/>
      <c r="ANC56" s="113"/>
      <c r="AND56" s="113"/>
      <c r="ANE56" s="113"/>
      <c r="ANF56" s="113"/>
      <c r="ANG56" s="113"/>
      <c r="ANH56" s="113"/>
      <c r="ANI56" s="113"/>
      <c r="ANJ56" s="113"/>
      <c r="ANK56" s="113"/>
      <c r="ANL56" s="113"/>
      <c r="ANM56" s="113"/>
      <c r="ANN56" s="113"/>
      <c r="ANO56" s="113"/>
      <c r="ANP56" s="113"/>
      <c r="ANQ56" s="113"/>
      <c r="ANR56" s="113"/>
      <c r="ANS56" s="113"/>
      <c r="ANT56" s="113"/>
      <c r="ANU56" s="113"/>
      <c r="ANV56" s="113"/>
      <c r="ANW56" s="113"/>
      <c r="ANX56" s="113"/>
      <c r="ANY56" s="113"/>
      <c r="ANZ56" s="113"/>
      <c r="AOA56" s="113"/>
      <c r="AOB56" s="113"/>
      <c r="AOC56" s="113"/>
      <c r="AOD56" s="113"/>
      <c r="AOE56" s="113"/>
      <c r="AOF56" s="113"/>
      <c r="AOG56" s="113"/>
      <c r="AOH56" s="113"/>
      <c r="AOI56" s="113"/>
      <c r="AOJ56" s="113"/>
      <c r="AOK56" s="113"/>
      <c r="AOL56" s="113"/>
      <c r="AOM56" s="113"/>
      <c r="AON56" s="113"/>
      <c r="AOO56" s="113"/>
      <c r="AOP56" s="113"/>
      <c r="AOQ56" s="113"/>
      <c r="AOR56" s="113"/>
      <c r="AOS56" s="113"/>
      <c r="AOT56" s="113"/>
      <c r="AOU56" s="113"/>
      <c r="AOV56" s="113"/>
      <c r="AOW56" s="113"/>
      <c r="AOX56" s="113"/>
      <c r="AOY56" s="113"/>
      <c r="AOZ56" s="113"/>
      <c r="APA56" s="113"/>
      <c r="APB56" s="113"/>
      <c r="APC56" s="113"/>
      <c r="APD56" s="113"/>
      <c r="APE56" s="113"/>
      <c r="APF56" s="113"/>
      <c r="APG56" s="113"/>
      <c r="APH56" s="113"/>
      <c r="API56" s="113"/>
      <c r="APJ56" s="113"/>
      <c r="APK56" s="113"/>
      <c r="APL56" s="113"/>
      <c r="APM56" s="113"/>
      <c r="APN56" s="113"/>
      <c r="APO56" s="113"/>
      <c r="APP56" s="113"/>
      <c r="APQ56" s="113"/>
      <c r="APR56" s="113"/>
      <c r="APS56" s="113"/>
      <c r="APT56" s="113"/>
      <c r="APU56" s="113"/>
      <c r="APV56" s="113"/>
      <c r="APW56" s="113"/>
      <c r="APX56" s="113"/>
      <c r="APY56" s="113"/>
      <c r="APZ56" s="113"/>
      <c r="AQA56" s="113"/>
      <c r="AQB56" s="113"/>
      <c r="AQC56" s="113"/>
      <c r="AQD56" s="113"/>
      <c r="AQE56" s="113"/>
      <c r="AQF56" s="113"/>
      <c r="AQG56" s="113"/>
      <c r="AQH56" s="113"/>
      <c r="AQI56" s="113"/>
      <c r="AQJ56" s="113"/>
      <c r="AQK56" s="113"/>
      <c r="AQL56" s="113"/>
      <c r="AQM56" s="113"/>
      <c r="AQN56" s="113"/>
      <c r="AQO56" s="113"/>
      <c r="AQP56" s="113"/>
      <c r="AQQ56" s="113"/>
      <c r="AQR56" s="113"/>
      <c r="AQS56" s="113"/>
      <c r="AQT56" s="113"/>
      <c r="AQU56" s="113"/>
      <c r="AQV56" s="113"/>
      <c r="AQW56" s="113"/>
      <c r="AQX56" s="113"/>
      <c r="AQY56" s="113"/>
      <c r="AQZ56" s="113"/>
      <c r="ARA56" s="113"/>
      <c r="ARB56" s="113"/>
      <c r="ARC56" s="113"/>
      <c r="ARD56" s="113"/>
      <c r="ARE56" s="113"/>
      <c r="ARF56" s="113"/>
      <c r="ARG56" s="113"/>
      <c r="ARH56" s="113"/>
      <c r="ARI56" s="113"/>
      <c r="ARJ56" s="113"/>
      <c r="ARK56" s="113"/>
      <c r="ARL56" s="113"/>
      <c r="ARM56" s="113"/>
      <c r="ARN56" s="113"/>
      <c r="ARO56" s="113"/>
      <c r="ARP56" s="113"/>
      <c r="ARQ56" s="113"/>
      <c r="ARR56" s="113"/>
      <c r="ARS56" s="113"/>
      <c r="ART56" s="113"/>
      <c r="ARU56" s="113"/>
      <c r="ARV56" s="113"/>
      <c r="ARW56" s="113"/>
      <c r="ARX56" s="113"/>
      <c r="ARY56" s="113"/>
      <c r="ARZ56" s="113"/>
      <c r="ASA56" s="113"/>
      <c r="ASB56" s="113"/>
      <c r="ASC56" s="113"/>
      <c r="ASD56" s="113"/>
      <c r="ASE56" s="113"/>
      <c r="ASF56" s="113"/>
      <c r="ASG56" s="113"/>
      <c r="ASH56" s="113"/>
      <c r="ASI56" s="113"/>
      <c r="ASJ56" s="113"/>
      <c r="ASK56" s="113"/>
      <c r="ASL56" s="113"/>
      <c r="ASM56" s="113"/>
      <c r="ASN56" s="113"/>
      <c r="ASO56" s="113"/>
      <c r="ASP56" s="113"/>
      <c r="ASQ56" s="113"/>
      <c r="ASR56" s="113"/>
      <c r="ASS56" s="113"/>
      <c r="AST56" s="113"/>
      <c r="ASU56" s="113"/>
      <c r="ASV56" s="113"/>
      <c r="ASW56" s="113"/>
      <c r="ASX56" s="113"/>
      <c r="ASY56" s="113"/>
      <c r="ASZ56" s="113"/>
      <c r="ATA56" s="113"/>
      <c r="ATB56" s="113"/>
      <c r="ATC56" s="113"/>
      <c r="ATD56" s="113"/>
      <c r="ATE56" s="113"/>
      <c r="ATF56" s="113"/>
      <c r="ATG56" s="113"/>
      <c r="ATH56" s="113"/>
      <c r="ATI56" s="113"/>
      <c r="ATJ56" s="113"/>
      <c r="ATK56" s="113"/>
      <c r="ATL56" s="113"/>
      <c r="ATM56" s="113"/>
      <c r="ATN56" s="113"/>
      <c r="ATO56" s="113"/>
      <c r="ATP56" s="113"/>
      <c r="ATQ56" s="113"/>
      <c r="ATR56" s="113"/>
      <c r="ATS56" s="113"/>
      <c r="ATT56" s="113"/>
      <c r="ATU56" s="113"/>
      <c r="ATV56" s="113"/>
      <c r="ATW56" s="113"/>
      <c r="ATX56" s="113"/>
      <c r="ATY56" s="113"/>
      <c r="ATZ56" s="113"/>
      <c r="AUA56" s="113"/>
      <c r="AUB56" s="113"/>
      <c r="AUC56" s="113"/>
      <c r="AUD56" s="113"/>
      <c r="AUE56" s="113"/>
      <c r="AUF56" s="113"/>
      <c r="AUG56" s="113"/>
      <c r="AUH56" s="113"/>
      <c r="AUI56" s="113"/>
      <c r="AUJ56" s="113"/>
      <c r="AUK56" s="113"/>
      <c r="AUL56" s="113"/>
      <c r="AUM56" s="113"/>
      <c r="AUN56" s="113"/>
      <c r="AUO56" s="113"/>
      <c r="AUP56" s="113"/>
      <c r="AUQ56" s="113"/>
      <c r="AUR56" s="113"/>
      <c r="AUS56" s="113"/>
      <c r="AUT56" s="113"/>
      <c r="AUU56" s="113"/>
      <c r="AUV56" s="113"/>
      <c r="AUW56" s="113"/>
      <c r="AUX56" s="113"/>
      <c r="AUY56" s="113"/>
      <c r="AUZ56" s="113"/>
      <c r="AVA56" s="113"/>
      <c r="AVB56" s="113"/>
      <c r="AVC56" s="113"/>
      <c r="AVD56" s="113"/>
      <c r="AVE56" s="113"/>
      <c r="AVF56" s="113"/>
      <c r="AVG56" s="113"/>
      <c r="AVH56" s="113"/>
      <c r="AVI56" s="113"/>
      <c r="AVJ56" s="113"/>
      <c r="AVK56" s="113"/>
      <c r="AVL56" s="113"/>
      <c r="AVM56" s="113"/>
      <c r="AVN56" s="113"/>
      <c r="AVO56" s="113"/>
      <c r="AVP56" s="113"/>
      <c r="AVQ56" s="113"/>
      <c r="AVR56" s="113"/>
      <c r="AVS56" s="113"/>
      <c r="AVT56" s="113"/>
      <c r="AVU56" s="113"/>
      <c r="AVV56" s="113"/>
      <c r="AVW56" s="113"/>
      <c r="AVX56" s="113"/>
      <c r="AVY56" s="113"/>
      <c r="AVZ56" s="113"/>
      <c r="AWA56" s="113"/>
      <c r="AWB56" s="113"/>
      <c r="AWC56" s="113"/>
      <c r="AWD56" s="113"/>
      <c r="AWE56" s="113"/>
      <c r="AWF56" s="113"/>
      <c r="AWG56" s="113"/>
      <c r="AWH56" s="113"/>
      <c r="AWI56" s="113"/>
      <c r="AWJ56" s="113"/>
      <c r="AWK56" s="113"/>
      <c r="AWL56" s="113"/>
      <c r="AWM56" s="113"/>
      <c r="AWN56" s="113"/>
      <c r="AWO56" s="113"/>
      <c r="AWP56" s="113"/>
      <c r="AWQ56" s="113"/>
      <c r="AWR56" s="113"/>
      <c r="AWS56" s="113"/>
      <c r="AWT56" s="113"/>
      <c r="AWU56" s="113"/>
      <c r="AWV56" s="113"/>
      <c r="AWW56" s="113"/>
      <c r="AWX56" s="113"/>
      <c r="AWY56" s="113"/>
      <c r="AWZ56" s="113"/>
      <c r="AXA56" s="113"/>
      <c r="AXB56" s="113"/>
      <c r="AXC56" s="113"/>
      <c r="AXD56" s="113"/>
      <c r="AXE56" s="113"/>
      <c r="AXF56" s="113"/>
      <c r="AXG56" s="113"/>
      <c r="AXH56" s="113"/>
      <c r="AXI56" s="113"/>
      <c r="AXJ56" s="113"/>
      <c r="AXK56" s="113"/>
      <c r="AXL56" s="113"/>
      <c r="AXM56" s="113"/>
      <c r="AXN56" s="113"/>
      <c r="AXO56" s="113"/>
      <c r="AXP56" s="113"/>
      <c r="AXQ56" s="113"/>
      <c r="AXR56" s="113"/>
      <c r="AXS56" s="113"/>
      <c r="AXT56" s="113"/>
      <c r="AXU56" s="113"/>
      <c r="AXV56" s="113"/>
      <c r="AXW56" s="113"/>
      <c r="AXX56" s="113"/>
      <c r="AXY56" s="113"/>
      <c r="AXZ56" s="113"/>
      <c r="AYA56" s="113"/>
      <c r="AYB56" s="113"/>
      <c r="AYC56" s="113"/>
      <c r="AYD56" s="113"/>
      <c r="AYE56" s="113"/>
      <c r="AYF56" s="113"/>
      <c r="AYG56" s="113"/>
      <c r="AYH56" s="113"/>
      <c r="AYI56" s="113"/>
      <c r="AYJ56" s="113"/>
      <c r="AYK56" s="113"/>
      <c r="AYL56" s="113"/>
      <c r="AYM56" s="113"/>
      <c r="AYN56" s="113"/>
      <c r="AYO56" s="113"/>
      <c r="AYP56" s="113"/>
      <c r="AYQ56" s="113"/>
      <c r="AYR56" s="113"/>
      <c r="AYS56" s="113"/>
      <c r="AYT56" s="113"/>
      <c r="AYU56" s="113"/>
      <c r="AYV56" s="113"/>
      <c r="AYW56" s="113"/>
      <c r="AYX56" s="113"/>
      <c r="AYY56" s="113"/>
      <c r="AYZ56" s="113"/>
      <c r="AZA56" s="113"/>
      <c r="AZB56" s="113"/>
      <c r="AZC56" s="113"/>
      <c r="AZD56" s="113"/>
      <c r="AZE56" s="113"/>
      <c r="AZF56" s="113"/>
      <c r="AZG56" s="113"/>
      <c r="AZH56" s="113"/>
      <c r="AZI56" s="113"/>
      <c r="AZJ56" s="113"/>
      <c r="AZK56" s="113"/>
      <c r="AZL56" s="113"/>
      <c r="AZM56" s="113"/>
      <c r="AZN56" s="113"/>
      <c r="AZO56" s="113"/>
      <c r="AZP56" s="113"/>
      <c r="AZQ56" s="113"/>
      <c r="AZR56" s="113"/>
      <c r="AZS56" s="113"/>
      <c r="AZT56" s="113"/>
      <c r="AZU56" s="113"/>
      <c r="AZV56" s="113"/>
      <c r="AZW56" s="113"/>
      <c r="AZX56" s="113"/>
      <c r="AZY56" s="113"/>
      <c r="AZZ56" s="113"/>
      <c r="BAA56" s="113"/>
      <c r="BAB56" s="113"/>
      <c r="BAC56" s="113"/>
      <c r="BAD56" s="113"/>
      <c r="BAE56" s="113"/>
      <c r="BAF56" s="113"/>
      <c r="BAG56" s="113"/>
      <c r="BAH56" s="113"/>
      <c r="BAI56" s="113"/>
      <c r="BAJ56" s="113"/>
      <c r="BAK56" s="113"/>
      <c r="BAL56" s="113"/>
      <c r="BAM56" s="113"/>
      <c r="BAN56" s="113"/>
      <c r="BAO56" s="113"/>
      <c r="BAP56" s="113"/>
      <c r="BAQ56" s="113"/>
      <c r="BAR56" s="113"/>
      <c r="BAS56" s="113"/>
      <c r="BAT56" s="113"/>
      <c r="BAU56" s="113"/>
      <c r="BAV56" s="113"/>
      <c r="BAW56" s="113"/>
      <c r="BAX56" s="113"/>
      <c r="BAY56" s="113"/>
      <c r="BAZ56" s="113"/>
      <c r="BBA56" s="113"/>
      <c r="BBB56" s="113"/>
      <c r="BBC56" s="113"/>
      <c r="BBD56" s="113"/>
      <c r="BBE56" s="113"/>
      <c r="BBF56" s="113"/>
      <c r="BBG56" s="113"/>
      <c r="BBH56" s="113"/>
      <c r="BBI56" s="113"/>
      <c r="BBJ56" s="113"/>
      <c r="BBK56" s="113"/>
      <c r="BBL56" s="113"/>
      <c r="BBM56" s="113"/>
      <c r="BBN56" s="113"/>
      <c r="BBO56" s="113"/>
      <c r="BBP56" s="113"/>
      <c r="BBQ56" s="113"/>
      <c r="BBR56" s="113"/>
      <c r="BBS56" s="113"/>
      <c r="BBT56" s="113"/>
      <c r="BBU56" s="113"/>
      <c r="BBV56" s="113"/>
      <c r="BBW56" s="113"/>
      <c r="BBX56" s="113"/>
      <c r="BBY56" s="113"/>
      <c r="BBZ56" s="113"/>
      <c r="BCA56" s="113"/>
      <c r="BCB56" s="113"/>
      <c r="BCC56" s="113"/>
      <c r="BCD56" s="113"/>
      <c r="BCE56" s="113"/>
      <c r="BCF56" s="113"/>
      <c r="BCG56" s="113"/>
      <c r="BCH56" s="113"/>
      <c r="BCI56" s="113"/>
      <c r="BCJ56" s="113"/>
      <c r="BCK56" s="113"/>
      <c r="BCL56" s="113"/>
      <c r="BCM56" s="113"/>
      <c r="BCN56" s="113"/>
      <c r="BCO56" s="113"/>
      <c r="BCP56" s="113"/>
      <c r="BCQ56" s="113"/>
      <c r="BCR56" s="113"/>
      <c r="BCS56" s="113"/>
      <c r="BCT56" s="113"/>
      <c r="BCU56" s="113"/>
      <c r="BCV56" s="113"/>
      <c r="BCW56" s="113"/>
      <c r="BCX56" s="113"/>
      <c r="BCY56" s="113"/>
      <c r="BCZ56" s="113"/>
      <c r="BDA56" s="113"/>
      <c r="BDB56" s="113"/>
      <c r="BDC56" s="113"/>
      <c r="BDD56" s="113"/>
      <c r="BDE56" s="113"/>
      <c r="BDF56" s="113"/>
      <c r="BDG56" s="113"/>
      <c r="BDH56" s="113"/>
      <c r="BDI56" s="113"/>
      <c r="BDJ56" s="113"/>
      <c r="BDK56" s="113"/>
      <c r="BDL56" s="113"/>
      <c r="BDM56" s="113"/>
      <c r="BDN56" s="113"/>
      <c r="BDO56" s="113"/>
      <c r="BDP56" s="113"/>
      <c r="BDQ56" s="113"/>
      <c r="BDR56" s="113"/>
      <c r="BDS56" s="113"/>
      <c r="BDT56" s="113"/>
      <c r="BDU56" s="113"/>
      <c r="BDV56" s="113"/>
      <c r="BDW56" s="113"/>
      <c r="BDX56" s="113"/>
      <c r="BDY56" s="113"/>
      <c r="BDZ56" s="113"/>
      <c r="BEA56" s="113"/>
      <c r="BEB56" s="113"/>
      <c r="BEC56" s="113"/>
      <c r="BED56" s="113"/>
      <c r="BEE56" s="113"/>
      <c r="BEF56" s="113"/>
      <c r="BEG56" s="113"/>
      <c r="BEH56" s="113"/>
      <c r="BEI56" s="113"/>
      <c r="BEJ56" s="113"/>
      <c r="BEK56" s="113"/>
      <c r="BEL56" s="113"/>
      <c r="BEM56" s="113"/>
      <c r="BEN56" s="113"/>
      <c r="BEO56" s="113"/>
      <c r="BEP56" s="113"/>
      <c r="BEQ56" s="113"/>
      <c r="BER56" s="113"/>
      <c r="BES56" s="113"/>
      <c r="BET56" s="113"/>
      <c r="BEU56" s="113"/>
      <c r="BEV56" s="113"/>
      <c r="BEW56" s="113"/>
      <c r="BEX56" s="113"/>
      <c r="BEY56" s="113"/>
      <c r="BEZ56" s="113"/>
      <c r="BFA56" s="113"/>
      <c r="BFB56" s="113"/>
      <c r="BFC56" s="113"/>
      <c r="BFD56" s="113"/>
      <c r="BFE56" s="113"/>
      <c r="BFF56" s="113"/>
      <c r="BFG56" s="113"/>
      <c r="BFH56" s="113"/>
      <c r="BFI56" s="113"/>
      <c r="BFJ56" s="113"/>
      <c r="BFK56" s="113"/>
      <c r="BFL56" s="113"/>
      <c r="BFM56" s="113"/>
      <c r="BFN56" s="113"/>
      <c r="BFO56" s="113"/>
      <c r="BFP56" s="113"/>
      <c r="BFQ56" s="113"/>
      <c r="BFR56" s="113"/>
      <c r="BFS56" s="113"/>
      <c r="BFT56" s="113"/>
      <c r="BFU56" s="113"/>
      <c r="BFV56" s="113"/>
      <c r="BFW56" s="113"/>
      <c r="BFX56" s="113"/>
      <c r="BFY56" s="113"/>
      <c r="BFZ56" s="113"/>
      <c r="BGA56" s="113"/>
      <c r="BGB56" s="113"/>
      <c r="BGC56" s="113"/>
      <c r="BGD56" s="113"/>
      <c r="BGE56" s="113"/>
      <c r="BGF56" s="113"/>
      <c r="BGG56" s="113"/>
      <c r="BGH56" s="113"/>
      <c r="BGI56" s="113"/>
      <c r="BGJ56" s="113"/>
      <c r="BGK56" s="113"/>
      <c r="BGL56" s="113"/>
      <c r="BGM56" s="113"/>
      <c r="BGN56" s="113"/>
      <c r="BGO56" s="113"/>
      <c r="BGP56" s="113"/>
      <c r="BGQ56" s="113"/>
      <c r="BGR56" s="113"/>
      <c r="BGS56" s="113"/>
      <c r="BGT56" s="113"/>
      <c r="BGU56" s="113"/>
      <c r="BGV56" s="113"/>
      <c r="BGW56" s="113"/>
      <c r="BGX56" s="113"/>
      <c r="BGY56" s="113"/>
      <c r="BGZ56" s="113"/>
      <c r="BHA56" s="113"/>
      <c r="BHB56" s="113"/>
      <c r="BHC56" s="113"/>
      <c r="BHD56" s="113"/>
      <c r="BHE56" s="113"/>
      <c r="BHF56" s="113"/>
      <c r="BHG56" s="113"/>
      <c r="BHH56" s="113"/>
      <c r="BHI56" s="113"/>
      <c r="BHJ56" s="113"/>
      <c r="BHK56" s="113"/>
      <c r="BHL56" s="113"/>
      <c r="BHM56" s="113"/>
      <c r="BHN56" s="113"/>
      <c r="BHO56" s="113"/>
      <c r="BHP56" s="113"/>
      <c r="BHQ56" s="113"/>
      <c r="BHR56" s="113"/>
      <c r="BHS56" s="113"/>
      <c r="BHT56" s="113"/>
      <c r="BHU56" s="113"/>
      <c r="BHV56" s="113"/>
      <c r="BHW56" s="113"/>
      <c r="BHX56" s="113"/>
      <c r="BHY56" s="113"/>
      <c r="BHZ56" s="113"/>
      <c r="BIA56" s="113"/>
      <c r="BIB56" s="113"/>
      <c r="BIC56" s="113"/>
      <c r="BID56" s="113"/>
      <c r="BIE56" s="113"/>
      <c r="BIF56" s="113"/>
      <c r="BIG56" s="113"/>
      <c r="BIH56" s="113"/>
      <c r="BII56" s="113"/>
      <c r="BIJ56" s="113"/>
      <c r="BIK56" s="113"/>
      <c r="BIL56" s="113"/>
      <c r="BIM56" s="113"/>
      <c r="BIN56" s="113"/>
      <c r="BIO56" s="113"/>
      <c r="BIP56" s="113"/>
      <c r="BIQ56" s="113"/>
      <c r="BIR56" s="113"/>
      <c r="BIS56" s="113"/>
      <c r="BIT56" s="113"/>
      <c r="BIU56" s="113"/>
      <c r="BIV56" s="113"/>
      <c r="BIW56" s="113"/>
      <c r="BIX56" s="113"/>
      <c r="BIY56" s="113"/>
      <c r="BIZ56" s="113"/>
      <c r="BJA56" s="113"/>
      <c r="BJB56" s="113"/>
      <c r="BJC56" s="113"/>
      <c r="BJD56" s="113"/>
      <c r="BJE56" s="113"/>
      <c r="BJF56" s="113"/>
      <c r="BJG56" s="113"/>
      <c r="BJH56" s="113"/>
      <c r="BJI56" s="113"/>
      <c r="BJJ56" s="113"/>
      <c r="BJK56" s="113"/>
      <c r="BJL56" s="113"/>
      <c r="BJM56" s="113"/>
      <c r="BJN56" s="113"/>
      <c r="BJO56" s="113"/>
      <c r="BJP56" s="113"/>
      <c r="BJQ56" s="113"/>
      <c r="BJR56" s="113"/>
      <c r="BJS56" s="113"/>
      <c r="BJT56" s="113"/>
      <c r="BJU56" s="113"/>
      <c r="BJV56" s="113"/>
      <c r="BJW56" s="113"/>
      <c r="BJX56" s="113"/>
      <c r="BJY56" s="113"/>
      <c r="BJZ56" s="113"/>
      <c r="BKA56" s="113"/>
      <c r="BKB56" s="113"/>
      <c r="BKC56" s="113"/>
      <c r="BKD56" s="113"/>
      <c r="BKE56" s="113"/>
      <c r="BKF56" s="113"/>
      <c r="BKG56" s="113"/>
      <c r="BKH56" s="113"/>
      <c r="BKI56" s="113"/>
      <c r="BKJ56" s="113"/>
      <c r="BKK56" s="113"/>
      <c r="BKL56" s="113"/>
      <c r="BKM56" s="113"/>
      <c r="BKN56" s="113"/>
      <c r="BKO56" s="113"/>
      <c r="BKP56" s="113"/>
      <c r="BKQ56" s="113"/>
      <c r="BKR56" s="113"/>
      <c r="BKS56" s="113"/>
      <c r="BKT56" s="113"/>
      <c r="BKU56" s="113"/>
      <c r="BKV56" s="113"/>
      <c r="BKW56" s="113"/>
      <c r="BKX56" s="113"/>
      <c r="BKY56" s="113"/>
      <c r="BKZ56" s="113"/>
      <c r="BLA56" s="113"/>
      <c r="BLB56" s="113"/>
      <c r="BLC56" s="113"/>
      <c r="BLD56" s="113"/>
      <c r="BLE56" s="113"/>
      <c r="BLF56" s="113"/>
      <c r="BLG56" s="113"/>
      <c r="BLH56" s="113"/>
      <c r="BLI56" s="113"/>
      <c r="BLJ56" s="113"/>
      <c r="BLK56" s="113"/>
      <c r="BLL56" s="113"/>
      <c r="BLM56" s="113"/>
      <c r="BLN56" s="113"/>
      <c r="BLO56" s="113"/>
      <c r="BLP56" s="113"/>
      <c r="BLQ56" s="113"/>
      <c r="BLR56" s="113"/>
      <c r="BLS56" s="113"/>
      <c r="BLT56" s="113"/>
      <c r="BLU56" s="113"/>
      <c r="BLV56" s="113"/>
      <c r="BLW56" s="113"/>
      <c r="BLX56" s="113"/>
      <c r="BLY56" s="113"/>
      <c r="BLZ56" s="113"/>
      <c r="BMA56" s="113"/>
      <c r="BMB56" s="113"/>
      <c r="BMC56" s="113"/>
      <c r="BMD56" s="113"/>
      <c r="BME56" s="113"/>
      <c r="BMF56" s="113"/>
      <c r="BMG56" s="113"/>
      <c r="BMH56" s="113"/>
      <c r="BMI56" s="113"/>
      <c r="BMJ56" s="113"/>
      <c r="BMK56" s="113"/>
      <c r="BML56" s="113"/>
      <c r="BMM56" s="113"/>
      <c r="BMN56" s="113"/>
      <c r="BMO56" s="113"/>
      <c r="BMP56" s="113"/>
      <c r="BMQ56" s="113"/>
      <c r="BMR56" s="113"/>
      <c r="BMS56" s="113"/>
      <c r="BMT56" s="113"/>
      <c r="BMU56" s="113"/>
      <c r="BMV56" s="113"/>
      <c r="BMW56" s="113"/>
      <c r="BMX56" s="113"/>
      <c r="BMY56" s="113"/>
      <c r="BMZ56" s="113"/>
      <c r="BNA56" s="113"/>
      <c r="BNB56" s="113"/>
      <c r="BNC56" s="113"/>
      <c r="BND56" s="113"/>
      <c r="BNE56" s="113"/>
      <c r="BNF56" s="113"/>
      <c r="BNG56" s="113"/>
      <c r="BNH56" s="113"/>
      <c r="BNI56" s="113"/>
      <c r="BNJ56" s="113"/>
      <c r="BNK56" s="113"/>
      <c r="BNL56" s="113"/>
      <c r="BNM56" s="113"/>
      <c r="BNN56" s="113"/>
      <c r="BNO56" s="113"/>
      <c r="BNP56" s="113"/>
      <c r="BNQ56" s="113"/>
      <c r="BNR56" s="113"/>
      <c r="BNS56" s="113"/>
      <c r="BNT56" s="113"/>
      <c r="BNU56" s="113"/>
      <c r="BNV56" s="113"/>
      <c r="BNW56" s="113"/>
      <c r="BNX56" s="113"/>
      <c r="BNY56" s="113"/>
      <c r="BNZ56" s="113"/>
      <c r="BOA56" s="113"/>
      <c r="BOB56" s="113"/>
      <c r="BOC56" s="113"/>
      <c r="BOD56" s="113"/>
      <c r="BOE56" s="113"/>
      <c r="BOF56" s="113"/>
      <c r="BOG56" s="113"/>
      <c r="BOH56" s="113"/>
      <c r="BOI56" s="113"/>
      <c r="BOJ56" s="113"/>
      <c r="BOK56" s="113"/>
      <c r="BOL56" s="113"/>
      <c r="BOM56" s="113"/>
      <c r="BON56" s="113"/>
      <c r="BOO56" s="113"/>
      <c r="BOP56" s="113"/>
      <c r="BOQ56" s="113"/>
      <c r="BOR56" s="113"/>
      <c r="BOS56" s="113"/>
      <c r="BOT56" s="113"/>
      <c r="BOU56" s="113"/>
      <c r="BOV56" s="113"/>
      <c r="BOW56" s="113"/>
      <c r="BOX56" s="113"/>
      <c r="BOY56" s="113"/>
      <c r="BOZ56" s="113"/>
      <c r="BPA56" s="113"/>
      <c r="BPB56" s="113"/>
      <c r="BPC56" s="113"/>
      <c r="BPD56" s="113"/>
      <c r="BPE56" s="113"/>
      <c r="BPF56" s="113"/>
      <c r="BPG56" s="113"/>
      <c r="BPH56" s="113"/>
      <c r="BPI56" s="113"/>
      <c r="BPJ56" s="113"/>
      <c r="BPK56" s="113"/>
      <c r="BPL56" s="113"/>
      <c r="BPM56" s="113"/>
      <c r="BPN56" s="113"/>
      <c r="BPO56" s="113"/>
      <c r="BPP56" s="113"/>
      <c r="BPQ56" s="113"/>
      <c r="BPR56" s="113"/>
      <c r="BPS56" s="113"/>
      <c r="BPT56" s="113"/>
      <c r="BPU56" s="113"/>
      <c r="BPV56" s="113"/>
      <c r="BPW56" s="113"/>
      <c r="BPX56" s="113"/>
      <c r="BPY56" s="113"/>
      <c r="BPZ56" s="113"/>
      <c r="BQA56" s="113"/>
      <c r="BQB56" s="113"/>
      <c r="BQC56" s="113"/>
      <c r="BQD56" s="113"/>
      <c r="BQE56" s="113"/>
      <c r="BQF56" s="113"/>
      <c r="BQG56" s="113"/>
      <c r="BQH56" s="113"/>
      <c r="BQI56" s="113"/>
      <c r="BQJ56" s="113"/>
      <c r="BQK56" s="113"/>
      <c r="BQL56" s="113"/>
      <c r="BQM56" s="113"/>
      <c r="BQN56" s="113"/>
      <c r="BQO56" s="113"/>
      <c r="BQP56" s="113"/>
      <c r="BQQ56" s="113"/>
      <c r="BQR56" s="113"/>
      <c r="BQS56" s="113"/>
      <c r="BQT56" s="113"/>
      <c r="BQU56" s="113"/>
      <c r="BQV56" s="113"/>
      <c r="BQW56" s="113"/>
      <c r="BQX56" s="113"/>
      <c r="BQY56" s="113"/>
      <c r="BQZ56" s="113"/>
      <c r="BRA56" s="113"/>
      <c r="BRB56" s="113"/>
      <c r="BRC56" s="113"/>
      <c r="BRD56" s="113"/>
      <c r="BRE56" s="113"/>
      <c r="BRF56" s="113"/>
      <c r="BRG56" s="113"/>
      <c r="BRH56" s="113"/>
      <c r="BRI56" s="113"/>
      <c r="BRJ56" s="113"/>
      <c r="BRK56" s="113"/>
      <c r="BRL56" s="113"/>
      <c r="BRM56" s="113"/>
      <c r="BRN56" s="113"/>
      <c r="BRO56" s="113"/>
      <c r="BRP56" s="113"/>
      <c r="BRQ56" s="113"/>
      <c r="BRR56" s="113"/>
      <c r="BRS56" s="113"/>
      <c r="BRT56" s="113"/>
      <c r="BRU56" s="113"/>
      <c r="BRV56" s="113"/>
      <c r="BRW56" s="113"/>
      <c r="BRX56" s="113"/>
      <c r="BRY56" s="113"/>
      <c r="BRZ56" s="113"/>
      <c r="BSA56" s="113"/>
      <c r="BSB56" s="113"/>
      <c r="BSC56" s="113"/>
      <c r="BSD56" s="113"/>
      <c r="BSE56" s="113"/>
      <c r="BSF56" s="113"/>
      <c r="BSG56" s="113"/>
      <c r="BSH56" s="113"/>
      <c r="BSI56" s="113"/>
      <c r="BSJ56" s="113"/>
      <c r="BSK56" s="113"/>
      <c r="BSL56" s="113"/>
      <c r="BSM56" s="113"/>
      <c r="BSN56" s="113"/>
      <c r="BSO56" s="113"/>
      <c r="BSP56" s="113"/>
      <c r="BSQ56" s="113"/>
      <c r="BSR56" s="113"/>
      <c r="BSS56" s="113"/>
      <c r="BST56" s="113"/>
      <c r="BSU56" s="113"/>
      <c r="BSV56" s="113"/>
      <c r="BSW56" s="113"/>
      <c r="BSX56" s="113"/>
      <c r="BSY56" s="113"/>
      <c r="BSZ56" s="113"/>
      <c r="BTA56" s="113"/>
      <c r="BTB56" s="113"/>
      <c r="BTC56" s="113"/>
      <c r="BTD56" s="113"/>
      <c r="BTE56" s="113"/>
      <c r="BTF56" s="113"/>
      <c r="BTG56" s="113"/>
      <c r="BTH56" s="113"/>
      <c r="BTI56" s="113"/>
      <c r="BTJ56" s="113"/>
      <c r="BTK56" s="113"/>
      <c r="BTL56" s="113"/>
      <c r="BTM56" s="113"/>
      <c r="BTN56" s="113"/>
      <c r="BTO56" s="113"/>
      <c r="BTP56" s="113"/>
      <c r="BTQ56" s="113"/>
      <c r="BTR56" s="113"/>
      <c r="BTS56" s="113"/>
      <c r="BTT56" s="113"/>
      <c r="BTU56" s="113"/>
      <c r="BTV56" s="113"/>
      <c r="BTW56" s="113"/>
      <c r="BTX56" s="113"/>
      <c r="BTY56" s="113"/>
      <c r="BTZ56" s="113"/>
      <c r="BUA56" s="113"/>
      <c r="BUB56" s="113"/>
      <c r="BUC56" s="113"/>
      <c r="BUD56" s="113"/>
      <c r="BUE56" s="113"/>
      <c r="BUF56" s="113"/>
      <c r="BUG56" s="113"/>
      <c r="BUH56" s="113"/>
      <c r="BUI56" s="113"/>
      <c r="BUJ56" s="113"/>
      <c r="BUK56" s="113"/>
      <c r="BUL56" s="113"/>
      <c r="BUM56" s="113"/>
      <c r="BUN56" s="113"/>
      <c r="BUO56" s="113"/>
      <c r="BUP56" s="113"/>
      <c r="BUQ56" s="113"/>
      <c r="BUR56" s="113"/>
      <c r="BUS56" s="113"/>
      <c r="BUT56" s="113"/>
      <c r="BUU56" s="113"/>
      <c r="BUV56" s="113"/>
      <c r="BUW56" s="113"/>
      <c r="BUX56" s="113"/>
      <c r="BUY56" s="113"/>
      <c r="BUZ56" s="113"/>
      <c r="BVA56" s="113"/>
      <c r="BVB56" s="113"/>
      <c r="BVC56" s="113"/>
      <c r="BVD56" s="113"/>
      <c r="BVE56" s="113"/>
      <c r="BVF56" s="113"/>
      <c r="BVG56" s="113"/>
      <c r="BVH56" s="113"/>
      <c r="BVI56" s="113"/>
      <c r="BVJ56" s="113"/>
      <c r="BVK56" s="113"/>
      <c r="BVL56" s="113"/>
      <c r="BVM56" s="113"/>
      <c r="BVN56" s="113"/>
      <c r="BVO56" s="113"/>
      <c r="BVP56" s="113"/>
      <c r="BVQ56" s="113"/>
      <c r="BVR56" s="113"/>
      <c r="BVS56" s="113"/>
      <c r="BVT56" s="113"/>
      <c r="BVU56" s="113"/>
      <c r="BVV56" s="113"/>
      <c r="BVW56" s="113"/>
      <c r="BVX56" s="113"/>
      <c r="BVY56" s="113"/>
      <c r="BVZ56" s="113"/>
      <c r="BWA56" s="113"/>
      <c r="BWB56" s="113"/>
      <c r="BWC56" s="113"/>
      <c r="BWD56" s="113"/>
      <c r="BWE56" s="113"/>
      <c r="BWF56" s="113"/>
      <c r="BWG56" s="113"/>
      <c r="BWH56" s="113"/>
      <c r="BWI56" s="113"/>
      <c r="BWJ56" s="113"/>
      <c r="BWK56" s="113"/>
      <c r="BWL56" s="113"/>
      <c r="BWM56" s="113"/>
      <c r="BWN56" s="113"/>
      <c r="BWO56" s="113"/>
      <c r="BWP56" s="113"/>
      <c r="BWQ56" s="113"/>
      <c r="BWR56" s="113"/>
      <c r="BWS56" s="113"/>
      <c r="BWT56" s="113"/>
      <c r="BWU56" s="113"/>
      <c r="BWV56" s="113"/>
      <c r="BWW56" s="113"/>
      <c r="BWX56" s="113"/>
      <c r="BWY56" s="113"/>
      <c r="BWZ56" s="113"/>
      <c r="BXA56" s="113"/>
      <c r="BXB56" s="113"/>
      <c r="BXC56" s="113"/>
      <c r="BXD56" s="113"/>
      <c r="BXE56" s="113"/>
      <c r="BXF56" s="113"/>
      <c r="BXG56" s="113"/>
      <c r="BXH56" s="113"/>
      <c r="BXI56" s="113"/>
      <c r="BXJ56" s="113"/>
      <c r="BXK56" s="113"/>
      <c r="BXL56" s="113"/>
      <c r="BXM56" s="113"/>
      <c r="BXN56" s="113"/>
      <c r="BXO56" s="113"/>
      <c r="BXP56" s="113"/>
      <c r="BXQ56" s="113"/>
      <c r="BXR56" s="113"/>
      <c r="BXS56" s="113"/>
      <c r="BXT56" s="113"/>
      <c r="BXU56" s="113"/>
      <c r="BXV56" s="113"/>
      <c r="BXW56" s="113"/>
      <c r="BXX56" s="113"/>
      <c r="BXY56" s="113"/>
      <c r="BXZ56" s="113"/>
      <c r="BYA56" s="113"/>
      <c r="BYB56" s="113"/>
      <c r="BYC56" s="113"/>
      <c r="BYD56" s="113"/>
      <c r="BYE56" s="113"/>
      <c r="BYF56" s="113"/>
      <c r="BYG56" s="113"/>
      <c r="BYH56" s="113"/>
      <c r="BYI56" s="113"/>
      <c r="BYJ56" s="113"/>
      <c r="BYK56" s="113"/>
      <c r="BYL56" s="113"/>
      <c r="BYM56" s="113"/>
      <c r="BYN56" s="113"/>
      <c r="BYO56" s="113"/>
      <c r="BYP56" s="113"/>
      <c r="BYQ56" s="113"/>
      <c r="BYR56" s="113"/>
      <c r="BYS56" s="113"/>
      <c r="BYT56" s="113"/>
      <c r="BYU56" s="113"/>
      <c r="BYV56" s="113"/>
      <c r="BYW56" s="113"/>
      <c r="BYX56" s="113"/>
      <c r="BYY56" s="113"/>
      <c r="BYZ56" s="113"/>
      <c r="BZA56" s="113"/>
      <c r="BZB56" s="113"/>
      <c r="BZC56" s="113"/>
      <c r="BZD56" s="113"/>
      <c r="BZE56" s="113"/>
      <c r="BZF56" s="113"/>
      <c r="BZG56" s="113"/>
      <c r="BZH56" s="113"/>
      <c r="BZI56" s="113"/>
      <c r="BZJ56" s="113"/>
      <c r="BZK56" s="113"/>
      <c r="BZL56" s="113"/>
      <c r="BZM56" s="113"/>
      <c r="BZN56" s="113"/>
      <c r="BZO56" s="113"/>
      <c r="BZP56" s="113"/>
      <c r="BZQ56" s="113"/>
      <c r="BZR56" s="113"/>
      <c r="BZS56" s="113"/>
      <c r="BZT56" s="113"/>
      <c r="BZU56" s="113"/>
      <c r="BZV56" s="113"/>
      <c r="BZW56" s="113"/>
      <c r="BZX56" s="113"/>
      <c r="BZY56" s="113"/>
      <c r="BZZ56" s="113"/>
      <c r="CAA56" s="113"/>
      <c r="CAB56" s="113"/>
      <c r="CAC56" s="113"/>
      <c r="CAD56" s="113"/>
      <c r="CAE56" s="113"/>
      <c r="CAF56" s="113"/>
      <c r="CAG56" s="113"/>
      <c r="CAH56" s="113"/>
      <c r="CAI56" s="113"/>
      <c r="CAJ56" s="113"/>
      <c r="CAK56" s="113"/>
      <c r="CAL56" s="113"/>
      <c r="CAM56" s="113"/>
      <c r="CAN56" s="113"/>
      <c r="CAO56" s="113"/>
      <c r="CAP56" s="113"/>
      <c r="CAQ56" s="113"/>
      <c r="CAR56" s="113"/>
      <c r="CAS56" s="113"/>
      <c r="CAT56" s="113"/>
      <c r="CAU56" s="113"/>
      <c r="CAV56" s="113"/>
      <c r="CAW56" s="113"/>
      <c r="CAX56" s="113"/>
      <c r="CAY56" s="113"/>
      <c r="CAZ56" s="113"/>
      <c r="CBA56" s="113"/>
      <c r="CBB56" s="113"/>
      <c r="CBC56" s="113"/>
      <c r="CBD56" s="113"/>
      <c r="CBE56" s="113"/>
      <c r="CBF56" s="113"/>
      <c r="CBG56" s="113"/>
      <c r="CBH56" s="113"/>
      <c r="CBI56" s="113"/>
      <c r="CBJ56" s="113"/>
      <c r="CBK56" s="113"/>
      <c r="CBL56" s="113"/>
      <c r="CBM56" s="113"/>
      <c r="CBN56" s="113"/>
      <c r="CBO56" s="113"/>
      <c r="CBP56" s="113"/>
      <c r="CBQ56" s="113"/>
      <c r="CBR56" s="113"/>
      <c r="CBS56" s="113"/>
      <c r="CBT56" s="113"/>
      <c r="CBU56" s="113"/>
      <c r="CBV56" s="113"/>
      <c r="CBW56" s="113"/>
      <c r="CBX56" s="113"/>
      <c r="CBY56" s="113"/>
      <c r="CBZ56" s="113"/>
      <c r="CCA56" s="113"/>
      <c r="CCB56" s="113"/>
      <c r="CCC56" s="113"/>
      <c r="CCD56" s="113"/>
      <c r="CCE56" s="113"/>
      <c r="CCF56" s="113"/>
      <c r="CCG56" s="113"/>
      <c r="CCH56" s="113"/>
      <c r="CCI56" s="113"/>
      <c r="CCJ56" s="113"/>
      <c r="CCK56" s="113"/>
      <c r="CCL56" s="113"/>
      <c r="CCM56" s="113"/>
      <c r="CCN56" s="113"/>
      <c r="CCO56" s="113"/>
      <c r="CCP56" s="113"/>
      <c r="CCQ56" s="113"/>
      <c r="CCR56" s="113"/>
      <c r="CCS56" s="113"/>
      <c r="CCT56" s="113"/>
      <c r="CCU56" s="113"/>
      <c r="CCV56" s="113"/>
      <c r="CCW56" s="113"/>
      <c r="CCX56" s="113"/>
      <c r="CCY56" s="113"/>
      <c r="CCZ56" s="113"/>
      <c r="CDA56" s="113"/>
      <c r="CDB56" s="113"/>
      <c r="CDC56" s="113"/>
      <c r="CDD56" s="113"/>
      <c r="CDE56" s="113"/>
      <c r="CDF56" s="113"/>
      <c r="CDG56" s="113"/>
      <c r="CDH56" s="113"/>
      <c r="CDI56" s="113"/>
      <c r="CDJ56" s="113"/>
      <c r="CDK56" s="113"/>
      <c r="CDL56" s="113"/>
      <c r="CDM56" s="113"/>
      <c r="CDN56" s="113"/>
      <c r="CDO56" s="113"/>
      <c r="CDP56" s="113"/>
      <c r="CDQ56" s="113"/>
      <c r="CDR56" s="113"/>
      <c r="CDS56" s="113"/>
      <c r="CDT56" s="113"/>
      <c r="CDU56" s="113"/>
      <c r="CDV56" s="113"/>
      <c r="CDW56" s="113"/>
      <c r="CDX56" s="113"/>
      <c r="CDY56" s="113"/>
      <c r="CDZ56" s="113"/>
      <c r="CEA56" s="113"/>
      <c r="CEB56" s="113"/>
      <c r="CEC56" s="113"/>
      <c r="CED56" s="113"/>
      <c r="CEE56" s="113"/>
      <c r="CEF56" s="113"/>
      <c r="CEG56" s="113"/>
      <c r="CEH56" s="113"/>
      <c r="CEI56" s="113"/>
      <c r="CEJ56" s="113"/>
      <c r="CEK56" s="113"/>
      <c r="CEL56" s="113"/>
      <c r="CEM56" s="113"/>
      <c r="CEN56" s="113"/>
      <c r="CEO56" s="113"/>
      <c r="CEP56" s="113"/>
      <c r="CEQ56" s="113"/>
      <c r="CER56" s="113"/>
      <c r="CES56" s="113"/>
      <c r="CET56" s="113"/>
      <c r="CEU56" s="113"/>
      <c r="CEV56" s="113"/>
      <c r="CEW56" s="113"/>
      <c r="CEX56" s="113"/>
      <c r="CEY56" s="113"/>
      <c r="CEZ56" s="113"/>
      <c r="CFA56" s="113"/>
      <c r="CFB56" s="113"/>
      <c r="CFC56" s="113"/>
      <c r="CFD56" s="113"/>
      <c r="CFE56" s="113"/>
      <c r="CFF56" s="113"/>
      <c r="CFG56" s="113"/>
      <c r="CFH56" s="113"/>
      <c r="CFI56" s="113"/>
      <c r="CFJ56" s="113"/>
      <c r="CFK56" s="113"/>
      <c r="CFL56" s="113"/>
      <c r="CFM56" s="113"/>
      <c r="CFN56" s="113"/>
      <c r="CFO56" s="113"/>
      <c r="CFP56" s="113"/>
      <c r="CFQ56" s="113"/>
      <c r="CFR56" s="113"/>
      <c r="CFS56" s="113"/>
      <c r="CFT56" s="113"/>
      <c r="CFU56" s="113"/>
      <c r="CFV56" s="113"/>
      <c r="CFW56" s="113"/>
      <c r="CFX56" s="113"/>
      <c r="CFY56" s="113"/>
      <c r="CFZ56" s="113"/>
      <c r="CGA56" s="113"/>
      <c r="CGB56" s="113"/>
      <c r="CGC56" s="113"/>
      <c r="CGD56" s="113"/>
      <c r="CGE56" s="113"/>
      <c r="CGF56" s="113"/>
      <c r="CGG56" s="113"/>
      <c r="CGH56" s="113"/>
      <c r="CGI56" s="113"/>
      <c r="CGJ56" s="113"/>
      <c r="CGK56" s="113"/>
      <c r="CGL56" s="113"/>
      <c r="CGM56" s="113"/>
      <c r="CGN56" s="113"/>
      <c r="CGO56" s="113"/>
      <c r="CGP56" s="113"/>
      <c r="CGQ56" s="113"/>
      <c r="CGR56" s="113"/>
      <c r="CGS56" s="113"/>
      <c r="CGT56" s="113"/>
      <c r="CGU56" s="113"/>
      <c r="CGV56" s="113"/>
      <c r="CGW56" s="113"/>
      <c r="CGX56" s="113"/>
      <c r="CGY56" s="113"/>
      <c r="CGZ56" s="113"/>
      <c r="CHA56" s="113"/>
      <c r="CHB56" s="113"/>
      <c r="CHC56" s="113"/>
      <c r="CHD56" s="113"/>
      <c r="CHE56" s="113"/>
      <c r="CHF56" s="113"/>
      <c r="CHG56" s="113"/>
      <c r="CHH56" s="113"/>
      <c r="CHI56" s="113"/>
      <c r="CHJ56" s="113"/>
      <c r="CHK56" s="113"/>
      <c r="CHL56" s="113"/>
      <c r="CHM56" s="113"/>
      <c r="CHN56" s="113"/>
      <c r="CHO56" s="113"/>
      <c r="CHP56" s="113"/>
      <c r="CHQ56" s="113"/>
      <c r="CHR56" s="113"/>
      <c r="CHS56" s="113"/>
      <c r="CHT56" s="113"/>
      <c r="CHU56" s="113"/>
      <c r="CHV56" s="113"/>
      <c r="CHW56" s="113"/>
      <c r="CHX56" s="113"/>
      <c r="CHY56" s="113"/>
      <c r="CHZ56" s="113"/>
      <c r="CIA56" s="113"/>
      <c r="CIB56" s="113"/>
      <c r="CIC56" s="113"/>
      <c r="CID56" s="113"/>
      <c r="CIE56" s="113"/>
      <c r="CIF56" s="113"/>
      <c r="CIG56" s="113"/>
      <c r="CIH56" s="113"/>
      <c r="CII56" s="113"/>
      <c r="CIJ56" s="113"/>
      <c r="CIK56" s="113"/>
      <c r="CIL56" s="113"/>
      <c r="CIM56" s="113"/>
      <c r="CIN56" s="113"/>
      <c r="CIO56" s="113"/>
      <c r="CIP56" s="113"/>
      <c r="CIQ56" s="113"/>
      <c r="CIR56" s="113"/>
      <c r="CIS56" s="113"/>
      <c r="CIT56" s="113"/>
      <c r="CIU56" s="113"/>
      <c r="CIV56" s="113"/>
      <c r="CIW56" s="113"/>
      <c r="CIX56" s="113"/>
      <c r="CIY56" s="113"/>
      <c r="CIZ56" s="113"/>
      <c r="CJA56" s="113"/>
      <c r="CJB56" s="113"/>
      <c r="CJC56" s="113"/>
      <c r="CJD56" s="113"/>
      <c r="CJE56" s="113"/>
      <c r="CJF56" s="113"/>
      <c r="CJG56" s="113"/>
      <c r="CJH56" s="113"/>
      <c r="CJI56" s="113"/>
      <c r="CJJ56" s="113"/>
      <c r="CJK56" s="113"/>
      <c r="CJL56" s="113"/>
      <c r="CJM56" s="113"/>
      <c r="CJN56" s="113"/>
      <c r="CJO56" s="113"/>
      <c r="CJP56" s="113"/>
      <c r="CJQ56" s="113"/>
      <c r="CJR56" s="113"/>
      <c r="CJS56" s="113"/>
      <c r="CJT56" s="113"/>
      <c r="CJU56" s="113"/>
      <c r="CJV56" s="113"/>
      <c r="CJW56" s="113"/>
      <c r="CJX56" s="113"/>
      <c r="CJY56" s="113"/>
      <c r="CJZ56" s="113"/>
      <c r="CKA56" s="113"/>
      <c r="CKB56" s="113"/>
      <c r="CKC56" s="113"/>
      <c r="CKD56" s="113"/>
      <c r="CKE56" s="113"/>
      <c r="CKF56" s="113"/>
      <c r="CKG56" s="113"/>
      <c r="CKH56" s="113"/>
      <c r="CKI56" s="113"/>
      <c r="CKJ56" s="113"/>
      <c r="CKK56" s="113"/>
      <c r="CKL56" s="113"/>
      <c r="CKM56" s="113"/>
      <c r="CKN56" s="113"/>
      <c r="CKO56" s="113"/>
      <c r="CKP56" s="113"/>
      <c r="CKQ56" s="113"/>
      <c r="CKR56" s="113"/>
      <c r="CKS56" s="113"/>
      <c r="CKT56" s="113"/>
      <c r="CKU56" s="113"/>
      <c r="CKV56" s="113"/>
      <c r="CKW56" s="113"/>
      <c r="CKX56" s="113"/>
      <c r="CKY56" s="113"/>
      <c r="CKZ56" s="113"/>
      <c r="CLA56" s="113"/>
      <c r="CLB56" s="113"/>
      <c r="CLC56" s="113"/>
      <c r="CLD56" s="113"/>
      <c r="CLE56" s="113"/>
      <c r="CLF56" s="113"/>
      <c r="CLG56" s="113"/>
      <c r="CLH56" s="113"/>
      <c r="CLI56" s="113"/>
      <c r="CLJ56" s="113"/>
      <c r="CLK56" s="113"/>
      <c r="CLL56" s="113"/>
      <c r="CLM56" s="113"/>
      <c r="CLN56" s="113"/>
      <c r="CLO56" s="113"/>
      <c r="CLP56" s="113"/>
      <c r="CLQ56" s="113"/>
      <c r="CLR56" s="113"/>
      <c r="CLS56" s="113"/>
      <c r="CLT56" s="113"/>
      <c r="CLU56" s="113"/>
      <c r="CLV56" s="113"/>
      <c r="CLW56" s="113"/>
      <c r="CLX56" s="113"/>
      <c r="CLY56" s="113"/>
      <c r="CLZ56" s="113"/>
      <c r="CMA56" s="113"/>
      <c r="CMB56" s="113"/>
      <c r="CMC56" s="113"/>
      <c r="CMD56" s="113"/>
      <c r="CME56" s="113"/>
      <c r="CMF56" s="113"/>
      <c r="CMG56" s="113"/>
      <c r="CMH56" s="113"/>
      <c r="CMI56" s="113"/>
      <c r="CMJ56" s="113"/>
      <c r="CMK56" s="113"/>
      <c r="CML56" s="113"/>
      <c r="CMM56" s="113"/>
      <c r="CMN56" s="113"/>
      <c r="CMO56" s="113"/>
      <c r="CMP56" s="113"/>
      <c r="CMQ56" s="113"/>
      <c r="CMR56" s="113"/>
      <c r="CMS56" s="113"/>
      <c r="CMT56" s="113"/>
      <c r="CMU56" s="113"/>
      <c r="CMV56" s="113"/>
      <c r="CMW56" s="113"/>
      <c r="CMX56" s="113"/>
      <c r="CMY56" s="113"/>
      <c r="CMZ56" s="113"/>
      <c r="CNA56" s="113"/>
      <c r="CNB56" s="113"/>
      <c r="CNC56" s="113"/>
      <c r="CND56" s="113"/>
      <c r="CNE56" s="113"/>
      <c r="CNF56" s="113"/>
      <c r="CNG56" s="113"/>
      <c r="CNH56" s="113"/>
      <c r="CNI56" s="113"/>
      <c r="CNJ56" s="113"/>
      <c r="CNK56" s="113"/>
      <c r="CNL56" s="113"/>
      <c r="CNM56" s="113"/>
      <c r="CNN56" s="113"/>
      <c r="CNO56" s="113"/>
      <c r="CNP56" s="113"/>
      <c r="CNQ56" s="113"/>
      <c r="CNR56" s="113"/>
      <c r="CNS56" s="113"/>
      <c r="CNT56" s="113"/>
      <c r="CNU56" s="113"/>
      <c r="CNV56" s="113"/>
      <c r="CNW56" s="113"/>
      <c r="CNX56" s="113"/>
      <c r="CNY56" s="113"/>
      <c r="CNZ56" s="113"/>
      <c r="COA56" s="113"/>
      <c r="COB56" s="113"/>
      <c r="COC56" s="113"/>
      <c r="COD56" s="113"/>
      <c r="COE56" s="113"/>
      <c r="COF56" s="113"/>
      <c r="COG56" s="113"/>
      <c r="COH56" s="113"/>
      <c r="COI56" s="113"/>
      <c r="COJ56" s="113"/>
      <c r="COK56" s="113"/>
      <c r="COL56" s="113"/>
      <c r="COM56" s="113"/>
      <c r="CON56" s="113"/>
      <c r="COO56" s="113"/>
      <c r="COP56" s="113"/>
      <c r="COQ56" s="113"/>
      <c r="COR56" s="113"/>
      <c r="COS56" s="113"/>
      <c r="COT56" s="113"/>
      <c r="COU56" s="113"/>
      <c r="COV56" s="113"/>
      <c r="COW56" s="113"/>
      <c r="COX56" s="113"/>
      <c r="COY56" s="113"/>
      <c r="COZ56" s="113"/>
      <c r="CPA56" s="113"/>
      <c r="CPB56" s="113"/>
      <c r="CPC56" s="113"/>
      <c r="CPD56" s="113"/>
      <c r="CPE56" s="113"/>
      <c r="CPF56" s="113"/>
      <c r="CPG56" s="113"/>
      <c r="CPH56" s="113"/>
      <c r="CPI56" s="113"/>
      <c r="CPJ56" s="113"/>
      <c r="CPK56" s="113"/>
      <c r="CPL56" s="113"/>
      <c r="CPM56" s="113"/>
      <c r="CPN56" s="113"/>
      <c r="CPO56" s="113"/>
      <c r="CPP56" s="113"/>
      <c r="CPQ56" s="113"/>
      <c r="CPR56" s="113"/>
      <c r="CPS56" s="113"/>
      <c r="CPT56" s="113"/>
      <c r="CPU56" s="113"/>
      <c r="CPV56" s="113"/>
      <c r="CPW56" s="113"/>
      <c r="CPX56" s="113"/>
      <c r="CPY56" s="113"/>
      <c r="CPZ56" s="113"/>
      <c r="CQA56" s="113"/>
      <c r="CQB56" s="113"/>
      <c r="CQC56" s="113"/>
      <c r="CQD56" s="113"/>
      <c r="CQE56" s="113"/>
      <c r="CQF56" s="113"/>
      <c r="CQG56" s="113"/>
      <c r="CQH56" s="113"/>
      <c r="CQI56" s="113"/>
      <c r="CQJ56" s="113"/>
      <c r="CQK56" s="113"/>
      <c r="CQL56" s="113"/>
      <c r="CQM56" s="113"/>
      <c r="CQN56" s="113"/>
      <c r="CQO56" s="113"/>
      <c r="CQP56" s="113"/>
      <c r="CQQ56" s="113"/>
      <c r="CQR56" s="113"/>
      <c r="CQS56" s="113"/>
      <c r="CQT56" s="113"/>
      <c r="CQU56" s="113"/>
      <c r="CQV56" s="113"/>
      <c r="CQW56" s="113"/>
      <c r="CQX56" s="113"/>
      <c r="CQY56" s="113"/>
      <c r="CQZ56" s="113"/>
      <c r="CRA56" s="113"/>
      <c r="CRB56" s="113"/>
      <c r="CRC56" s="113"/>
      <c r="CRD56" s="113"/>
      <c r="CRE56" s="113"/>
      <c r="CRF56" s="113"/>
      <c r="CRG56" s="113"/>
      <c r="CRH56" s="113"/>
      <c r="CRI56" s="113"/>
      <c r="CRJ56" s="113"/>
      <c r="CRK56" s="113"/>
      <c r="CRL56" s="113"/>
      <c r="CRM56" s="113"/>
      <c r="CRN56" s="113"/>
      <c r="CRO56" s="113"/>
      <c r="CRP56" s="113"/>
      <c r="CRQ56" s="113"/>
      <c r="CRR56" s="113"/>
      <c r="CRS56" s="113"/>
      <c r="CRT56" s="113"/>
      <c r="CRU56" s="113"/>
      <c r="CRV56" s="113"/>
      <c r="CRW56" s="113"/>
      <c r="CRX56" s="113"/>
      <c r="CRY56" s="113"/>
      <c r="CRZ56" s="113"/>
      <c r="CSA56" s="113"/>
      <c r="CSB56" s="113"/>
      <c r="CSC56" s="113"/>
      <c r="CSD56" s="113"/>
      <c r="CSE56" s="113"/>
      <c r="CSF56" s="113"/>
      <c r="CSG56" s="113"/>
      <c r="CSH56" s="113"/>
      <c r="CSI56" s="113"/>
      <c r="CSJ56" s="113"/>
      <c r="CSK56" s="113"/>
      <c r="CSL56" s="113"/>
      <c r="CSM56" s="113"/>
      <c r="CSN56" s="113"/>
      <c r="CSO56" s="113"/>
      <c r="CSP56" s="113"/>
      <c r="CSQ56" s="113"/>
      <c r="CSR56" s="113"/>
      <c r="CSS56" s="113"/>
      <c r="CST56" s="113"/>
      <c r="CSU56" s="113"/>
      <c r="CSV56" s="113"/>
      <c r="CSW56" s="113"/>
      <c r="CSX56" s="113"/>
      <c r="CSY56" s="113"/>
      <c r="CSZ56" s="113"/>
      <c r="CTA56" s="113"/>
      <c r="CTB56" s="113"/>
      <c r="CTC56" s="113"/>
      <c r="CTD56" s="113"/>
      <c r="CTE56" s="113"/>
      <c r="CTF56" s="113"/>
      <c r="CTG56" s="113"/>
      <c r="CTH56" s="113"/>
      <c r="CTI56" s="113"/>
      <c r="CTJ56" s="113"/>
      <c r="CTK56" s="113"/>
      <c r="CTL56" s="113"/>
      <c r="CTM56" s="113"/>
      <c r="CTN56" s="113"/>
      <c r="CTO56" s="113"/>
      <c r="CTP56" s="113"/>
      <c r="CTQ56" s="113"/>
      <c r="CTR56" s="113"/>
      <c r="CTS56" s="113"/>
      <c r="CTT56" s="113"/>
      <c r="CTU56" s="113"/>
      <c r="CTV56" s="113"/>
      <c r="CTW56" s="113"/>
      <c r="CTX56" s="113"/>
      <c r="CTY56" s="113"/>
      <c r="CTZ56" s="113"/>
      <c r="CUA56" s="113"/>
      <c r="CUB56" s="113"/>
      <c r="CUC56" s="113"/>
      <c r="CUD56" s="113"/>
      <c r="CUE56" s="113"/>
      <c r="CUF56" s="113"/>
      <c r="CUG56" s="113"/>
      <c r="CUH56" s="113"/>
      <c r="CUI56" s="113"/>
      <c r="CUJ56" s="113"/>
      <c r="CUK56" s="113"/>
      <c r="CUL56" s="113"/>
      <c r="CUM56" s="113"/>
      <c r="CUN56" s="113"/>
      <c r="CUO56" s="113"/>
      <c r="CUP56" s="113"/>
      <c r="CUQ56" s="113"/>
      <c r="CUR56" s="113"/>
      <c r="CUS56" s="113"/>
      <c r="CUT56" s="113"/>
      <c r="CUU56" s="113"/>
      <c r="CUV56" s="113"/>
      <c r="CUW56" s="113"/>
      <c r="CUX56" s="113"/>
      <c r="CUY56" s="113"/>
      <c r="CUZ56" s="113"/>
      <c r="CVA56" s="113"/>
      <c r="CVB56" s="113"/>
      <c r="CVC56" s="113"/>
      <c r="CVD56" s="113"/>
      <c r="CVE56" s="113"/>
      <c r="CVF56" s="113"/>
      <c r="CVG56" s="113"/>
      <c r="CVH56" s="113"/>
      <c r="CVI56" s="113"/>
      <c r="CVJ56" s="113"/>
      <c r="CVK56" s="113"/>
      <c r="CVL56" s="113"/>
      <c r="CVM56" s="113"/>
      <c r="CVN56" s="113"/>
      <c r="CVO56" s="113"/>
      <c r="CVP56" s="113"/>
      <c r="CVQ56" s="113"/>
      <c r="CVR56" s="113"/>
      <c r="CVS56" s="113"/>
      <c r="CVT56" s="113"/>
      <c r="CVU56" s="113"/>
      <c r="CVV56" s="113"/>
      <c r="CVW56" s="113"/>
      <c r="CVX56" s="113"/>
      <c r="CVY56" s="113"/>
      <c r="CVZ56" s="113"/>
      <c r="CWA56" s="113"/>
      <c r="CWB56" s="113"/>
      <c r="CWC56" s="113"/>
      <c r="CWD56" s="113"/>
      <c r="CWE56" s="113"/>
      <c r="CWF56" s="113"/>
      <c r="CWG56" s="113"/>
      <c r="CWH56" s="113"/>
      <c r="CWI56" s="113"/>
      <c r="CWJ56" s="113"/>
      <c r="CWK56" s="113"/>
      <c r="CWL56" s="113"/>
      <c r="CWM56" s="113"/>
      <c r="CWN56" s="113"/>
      <c r="CWO56" s="113"/>
      <c r="CWP56" s="113"/>
      <c r="CWQ56" s="113"/>
      <c r="CWR56" s="113"/>
      <c r="CWS56" s="113"/>
      <c r="CWT56" s="113"/>
      <c r="CWU56" s="113"/>
      <c r="CWV56" s="113"/>
      <c r="CWW56" s="113"/>
      <c r="CWX56" s="113"/>
      <c r="CWY56" s="113"/>
      <c r="CWZ56" s="113"/>
      <c r="CXA56" s="113"/>
      <c r="CXB56" s="113"/>
      <c r="CXC56" s="113"/>
      <c r="CXD56" s="113"/>
      <c r="CXE56" s="113"/>
      <c r="CXF56" s="113"/>
      <c r="CXG56" s="113"/>
      <c r="CXH56" s="113"/>
      <c r="CXI56" s="113"/>
      <c r="CXJ56" s="113"/>
      <c r="CXK56" s="113"/>
      <c r="CXL56" s="113"/>
      <c r="CXM56" s="113"/>
      <c r="CXN56" s="113"/>
      <c r="CXO56" s="113"/>
      <c r="CXP56" s="113"/>
      <c r="CXQ56" s="113"/>
      <c r="CXR56" s="113"/>
      <c r="CXS56" s="113"/>
      <c r="CXT56" s="113"/>
      <c r="CXU56" s="113"/>
      <c r="CXV56" s="113"/>
      <c r="CXW56" s="113"/>
      <c r="CXX56" s="113"/>
      <c r="CXY56" s="113"/>
      <c r="CXZ56" s="113"/>
      <c r="CYA56" s="113"/>
      <c r="CYB56" s="113"/>
      <c r="CYC56" s="113"/>
      <c r="CYD56" s="113"/>
      <c r="CYE56" s="113"/>
      <c r="CYF56" s="113"/>
      <c r="CYG56" s="113"/>
      <c r="CYH56" s="113"/>
      <c r="CYI56" s="113"/>
      <c r="CYJ56" s="113"/>
      <c r="CYK56" s="113"/>
      <c r="CYL56" s="113"/>
      <c r="CYM56" s="113"/>
      <c r="CYN56" s="113"/>
      <c r="CYO56" s="113"/>
      <c r="CYP56" s="113"/>
      <c r="CYQ56" s="113"/>
      <c r="CYR56" s="113"/>
      <c r="CYS56" s="113"/>
      <c r="CYT56" s="113"/>
      <c r="CYU56" s="113"/>
      <c r="CYV56" s="113"/>
      <c r="CYW56" s="113"/>
      <c r="CYX56" s="113"/>
      <c r="CYY56" s="113"/>
      <c r="CYZ56" s="113"/>
      <c r="CZA56" s="113"/>
      <c r="CZB56" s="113"/>
      <c r="CZC56" s="113"/>
      <c r="CZD56" s="113"/>
      <c r="CZE56" s="113"/>
      <c r="CZF56" s="113"/>
      <c r="CZG56" s="113"/>
      <c r="CZH56" s="113"/>
      <c r="CZI56" s="113"/>
      <c r="CZJ56" s="113"/>
      <c r="CZK56" s="113"/>
      <c r="CZL56" s="113"/>
      <c r="CZM56" s="113"/>
      <c r="CZN56" s="113"/>
      <c r="CZO56" s="113"/>
      <c r="CZP56" s="113"/>
      <c r="CZQ56" s="113"/>
      <c r="CZR56" s="113"/>
      <c r="CZS56" s="113"/>
      <c r="CZT56" s="113"/>
      <c r="CZU56" s="113"/>
      <c r="CZV56" s="113"/>
      <c r="CZW56" s="113"/>
      <c r="CZX56" s="113"/>
      <c r="CZY56" s="113"/>
      <c r="CZZ56" s="113"/>
      <c r="DAA56" s="113"/>
      <c r="DAB56" s="113"/>
      <c r="DAC56" s="113"/>
      <c r="DAD56" s="113"/>
      <c r="DAE56" s="113"/>
      <c r="DAF56" s="113"/>
      <c r="DAG56" s="113"/>
      <c r="DAH56" s="113"/>
      <c r="DAI56" s="113"/>
      <c r="DAJ56" s="113"/>
      <c r="DAK56" s="113"/>
      <c r="DAL56" s="113"/>
      <c r="DAM56" s="113"/>
      <c r="DAN56" s="113"/>
      <c r="DAO56" s="113"/>
      <c r="DAP56" s="113"/>
      <c r="DAQ56" s="113"/>
      <c r="DAR56" s="113"/>
      <c r="DAS56" s="113"/>
      <c r="DAT56" s="113"/>
      <c r="DAU56" s="113"/>
      <c r="DAV56" s="113"/>
      <c r="DAW56" s="113"/>
      <c r="DAX56" s="113"/>
      <c r="DAY56" s="113"/>
      <c r="DAZ56" s="113"/>
      <c r="DBA56" s="113"/>
      <c r="DBB56" s="113"/>
      <c r="DBC56" s="113"/>
      <c r="DBD56" s="113"/>
      <c r="DBE56" s="113"/>
      <c r="DBF56" s="113"/>
      <c r="DBG56" s="113"/>
      <c r="DBH56" s="113"/>
      <c r="DBI56" s="113"/>
      <c r="DBJ56" s="113"/>
      <c r="DBK56" s="113"/>
      <c r="DBL56" s="113"/>
      <c r="DBM56" s="113"/>
      <c r="DBN56" s="113"/>
      <c r="DBO56" s="113"/>
      <c r="DBP56" s="113"/>
      <c r="DBQ56" s="113"/>
      <c r="DBR56" s="113"/>
      <c r="DBS56" s="113"/>
      <c r="DBT56" s="113"/>
      <c r="DBU56" s="113"/>
      <c r="DBV56" s="113"/>
      <c r="DBW56" s="113"/>
      <c r="DBX56" s="113"/>
      <c r="DBY56" s="113"/>
      <c r="DBZ56" s="113"/>
      <c r="DCA56" s="113"/>
      <c r="DCB56" s="113"/>
      <c r="DCC56" s="113"/>
      <c r="DCD56" s="113"/>
      <c r="DCE56" s="113"/>
      <c r="DCF56" s="113"/>
      <c r="DCG56" s="113"/>
      <c r="DCH56" s="113"/>
      <c r="DCI56" s="113"/>
      <c r="DCJ56" s="113"/>
      <c r="DCK56" s="113"/>
      <c r="DCL56" s="113"/>
      <c r="DCM56" s="113"/>
      <c r="DCN56" s="113"/>
      <c r="DCO56" s="113"/>
      <c r="DCP56" s="113"/>
      <c r="DCQ56" s="113"/>
      <c r="DCR56" s="113"/>
      <c r="DCS56" s="113"/>
      <c r="DCT56" s="113"/>
      <c r="DCU56" s="113"/>
      <c r="DCV56" s="113"/>
      <c r="DCW56" s="113"/>
      <c r="DCX56" s="113"/>
      <c r="DCY56" s="113"/>
      <c r="DCZ56" s="113"/>
      <c r="DDA56" s="113"/>
      <c r="DDB56" s="113"/>
      <c r="DDC56" s="113"/>
      <c r="DDD56" s="113"/>
      <c r="DDE56" s="113"/>
      <c r="DDF56" s="113"/>
      <c r="DDG56" s="113"/>
      <c r="DDH56" s="113"/>
      <c r="DDI56" s="113"/>
      <c r="DDJ56" s="113"/>
      <c r="DDK56" s="113"/>
      <c r="DDL56" s="113"/>
      <c r="DDM56" s="113"/>
      <c r="DDN56" s="113"/>
      <c r="DDO56" s="113"/>
      <c r="DDP56" s="113"/>
      <c r="DDQ56" s="113"/>
      <c r="DDR56" s="113"/>
      <c r="DDS56" s="113"/>
      <c r="DDT56" s="113"/>
      <c r="DDU56" s="113"/>
      <c r="DDV56" s="113"/>
      <c r="DDW56" s="113"/>
      <c r="DDX56" s="113"/>
      <c r="DDY56" s="113"/>
      <c r="DDZ56" s="113"/>
      <c r="DEA56" s="113"/>
      <c r="DEB56" s="113"/>
      <c r="DEC56" s="113"/>
      <c r="DED56" s="113"/>
      <c r="DEE56" s="113"/>
      <c r="DEF56" s="113"/>
      <c r="DEG56" s="113"/>
      <c r="DEH56" s="113"/>
      <c r="DEI56" s="113"/>
      <c r="DEJ56" s="113"/>
      <c r="DEK56" s="113"/>
      <c r="DEL56" s="113"/>
      <c r="DEM56" s="113"/>
      <c r="DEN56" s="113"/>
      <c r="DEO56" s="113"/>
      <c r="DEP56" s="113"/>
      <c r="DEQ56" s="113"/>
      <c r="DER56" s="113"/>
      <c r="DES56" s="113"/>
      <c r="DET56" s="113"/>
      <c r="DEU56" s="113"/>
      <c r="DEV56" s="113"/>
      <c r="DEW56" s="113"/>
      <c r="DEX56" s="113"/>
      <c r="DEY56" s="113"/>
      <c r="DEZ56" s="113"/>
      <c r="DFA56" s="113"/>
      <c r="DFB56" s="113"/>
      <c r="DFC56" s="113"/>
      <c r="DFD56" s="113"/>
      <c r="DFE56" s="113"/>
      <c r="DFF56" s="113"/>
      <c r="DFG56" s="113"/>
      <c r="DFH56" s="113"/>
      <c r="DFI56" s="113"/>
      <c r="DFJ56" s="113"/>
      <c r="DFK56" s="113"/>
      <c r="DFL56" s="113"/>
      <c r="DFM56" s="113"/>
      <c r="DFN56" s="113"/>
      <c r="DFO56" s="113"/>
      <c r="DFP56" s="113"/>
      <c r="DFQ56" s="113"/>
      <c r="DFR56" s="113"/>
      <c r="DFS56" s="113"/>
      <c r="DFT56" s="113"/>
      <c r="DFU56" s="113"/>
      <c r="DFV56" s="113"/>
      <c r="DFW56" s="113"/>
      <c r="DFX56" s="113"/>
      <c r="DFY56" s="113"/>
      <c r="DFZ56" s="113"/>
      <c r="DGA56" s="113"/>
      <c r="DGB56" s="113"/>
      <c r="DGC56" s="113"/>
      <c r="DGD56" s="113"/>
      <c r="DGE56" s="113"/>
      <c r="DGF56" s="113"/>
      <c r="DGG56" s="113"/>
      <c r="DGH56" s="113"/>
      <c r="DGI56" s="113"/>
      <c r="DGJ56" s="113"/>
      <c r="DGK56" s="113"/>
      <c r="DGL56" s="113"/>
      <c r="DGM56" s="113"/>
      <c r="DGN56" s="113"/>
      <c r="DGO56" s="113"/>
      <c r="DGP56" s="113"/>
      <c r="DGQ56" s="113"/>
      <c r="DGR56" s="113"/>
      <c r="DGS56" s="113"/>
      <c r="DGT56" s="113"/>
      <c r="DGU56" s="113"/>
      <c r="DGV56" s="113"/>
      <c r="DGW56" s="113"/>
      <c r="DGX56" s="113"/>
      <c r="DGY56" s="113"/>
      <c r="DGZ56" s="113"/>
      <c r="DHA56" s="113"/>
      <c r="DHB56" s="113"/>
      <c r="DHC56" s="113"/>
      <c r="DHD56" s="113"/>
      <c r="DHE56" s="113"/>
      <c r="DHF56" s="113"/>
      <c r="DHG56" s="113"/>
      <c r="DHH56" s="113"/>
      <c r="DHI56" s="113"/>
      <c r="DHJ56" s="113"/>
      <c r="DHK56" s="113"/>
      <c r="DHL56" s="113"/>
      <c r="DHM56" s="113"/>
      <c r="DHN56" s="113"/>
      <c r="DHO56" s="113"/>
      <c r="DHP56" s="113"/>
      <c r="DHQ56" s="113"/>
      <c r="DHR56" s="113"/>
      <c r="DHS56" s="113"/>
      <c r="DHT56" s="113"/>
      <c r="DHU56" s="113"/>
      <c r="DHV56" s="113"/>
      <c r="DHW56" s="113"/>
      <c r="DHX56" s="113"/>
      <c r="DHY56" s="113"/>
      <c r="DHZ56" s="113"/>
      <c r="DIA56" s="113"/>
      <c r="DIB56" s="113"/>
      <c r="DIC56" s="113"/>
      <c r="DID56" s="113"/>
      <c r="DIE56" s="113"/>
      <c r="DIF56" s="113"/>
      <c r="DIG56" s="113"/>
      <c r="DIH56" s="113"/>
      <c r="DII56" s="113"/>
      <c r="DIJ56" s="113"/>
      <c r="DIK56" s="113"/>
      <c r="DIL56" s="113"/>
      <c r="DIM56" s="113"/>
      <c r="DIN56" s="113"/>
      <c r="DIO56" s="113"/>
      <c r="DIP56" s="113"/>
      <c r="DIQ56" s="113"/>
      <c r="DIR56" s="113"/>
      <c r="DIS56" s="113"/>
      <c r="DIT56" s="113"/>
      <c r="DIU56" s="113"/>
      <c r="DIV56" s="113"/>
      <c r="DIW56" s="113"/>
      <c r="DIX56" s="113"/>
      <c r="DIY56" s="113"/>
      <c r="DIZ56" s="113"/>
      <c r="DJA56" s="113"/>
      <c r="DJB56" s="113"/>
      <c r="DJC56" s="113"/>
      <c r="DJD56" s="113"/>
      <c r="DJE56" s="113"/>
      <c r="DJF56" s="113"/>
      <c r="DJG56" s="113"/>
      <c r="DJH56" s="113"/>
      <c r="DJI56" s="113"/>
      <c r="DJJ56" s="113"/>
      <c r="DJK56" s="113"/>
      <c r="DJL56" s="113"/>
      <c r="DJM56" s="113"/>
      <c r="DJN56" s="113"/>
      <c r="DJO56" s="113"/>
      <c r="DJP56" s="113"/>
      <c r="DJQ56" s="113"/>
      <c r="DJR56" s="113"/>
      <c r="DJS56" s="113"/>
      <c r="DJT56" s="113"/>
      <c r="DJU56" s="113"/>
      <c r="DJV56" s="113"/>
      <c r="DJW56" s="113"/>
      <c r="DJX56" s="113"/>
      <c r="DJY56" s="113"/>
      <c r="DJZ56" s="113"/>
      <c r="DKA56" s="113"/>
      <c r="DKB56" s="113"/>
      <c r="DKC56" s="113"/>
      <c r="DKD56" s="113"/>
      <c r="DKE56" s="113"/>
      <c r="DKF56" s="113"/>
      <c r="DKG56" s="113"/>
      <c r="DKH56" s="113"/>
      <c r="DKI56" s="113"/>
      <c r="DKJ56" s="113"/>
      <c r="DKK56" s="113"/>
      <c r="DKL56" s="113"/>
      <c r="DKM56" s="113"/>
      <c r="DKN56" s="113"/>
      <c r="DKO56" s="113"/>
      <c r="DKP56" s="113"/>
      <c r="DKQ56" s="113"/>
      <c r="DKR56" s="113"/>
      <c r="DKS56" s="113"/>
      <c r="DKT56" s="113"/>
      <c r="DKU56" s="113"/>
      <c r="DKV56" s="113"/>
      <c r="DKW56" s="113"/>
      <c r="DKX56" s="113"/>
      <c r="DKY56" s="113"/>
      <c r="DKZ56" s="113"/>
      <c r="DLA56" s="113"/>
      <c r="DLB56" s="113"/>
      <c r="DLC56" s="113"/>
      <c r="DLD56" s="113"/>
      <c r="DLE56" s="113"/>
      <c r="DLF56" s="113"/>
      <c r="DLG56" s="113"/>
      <c r="DLH56" s="113"/>
      <c r="DLI56" s="113"/>
      <c r="DLJ56" s="113"/>
      <c r="DLK56" s="113"/>
      <c r="DLL56" s="113"/>
      <c r="DLM56" s="113"/>
      <c r="DLN56" s="113"/>
      <c r="DLO56" s="113"/>
      <c r="DLP56" s="113"/>
      <c r="DLQ56" s="113"/>
      <c r="DLR56" s="113"/>
      <c r="DLS56" s="113"/>
      <c r="DLT56" s="113"/>
      <c r="DLU56" s="113"/>
      <c r="DLV56" s="113"/>
      <c r="DLW56" s="113"/>
      <c r="DLX56" s="113"/>
      <c r="DLY56" s="113"/>
      <c r="DLZ56" s="113"/>
      <c r="DMA56" s="113"/>
      <c r="DMB56" s="113"/>
      <c r="DMC56" s="113"/>
      <c r="DMD56" s="113"/>
      <c r="DME56" s="113"/>
      <c r="DMF56" s="113"/>
      <c r="DMG56" s="113"/>
      <c r="DMH56" s="113"/>
      <c r="DMI56" s="113"/>
      <c r="DMJ56" s="113"/>
      <c r="DMK56" s="113"/>
      <c r="DML56" s="113"/>
      <c r="DMM56" s="113"/>
      <c r="DMN56" s="113"/>
      <c r="DMO56" s="113"/>
      <c r="DMP56" s="113"/>
      <c r="DMQ56" s="113"/>
      <c r="DMR56" s="113"/>
      <c r="DMS56" s="113"/>
      <c r="DMT56" s="113"/>
      <c r="DMU56" s="113"/>
      <c r="DMV56" s="113"/>
      <c r="DMW56" s="113"/>
      <c r="DMX56" s="113"/>
      <c r="DMY56" s="113"/>
      <c r="DMZ56" s="113"/>
      <c r="DNA56" s="113"/>
      <c r="DNB56" s="113"/>
      <c r="DNC56" s="113"/>
      <c r="DND56" s="113"/>
      <c r="DNE56" s="113"/>
      <c r="DNF56" s="113"/>
      <c r="DNG56" s="113"/>
      <c r="DNH56" s="113"/>
      <c r="DNI56" s="113"/>
      <c r="DNJ56" s="113"/>
      <c r="DNK56" s="113"/>
      <c r="DNL56" s="113"/>
      <c r="DNM56" s="113"/>
      <c r="DNN56" s="113"/>
      <c r="DNO56" s="113"/>
      <c r="DNP56" s="113"/>
      <c r="DNQ56" s="113"/>
      <c r="DNR56" s="113"/>
      <c r="DNS56" s="113"/>
      <c r="DNT56" s="113"/>
      <c r="DNU56" s="113"/>
      <c r="DNV56" s="113"/>
      <c r="DNW56" s="113"/>
      <c r="DNX56" s="113"/>
      <c r="DNY56" s="113"/>
      <c r="DNZ56" s="113"/>
      <c r="DOA56" s="113"/>
      <c r="DOB56" s="113"/>
      <c r="DOC56" s="113"/>
      <c r="DOD56" s="113"/>
      <c r="DOE56" s="113"/>
      <c r="DOF56" s="113"/>
      <c r="DOG56" s="113"/>
      <c r="DOH56" s="113"/>
      <c r="DOI56" s="113"/>
      <c r="DOJ56" s="113"/>
      <c r="DOK56" s="113"/>
      <c r="DOL56" s="113"/>
      <c r="DOM56" s="113"/>
      <c r="DON56" s="113"/>
      <c r="DOO56" s="113"/>
      <c r="DOP56" s="113"/>
      <c r="DOQ56" s="113"/>
      <c r="DOR56" s="113"/>
      <c r="DOS56" s="113"/>
      <c r="DOT56" s="113"/>
      <c r="DOU56" s="113"/>
      <c r="DOV56" s="113"/>
      <c r="DOW56" s="113"/>
      <c r="DOX56" s="113"/>
      <c r="DOY56" s="113"/>
      <c r="DOZ56" s="113"/>
      <c r="DPA56" s="113"/>
      <c r="DPB56" s="113"/>
      <c r="DPC56" s="113"/>
      <c r="DPD56" s="113"/>
      <c r="DPE56" s="113"/>
      <c r="DPF56" s="113"/>
      <c r="DPG56" s="113"/>
      <c r="DPH56" s="113"/>
      <c r="DPI56" s="113"/>
      <c r="DPJ56" s="113"/>
      <c r="DPK56" s="113"/>
      <c r="DPL56" s="113"/>
      <c r="DPM56" s="113"/>
      <c r="DPN56" s="113"/>
      <c r="DPO56" s="113"/>
      <c r="DPP56" s="113"/>
      <c r="DPQ56" s="113"/>
      <c r="DPR56" s="113"/>
      <c r="DPS56" s="113"/>
      <c r="DPT56" s="113"/>
      <c r="DPU56" s="113"/>
      <c r="DPV56" s="113"/>
      <c r="DPW56" s="113"/>
      <c r="DPX56" s="113"/>
      <c r="DPY56" s="113"/>
      <c r="DPZ56" s="113"/>
      <c r="DQA56" s="113"/>
      <c r="DQB56" s="113"/>
      <c r="DQC56" s="113"/>
      <c r="DQD56" s="113"/>
      <c r="DQE56" s="113"/>
      <c r="DQF56" s="113"/>
      <c r="DQG56" s="113"/>
      <c r="DQH56" s="113"/>
      <c r="DQI56" s="113"/>
      <c r="DQJ56" s="113"/>
      <c r="DQK56" s="113"/>
      <c r="DQL56" s="113"/>
      <c r="DQM56" s="113"/>
      <c r="DQN56" s="113"/>
      <c r="DQO56" s="113"/>
      <c r="DQP56" s="113"/>
      <c r="DQQ56" s="113"/>
      <c r="DQR56" s="113"/>
      <c r="DQS56" s="113"/>
      <c r="DQT56" s="113"/>
      <c r="DQU56" s="113"/>
      <c r="DQV56" s="113"/>
      <c r="DQW56" s="113"/>
      <c r="DQX56" s="113"/>
      <c r="DQY56" s="113"/>
      <c r="DQZ56" s="113"/>
      <c r="DRA56" s="113"/>
      <c r="DRB56" s="113"/>
      <c r="DRC56" s="113"/>
      <c r="DRD56" s="113"/>
      <c r="DRE56" s="113"/>
      <c r="DRF56" s="113"/>
      <c r="DRG56" s="113"/>
      <c r="DRH56" s="113"/>
      <c r="DRI56" s="113"/>
      <c r="DRJ56" s="113"/>
      <c r="DRK56" s="113"/>
      <c r="DRL56" s="113"/>
      <c r="DRM56" s="113"/>
      <c r="DRN56" s="113"/>
      <c r="DRO56" s="113"/>
      <c r="DRP56" s="113"/>
      <c r="DRQ56" s="113"/>
      <c r="DRR56" s="113"/>
      <c r="DRS56" s="113"/>
      <c r="DRT56" s="113"/>
      <c r="DRU56" s="113"/>
      <c r="DRV56" s="113"/>
      <c r="DRW56" s="113"/>
      <c r="DRX56" s="113"/>
      <c r="DRY56" s="113"/>
      <c r="DRZ56" s="113"/>
      <c r="DSA56" s="113"/>
      <c r="DSB56" s="113"/>
      <c r="DSC56" s="113"/>
      <c r="DSD56" s="113"/>
      <c r="DSE56" s="113"/>
      <c r="DSF56" s="113"/>
      <c r="DSG56" s="113"/>
      <c r="DSH56" s="113"/>
      <c r="DSI56" s="113"/>
      <c r="DSJ56" s="113"/>
      <c r="DSK56" s="113"/>
      <c r="DSL56" s="113"/>
      <c r="DSM56" s="113"/>
      <c r="DSN56" s="113"/>
      <c r="DSO56" s="113"/>
      <c r="DSP56" s="113"/>
      <c r="DSQ56" s="113"/>
      <c r="DSR56" s="113"/>
      <c r="DSS56" s="113"/>
      <c r="DST56" s="113"/>
      <c r="DSU56" s="113"/>
      <c r="DSV56" s="113"/>
      <c r="DSW56" s="113"/>
      <c r="DSX56" s="113"/>
      <c r="DSY56" s="113"/>
      <c r="DSZ56" s="113"/>
      <c r="DTA56" s="113"/>
      <c r="DTB56" s="113"/>
      <c r="DTC56" s="113"/>
      <c r="DTD56" s="113"/>
      <c r="DTE56" s="113"/>
      <c r="DTF56" s="113"/>
      <c r="DTG56" s="113"/>
      <c r="DTH56" s="113"/>
      <c r="DTI56" s="113"/>
      <c r="DTJ56" s="113"/>
      <c r="DTK56" s="113"/>
      <c r="DTL56" s="113"/>
      <c r="DTM56" s="113"/>
      <c r="DTN56" s="113"/>
      <c r="DTO56" s="113"/>
      <c r="DTP56" s="113"/>
      <c r="DTQ56" s="113"/>
      <c r="DTR56" s="113"/>
      <c r="DTS56" s="113"/>
      <c r="DTT56" s="113"/>
      <c r="DTU56" s="113"/>
      <c r="DTV56" s="113"/>
      <c r="DTW56" s="113"/>
      <c r="DTX56" s="113"/>
      <c r="DTY56" s="113"/>
      <c r="DTZ56" s="113"/>
      <c r="DUA56" s="113"/>
      <c r="DUB56" s="113"/>
      <c r="DUC56" s="113"/>
      <c r="DUD56" s="113"/>
      <c r="DUE56" s="113"/>
      <c r="DUF56" s="113"/>
      <c r="DUG56" s="113"/>
      <c r="DUH56" s="113"/>
      <c r="DUI56" s="113"/>
      <c r="DUJ56" s="113"/>
      <c r="DUK56" s="113"/>
      <c r="DUL56" s="113"/>
      <c r="DUM56" s="113"/>
      <c r="DUN56" s="113"/>
      <c r="DUO56" s="113"/>
      <c r="DUP56" s="113"/>
      <c r="DUQ56" s="113"/>
      <c r="DUR56" s="113"/>
      <c r="DUS56" s="113"/>
      <c r="DUT56" s="113"/>
      <c r="DUU56" s="113"/>
      <c r="DUV56" s="113"/>
      <c r="DUW56" s="113"/>
      <c r="DUX56" s="113"/>
      <c r="DUY56" s="113"/>
      <c r="DUZ56" s="113"/>
      <c r="DVA56" s="113"/>
      <c r="DVB56" s="113"/>
      <c r="DVC56" s="113"/>
      <c r="DVD56" s="113"/>
      <c r="DVE56" s="113"/>
      <c r="DVF56" s="113"/>
      <c r="DVG56" s="113"/>
      <c r="DVH56" s="113"/>
      <c r="DVI56" s="113"/>
      <c r="DVJ56" s="113"/>
      <c r="DVK56" s="113"/>
      <c r="DVL56" s="113"/>
      <c r="DVM56" s="113"/>
      <c r="DVN56" s="113"/>
      <c r="DVO56" s="113"/>
      <c r="DVP56" s="113"/>
      <c r="DVQ56" s="113"/>
      <c r="DVR56" s="113"/>
      <c r="DVS56" s="113"/>
      <c r="DVT56" s="113"/>
      <c r="DVU56" s="113"/>
      <c r="DVV56" s="113"/>
      <c r="DVW56" s="113"/>
      <c r="DVX56" s="113"/>
      <c r="DVY56" s="113"/>
      <c r="DVZ56" s="113"/>
      <c r="DWA56" s="113"/>
      <c r="DWB56" s="113"/>
      <c r="DWC56" s="113"/>
      <c r="DWD56" s="113"/>
      <c r="DWE56" s="113"/>
      <c r="DWF56" s="113"/>
      <c r="DWG56" s="113"/>
      <c r="DWH56" s="113"/>
      <c r="DWI56" s="113"/>
      <c r="DWJ56" s="113"/>
      <c r="DWK56" s="113"/>
      <c r="DWL56" s="113"/>
      <c r="DWM56" s="113"/>
      <c r="DWN56" s="113"/>
      <c r="DWO56" s="113"/>
      <c r="DWP56" s="113"/>
      <c r="DWQ56" s="113"/>
      <c r="DWR56" s="113"/>
      <c r="DWS56" s="113"/>
      <c r="DWT56" s="113"/>
      <c r="DWU56" s="113"/>
      <c r="DWV56" s="113"/>
      <c r="DWW56" s="113"/>
      <c r="DWX56" s="113"/>
      <c r="DWY56" s="113"/>
      <c r="DWZ56" s="113"/>
      <c r="DXA56" s="113"/>
      <c r="DXB56" s="113"/>
      <c r="DXC56" s="113"/>
      <c r="DXD56" s="113"/>
      <c r="DXE56" s="113"/>
      <c r="DXF56" s="113"/>
      <c r="DXG56" s="113"/>
      <c r="DXH56" s="113"/>
      <c r="DXI56" s="113"/>
      <c r="DXJ56" s="113"/>
      <c r="DXK56" s="113"/>
      <c r="DXL56" s="113"/>
      <c r="DXM56" s="113"/>
      <c r="DXN56" s="113"/>
      <c r="DXO56" s="113"/>
      <c r="DXP56" s="113"/>
      <c r="DXQ56" s="113"/>
      <c r="DXR56" s="113"/>
      <c r="DXS56" s="113"/>
      <c r="DXT56" s="113"/>
      <c r="DXU56" s="113"/>
      <c r="DXV56" s="113"/>
      <c r="DXW56" s="113"/>
      <c r="DXX56" s="113"/>
      <c r="DXY56" s="113"/>
      <c r="DXZ56" s="113"/>
      <c r="DYA56" s="113"/>
      <c r="DYB56" s="113"/>
      <c r="DYC56" s="113"/>
      <c r="DYD56" s="113"/>
      <c r="DYE56" s="113"/>
      <c r="DYF56" s="113"/>
      <c r="DYG56" s="113"/>
      <c r="DYH56" s="113"/>
      <c r="DYI56" s="113"/>
      <c r="DYJ56" s="113"/>
      <c r="DYK56" s="113"/>
      <c r="DYL56" s="113"/>
      <c r="DYM56" s="113"/>
      <c r="DYN56" s="113"/>
      <c r="DYO56" s="113"/>
      <c r="DYP56" s="113"/>
      <c r="DYQ56" s="113"/>
      <c r="DYR56" s="113"/>
      <c r="DYS56" s="113"/>
      <c r="DYT56" s="113"/>
      <c r="DYU56" s="113"/>
      <c r="DYV56" s="113"/>
      <c r="DYW56" s="113"/>
      <c r="DYX56" s="113"/>
      <c r="DYY56" s="113"/>
      <c r="DYZ56" s="113"/>
      <c r="DZA56" s="113"/>
      <c r="DZB56" s="113"/>
      <c r="DZC56" s="113"/>
      <c r="DZD56" s="113"/>
      <c r="DZE56" s="113"/>
      <c r="DZF56" s="113"/>
      <c r="DZG56" s="113"/>
      <c r="DZH56" s="113"/>
      <c r="DZI56" s="113"/>
      <c r="DZJ56" s="113"/>
      <c r="DZK56" s="113"/>
      <c r="DZL56" s="113"/>
      <c r="DZM56" s="113"/>
      <c r="DZN56" s="113"/>
      <c r="DZO56" s="113"/>
      <c r="DZP56" s="113"/>
      <c r="DZQ56" s="113"/>
      <c r="DZR56" s="113"/>
      <c r="DZS56" s="113"/>
      <c r="DZT56" s="113"/>
      <c r="DZU56" s="113"/>
      <c r="DZV56" s="113"/>
      <c r="DZW56" s="113"/>
      <c r="DZX56" s="113"/>
      <c r="DZY56" s="113"/>
      <c r="DZZ56" s="113"/>
      <c r="EAA56" s="113"/>
      <c r="EAB56" s="113"/>
      <c r="EAC56" s="113"/>
      <c r="EAD56" s="113"/>
      <c r="EAE56" s="113"/>
      <c r="EAF56" s="113"/>
      <c r="EAG56" s="113"/>
      <c r="EAH56" s="113"/>
      <c r="EAI56" s="113"/>
      <c r="EAJ56" s="113"/>
      <c r="EAK56" s="113"/>
      <c r="EAL56" s="113"/>
      <c r="EAM56" s="113"/>
      <c r="EAN56" s="113"/>
      <c r="EAO56" s="113"/>
      <c r="EAP56" s="113"/>
      <c r="EAQ56" s="113"/>
      <c r="EAR56" s="113"/>
      <c r="EAS56" s="113"/>
      <c r="EAT56" s="113"/>
      <c r="EAU56" s="113"/>
      <c r="EAV56" s="113"/>
      <c r="EAW56" s="113"/>
      <c r="EAX56" s="113"/>
      <c r="EAY56" s="113"/>
      <c r="EAZ56" s="113"/>
      <c r="EBA56" s="113"/>
      <c r="EBB56" s="113"/>
      <c r="EBC56" s="113"/>
      <c r="EBD56" s="113"/>
      <c r="EBE56" s="113"/>
      <c r="EBF56" s="113"/>
      <c r="EBG56" s="113"/>
      <c r="EBH56" s="113"/>
      <c r="EBI56" s="113"/>
      <c r="EBJ56" s="113"/>
      <c r="EBK56" s="113"/>
      <c r="EBL56" s="113"/>
      <c r="EBM56" s="113"/>
      <c r="EBN56" s="113"/>
      <c r="EBO56" s="113"/>
      <c r="EBP56" s="113"/>
      <c r="EBQ56" s="113"/>
      <c r="EBR56" s="113"/>
      <c r="EBS56" s="113"/>
      <c r="EBT56" s="113"/>
      <c r="EBU56" s="113"/>
      <c r="EBV56" s="113"/>
      <c r="EBW56" s="113"/>
      <c r="EBX56" s="113"/>
      <c r="EBY56" s="113"/>
      <c r="EBZ56" s="113"/>
      <c r="ECA56" s="113"/>
      <c r="ECB56" s="113"/>
      <c r="ECC56" s="113"/>
      <c r="ECD56" s="113"/>
      <c r="ECE56" s="113"/>
      <c r="ECF56" s="113"/>
      <c r="ECG56" s="113"/>
      <c r="ECH56" s="113"/>
      <c r="ECI56" s="113"/>
      <c r="ECJ56" s="113"/>
      <c r="ECK56" s="113"/>
      <c r="ECL56" s="113"/>
      <c r="ECM56" s="113"/>
      <c r="ECN56" s="113"/>
      <c r="ECO56" s="113"/>
      <c r="ECP56" s="113"/>
      <c r="ECQ56" s="113"/>
      <c r="ECR56" s="113"/>
      <c r="ECS56" s="113"/>
      <c r="ECT56" s="113"/>
      <c r="ECU56" s="113"/>
      <c r="ECV56" s="113"/>
      <c r="ECW56" s="113"/>
      <c r="ECX56" s="113"/>
      <c r="ECY56" s="113"/>
      <c r="ECZ56" s="113"/>
      <c r="EDA56" s="113"/>
      <c r="EDB56" s="113"/>
      <c r="EDC56" s="113"/>
      <c r="EDD56" s="113"/>
      <c r="EDE56" s="113"/>
      <c r="EDF56" s="113"/>
      <c r="EDG56" s="113"/>
      <c r="EDH56" s="113"/>
      <c r="EDI56" s="113"/>
      <c r="EDJ56" s="113"/>
      <c r="EDK56" s="113"/>
      <c r="EDL56" s="113"/>
      <c r="EDM56" s="113"/>
      <c r="EDN56" s="113"/>
      <c r="EDO56" s="113"/>
      <c r="EDP56" s="113"/>
      <c r="EDQ56" s="113"/>
      <c r="EDR56" s="113"/>
      <c r="EDS56" s="113"/>
      <c r="EDT56" s="113"/>
      <c r="EDU56" s="113"/>
      <c r="EDV56" s="113"/>
      <c r="EDW56" s="113"/>
      <c r="EDX56" s="113"/>
      <c r="EDY56" s="113"/>
      <c r="EDZ56" s="113"/>
      <c r="EEA56" s="113"/>
      <c r="EEB56" s="113"/>
      <c r="EEC56" s="113"/>
      <c r="EED56" s="113"/>
      <c r="EEE56" s="113"/>
      <c r="EEF56" s="113"/>
      <c r="EEG56" s="113"/>
      <c r="EEH56" s="113"/>
      <c r="EEI56" s="113"/>
      <c r="EEJ56" s="113"/>
      <c r="EEK56" s="113"/>
      <c r="EEL56" s="113"/>
      <c r="EEM56" s="113"/>
      <c r="EEN56" s="113"/>
      <c r="EEO56" s="113"/>
      <c r="EEP56" s="113"/>
      <c r="EEQ56" s="113"/>
      <c r="EER56" s="113"/>
      <c r="EES56" s="113"/>
      <c r="EET56" s="113"/>
      <c r="EEU56" s="113"/>
      <c r="EEV56" s="113"/>
      <c r="EEW56" s="113"/>
      <c r="EEX56" s="113"/>
      <c r="EEY56" s="113"/>
      <c r="EEZ56" s="113"/>
      <c r="EFA56" s="113"/>
      <c r="EFB56" s="113"/>
      <c r="EFC56" s="113"/>
      <c r="EFD56" s="113"/>
      <c r="EFE56" s="113"/>
      <c r="EFF56" s="113"/>
      <c r="EFG56" s="113"/>
      <c r="EFH56" s="113"/>
      <c r="EFI56" s="113"/>
      <c r="EFJ56" s="113"/>
      <c r="EFK56" s="113"/>
      <c r="EFL56" s="113"/>
      <c r="EFM56" s="113"/>
      <c r="EFN56" s="113"/>
      <c r="EFO56" s="113"/>
      <c r="EFP56" s="113"/>
      <c r="EFQ56" s="113"/>
      <c r="EFR56" s="113"/>
      <c r="EFS56" s="113"/>
      <c r="EFT56" s="113"/>
      <c r="EFU56" s="113"/>
      <c r="EFV56" s="113"/>
      <c r="EFW56" s="113"/>
      <c r="EFX56" s="113"/>
      <c r="EFY56" s="113"/>
      <c r="EFZ56" s="113"/>
      <c r="EGA56" s="113"/>
      <c r="EGB56" s="113"/>
      <c r="EGC56" s="113"/>
      <c r="EGD56" s="113"/>
      <c r="EGE56" s="113"/>
      <c r="EGF56" s="113"/>
      <c r="EGG56" s="113"/>
      <c r="EGH56" s="113"/>
      <c r="EGI56" s="113"/>
      <c r="EGJ56" s="113"/>
      <c r="EGK56" s="113"/>
      <c r="EGL56" s="113"/>
      <c r="EGM56" s="113"/>
      <c r="EGN56" s="113"/>
      <c r="EGO56" s="113"/>
      <c r="EGP56" s="113"/>
      <c r="EGQ56" s="113"/>
      <c r="EGR56" s="113"/>
      <c r="EGS56" s="113"/>
      <c r="EGT56" s="113"/>
      <c r="EGU56" s="113"/>
      <c r="EGV56" s="113"/>
      <c r="EGW56" s="113"/>
      <c r="EGX56" s="113"/>
      <c r="EGY56" s="113"/>
      <c r="EGZ56" s="113"/>
      <c r="EHA56" s="113"/>
      <c r="EHB56" s="113"/>
      <c r="EHC56" s="113"/>
      <c r="EHD56" s="113"/>
      <c r="EHE56" s="113"/>
      <c r="EHF56" s="113"/>
      <c r="EHG56" s="113"/>
      <c r="EHH56" s="113"/>
      <c r="EHI56" s="113"/>
      <c r="EHJ56" s="113"/>
      <c r="EHK56" s="113"/>
      <c r="EHL56" s="113"/>
      <c r="EHM56" s="113"/>
      <c r="EHN56" s="113"/>
      <c r="EHO56" s="113"/>
      <c r="EHP56" s="113"/>
      <c r="EHQ56" s="113"/>
      <c r="EHR56" s="113"/>
      <c r="EHS56" s="113"/>
      <c r="EHT56" s="113"/>
      <c r="EHU56" s="113"/>
      <c r="EHV56" s="113"/>
      <c r="EHW56" s="113"/>
      <c r="EHX56" s="113"/>
      <c r="EHY56" s="113"/>
      <c r="EHZ56" s="113"/>
      <c r="EIA56" s="113"/>
      <c r="EIB56" s="113"/>
      <c r="EIC56" s="113"/>
      <c r="EID56" s="113"/>
      <c r="EIE56" s="113"/>
      <c r="EIF56" s="113"/>
      <c r="EIG56" s="113"/>
      <c r="EIH56" s="113"/>
      <c r="EII56" s="113"/>
      <c r="EIJ56" s="113"/>
      <c r="EIK56" s="113"/>
      <c r="EIL56" s="113"/>
      <c r="EIM56" s="113"/>
      <c r="EIN56" s="113"/>
      <c r="EIO56" s="113"/>
      <c r="EIP56" s="113"/>
      <c r="EIQ56" s="113"/>
      <c r="EIR56" s="113"/>
      <c r="EIS56" s="113"/>
      <c r="EIT56" s="113"/>
      <c r="EIU56" s="113"/>
      <c r="EIV56" s="113"/>
      <c r="EIW56" s="113"/>
      <c r="EIX56" s="113"/>
      <c r="EIY56" s="113"/>
      <c r="EIZ56" s="113"/>
      <c r="EJA56" s="113"/>
      <c r="EJB56" s="113"/>
      <c r="EJC56" s="113"/>
      <c r="EJD56" s="113"/>
      <c r="EJE56" s="113"/>
      <c r="EJF56" s="113"/>
      <c r="EJG56" s="113"/>
      <c r="EJH56" s="113"/>
      <c r="EJI56" s="113"/>
      <c r="EJJ56" s="113"/>
      <c r="EJK56" s="113"/>
      <c r="EJL56" s="113"/>
      <c r="EJM56" s="113"/>
      <c r="EJN56" s="113"/>
      <c r="EJO56" s="113"/>
      <c r="EJP56" s="113"/>
      <c r="EJQ56" s="113"/>
      <c r="EJR56" s="113"/>
      <c r="EJS56" s="113"/>
      <c r="EJT56" s="113"/>
      <c r="EJU56" s="113"/>
      <c r="EJV56" s="113"/>
      <c r="EJW56" s="113"/>
      <c r="EJX56" s="113"/>
      <c r="EJY56" s="113"/>
      <c r="EJZ56" s="113"/>
      <c r="EKA56" s="113"/>
      <c r="EKB56" s="113"/>
      <c r="EKC56" s="113"/>
      <c r="EKD56" s="113"/>
      <c r="EKE56" s="113"/>
      <c r="EKF56" s="113"/>
      <c r="EKG56" s="113"/>
      <c r="EKH56" s="113"/>
      <c r="EKI56" s="113"/>
      <c r="EKJ56" s="113"/>
      <c r="EKK56" s="113"/>
      <c r="EKL56" s="113"/>
      <c r="EKM56" s="113"/>
      <c r="EKN56" s="113"/>
      <c r="EKO56" s="113"/>
      <c r="EKP56" s="113"/>
      <c r="EKQ56" s="113"/>
      <c r="EKR56" s="113"/>
      <c r="EKS56" s="113"/>
      <c r="EKT56" s="113"/>
      <c r="EKU56" s="113"/>
      <c r="EKV56" s="113"/>
      <c r="EKW56" s="113"/>
      <c r="EKX56" s="113"/>
      <c r="EKY56" s="113"/>
      <c r="EKZ56" s="113"/>
      <c r="ELA56" s="113"/>
      <c r="ELB56" s="113"/>
      <c r="ELC56" s="113"/>
      <c r="ELD56" s="113"/>
      <c r="ELE56" s="113"/>
      <c r="ELF56" s="113"/>
      <c r="ELG56" s="113"/>
      <c r="ELH56" s="113"/>
      <c r="ELI56" s="113"/>
      <c r="ELJ56" s="113"/>
      <c r="ELK56" s="113"/>
      <c r="ELL56" s="113"/>
      <c r="ELM56" s="113"/>
      <c r="ELN56" s="113"/>
      <c r="ELO56" s="113"/>
      <c r="ELP56" s="113"/>
      <c r="ELQ56" s="113"/>
      <c r="ELR56" s="113"/>
      <c r="ELS56" s="113"/>
      <c r="ELT56" s="113"/>
      <c r="ELU56" s="113"/>
      <c r="ELV56" s="113"/>
      <c r="ELW56" s="113"/>
      <c r="ELX56" s="113"/>
      <c r="ELY56" s="113"/>
      <c r="ELZ56" s="113"/>
      <c r="EMA56" s="113"/>
      <c r="EMB56" s="113"/>
      <c r="EMC56" s="113"/>
      <c r="EMD56" s="113"/>
      <c r="EME56" s="113"/>
      <c r="EMF56" s="113"/>
      <c r="EMG56" s="113"/>
      <c r="EMH56" s="113"/>
      <c r="EMI56" s="113"/>
      <c r="EMJ56" s="113"/>
      <c r="EMK56" s="113"/>
      <c r="EML56" s="113"/>
      <c r="EMM56" s="113"/>
      <c r="EMN56" s="113"/>
      <c r="EMO56" s="113"/>
      <c r="EMP56" s="113"/>
      <c r="EMQ56" s="113"/>
      <c r="EMR56" s="113"/>
      <c r="EMS56" s="113"/>
      <c r="EMT56" s="113"/>
      <c r="EMU56" s="113"/>
      <c r="EMV56" s="113"/>
      <c r="EMW56" s="113"/>
      <c r="EMX56" s="113"/>
      <c r="EMY56" s="113"/>
      <c r="EMZ56" s="113"/>
      <c r="ENA56" s="113"/>
      <c r="ENB56" s="113"/>
      <c r="ENC56" s="113"/>
      <c r="END56" s="113"/>
      <c r="ENE56" s="113"/>
      <c r="ENF56" s="113"/>
      <c r="ENG56" s="113"/>
      <c r="ENH56" s="113"/>
      <c r="ENI56" s="113"/>
      <c r="ENJ56" s="113"/>
      <c r="ENK56" s="113"/>
      <c r="ENL56" s="113"/>
      <c r="ENM56" s="113"/>
      <c r="ENN56" s="113"/>
      <c r="ENO56" s="113"/>
      <c r="ENP56" s="113"/>
      <c r="ENQ56" s="113"/>
      <c r="ENR56" s="113"/>
      <c r="ENS56" s="113"/>
      <c r="ENT56" s="113"/>
      <c r="ENU56" s="113"/>
      <c r="ENV56" s="113"/>
      <c r="ENW56" s="113"/>
      <c r="ENX56" s="113"/>
      <c r="ENY56" s="113"/>
      <c r="ENZ56" s="113"/>
      <c r="EOA56" s="113"/>
      <c r="EOB56" s="113"/>
      <c r="EOC56" s="113"/>
      <c r="EOD56" s="113"/>
      <c r="EOE56" s="113"/>
      <c r="EOF56" s="113"/>
      <c r="EOG56" s="113"/>
      <c r="EOH56" s="113"/>
      <c r="EOI56" s="113"/>
      <c r="EOJ56" s="113"/>
      <c r="EOK56" s="113"/>
      <c r="EOL56" s="113"/>
      <c r="EOM56" s="113"/>
      <c r="EON56" s="113"/>
      <c r="EOO56" s="113"/>
      <c r="EOP56" s="113"/>
      <c r="EOQ56" s="113"/>
      <c r="EOR56" s="113"/>
      <c r="EOS56" s="113"/>
      <c r="EOT56" s="113"/>
      <c r="EOU56" s="113"/>
      <c r="EOV56" s="113"/>
      <c r="EOW56" s="113"/>
      <c r="EOX56" s="113"/>
      <c r="EOY56" s="113"/>
      <c r="EOZ56" s="113"/>
      <c r="EPA56" s="113"/>
      <c r="EPB56" s="113"/>
      <c r="EPC56" s="113"/>
      <c r="EPD56" s="113"/>
      <c r="EPE56" s="113"/>
      <c r="EPF56" s="113"/>
      <c r="EPG56" s="113"/>
      <c r="EPH56" s="113"/>
      <c r="EPI56" s="113"/>
      <c r="EPJ56" s="113"/>
      <c r="EPK56" s="113"/>
      <c r="EPL56" s="113"/>
      <c r="EPM56" s="113"/>
      <c r="EPN56" s="113"/>
      <c r="EPO56" s="113"/>
      <c r="EPP56" s="113"/>
      <c r="EPQ56" s="113"/>
      <c r="EPR56" s="113"/>
      <c r="EPS56" s="113"/>
      <c r="EPT56" s="113"/>
      <c r="EPU56" s="113"/>
      <c r="EPV56" s="113"/>
      <c r="EPW56" s="113"/>
      <c r="EPX56" s="113"/>
      <c r="EPY56" s="113"/>
      <c r="EPZ56" s="113"/>
      <c r="EQA56" s="113"/>
      <c r="EQB56" s="113"/>
      <c r="EQC56" s="113"/>
      <c r="EQD56" s="113"/>
      <c r="EQE56" s="113"/>
      <c r="EQF56" s="113"/>
      <c r="EQG56" s="113"/>
      <c r="EQH56" s="113"/>
      <c r="EQI56" s="113"/>
      <c r="EQJ56" s="113"/>
      <c r="EQK56" s="113"/>
      <c r="EQL56" s="113"/>
      <c r="EQM56" s="113"/>
      <c r="EQN56" s="113"/>
      <c r="EQO56" s="113"/>
      <c r="EQP56" s="113"/>
      <c r="EQQ56" s="113"/>
      <c r="EQR56" s="113"/>
      <c r="EQS56" s="113"/>
      <c r="EQT56" s="113"/>
      <c r="EQU56" s="113"/>
      <c r="EQV56" s="113"/>
      <c r="EQW56" s="113"/>
      <c r="EQX56" s="113"/>
      <c r="EQY56" s="113"/>
      <c r="EQZ56" s="113"/>
      <c r="ERA56" s="113"/>
      <c r="ERB56" s="113"/>
      <c r="ERC56" s="113"/>
      <c r="ERD56" s="113"/>
      <c r="ERE56" s="113"/>
      <c r="ERF56" s="113"/>
      <c r="ERG56" s="113"/>
      <c r="ERH56" s="113"/>
      <c r="ERI56" s="113"/>
      <c r="ERJ56" s="113"/>
      <c r="ERK56" s="113"/>
      <c r="ERL56" s="113"/>
      <c r="ERM56" s="113"/>
      <c r="ERN56" s="113"/>
      <c r="ERO56" s="113"/>
      <c r="ERP56" s="113"/>
      <c r="ERQ56" s="113"/>
      <c r="ERR56" s="113"/>
      <c r="ERS56" s="113"/>
      <c r="ERT56" s="113"/>
      <c r="ERU56" s="113"/>
      <c r="ERV56" s="113"/>
      <c r="ERW56" s="113"/>
      <c r="ERX56" s="113"/>
      <c r="ERY56" s="113"/>
      <c r="ERZ56" s="113"/>
      <c r="ESA56" s="113"/>
      <c r="ESB56" s="113"/>
      <c r="ESC56" s="113"/>
      <c r="ESD56" s="113"/>
      <c r="ESE56" s="113"/>
      <c r="ESF56" s="113"/>
      <c r="ESG56" s="113"/>
      <c r="ESH56" s="113"/>
      <c r="ESI56" s="113"/>
      <c r="ESJ56" s="113"/>
      <c r="ESK56" s="113"/>
      <c r="ESL56" s="113"/>
      <c r="ESM56" s="113"/>
      <c r="ESN56" s="113"/>
      <c r="ESO56" s="113"/>
      <c r="ESP56" s="113"/>
      <c r="ESQ56" s="113"/>
      <c r="ESR56" s="113"/>
      <c r="ESS56" s="113"/>
      <c r="EST56" s="113"/>
      <c r="ESU56" s="113"/>
      <c r="ESV56" s="113"/>
      <c r="ESW56" s="113"/>
      <c r="ESX56" s="113"/>
      <c r="ESY56" s="113"/>
      <c r="ESZ56" s="113"/>
      <c r="ETA56" s="113"/>
      <c r="ETB56" s="113"/>
      <c r="ETC56" s="113"/>
      <c r="ETD56" s="113"/>
      <c r="ETE56" s="113"/>
      <c r="ETF56" s="113"/>
      <c r="ETG56" s="113"/>
      <c r="ETH56" s="113"/>
      <c r="ETI56" s="113"/>
      <c r="ETJ56" s="113"/>
      <c r="ETK56" s="113"/>
      <c r="ETL56" s="113"/>
      <c r="ETM56" s="113"/>
      <c r="ETN56" s="113"/>
      <c r="ETO56" s="113"/>
      <c r="ETP56" s="113"/>
      <c r="ETQ56" s="113"/>
      <c r="ETR56" s="113"/>
      <c r="ETS56" s="113"/>
      <c r="ETT56" s="113"/>
      <c r="ETU56" s="113"/>
      <c r="ETV56" s="113"/>
      <c r="ETW56" s="113"/>
      <c r="ETX56" s="113"/>
      <c r="ETY56" s="113"/>
      <c r="ETZ56" s="113"/>
      <c r="EUA56" s="113"/>
      <c r="EUB56" s="113"/>
      <c r="EUC56" s="113"/>
      <c r="EUD56" s="113"/>
      <c r="EUE56" s="113"/>
      <c r="EUF56" s="113"/>
      <c r="EUG56" s="113"/>
      <c r="EUH56" s="113"/>
      <c r="EUI56" s="113"/>
      <c r="EUJ56" s="113"/>
      <c r="EUK56" s="113"/>
      <c r="EUL56" s="113"/>
      <c r="EUM56" s="113"/>
      <c r="EUN56" s="113"/>
      <c r="EUO56" s="113"/>
      <c r="EUP56" s="113"/>
      <c r="EUQ56" s="113"/>
      <c r="EUR56" s="113"/>
      <c r="EUS56" s="113"/>
      <c r="EUT56" s="113"/>
      <c r="EUU56" s="113"/>
      <c r="EUV56" s="113"/>
      <c r="EUW56" s="113"/>
      <c r="EUX56" s="113"/>
      <c r="EUY56" s="113"/>
      <c r="EUZ56" s="113"/>
      <c r="EVA56" s="113"/>
      <c r="EVB56" s="113"/>
      <c r="EVC56" s="113"/>
      <c r="EVD56" s="113"/>
      <c r="EVE56" s="113"/>
      <c r="EVF56" s="113"/>
      <c r="EVG56" s="113"/>
      <c r="EVH56" s="113"/>
      <c r="EVI56" s="113"/>
      <c r="EVJ56" s="113"/>
      <c r="EVK56" s="113"/>
      <c r="EVL56" s="113"/>
      <c r="EVM56" s="113"/>
      <c r="EVN56" s="113"/>
      <c r="EVO56" s="113"/>
      <c r="EVP56" s="113"/>
      <c r="EVQ56" s="113"/>
      <c r="EVR56" s="113"/>
      <c r="EVS56" s="113"/>
      <c r="EVT56" s="113"/>
      <c r="EVU56" s="113"/>
      <c r="EVV56" s="113"/>
      <c r="EVW56" s="113"/>
      <c r="EVX56" s="113"/>
      <c r="EVY56" s="113"/>
      <c r="EVZ56" s="113"/>
      <c r="EWA56" s="113"/>
      <c r="EWB56" s="113"/>
      <c r="EWC56" s="113"/>
      <c r="EWD56" s="113"/>
      <c r="EWE56" s="113"/>
      <c r="EWF56" s="113"/>
      <c r="EWG56" s="113"/>
      <c r="EWH56" s="113"/>
      <c r="EWI56" s="113"/>
      <c r="EWJ56" s="113"/>
      <c r="EWK56" s="113"/>
      <c r="EWL56" s="113"/>
      <c r="EWM56" s="113"/>
      <c r="EWN56" s="113"/>
      <c r="EWO56" s="113"/>
      <c r="EWP56" s="113"/>
      <c r="EWQ56" s="113"/>
      <c r="EWR56" s="113"/>
      <c r="EWS56" s="113"/>
      <c r="EWT56" s="113"/>
      <c r="EWU56" s="113"/>
      <c r="EWV56" s="113"/>
      <c r="EWW56" s="113"/>
      <c r="EWX56" s="113"/>
      <c r="EWY56" s="113"/>
      <c r="EWZ56" s="113"/>
      <c r="EXA56" s="113"/>
      <c r="EXB56" s="113"/>
      <c r="EXC56" s="113"/>
      <c r="EXD56" s="113"/>
      <c r="EXE56" s="113"/>
      <c r="EXF56" s="113"/>
      <c r="EXG56" s="113"/>
      <c r="EXH56" s="113"/>
      <c r="EXI56" s="113"/>
      <c r="EXJ56" s="113"/>
      <c r="EXK56" s="113"/>
      <c r="EXL56" s="113"/>
      <c r="EXM56" s="113"/>
      <c r="EXN56" s="113"/>
      <c r="EXO56" s="113"/>
      <c r="EXP56" s="113"/>
      <c r="EXQ56" s="113"/>
      <c r="EXR56" s="113"/>
      <c r="EXS56" s="113"/>
      <c r="EXT56" s="113"/>
      <c r="EXU56" s="113"/>
      <c r="EXV56" s="113"/>
      <c r="EXW56" s="113"/>
      <c r="EXX56" s="113"/>
      <c r="EXY56" s="113"/>
      <c r="EXZ56" s="113"/>
      <c r="EYA56" s="113"/>
      <c r="EYB56" s="113"/>
      <c r="EYC56" s="113"/>
      <c r="EYD56" s="113"/>
      <c r="EYE56" s="113"/>
      <c r="EYF56" s="113"/>
      <c r="EYG56" s="113"/>
      <c r="EYH56" s="113"/>
      <c r="EYI56" s="113"/>
      <c r="EYJ56" s="113"/>
      <c r="EYK56" s="113"/>
      <c r="EYL56" s="113"/>
      <c r="EYM56" s="113"/>
      <c r="EYN56" s="113"/>
      <c r="EYO56" s="113"/>
      <c r="EYP56" s="113"/>
      <c r="EYQ56" s="113"/>
      <c r="EYR56" s="113"/>
      <c r="EYS56" s="113"/>
      <c r="EYT56" s="113"/>
      <c r="EYU56" s="113"/>
      <c r="EYV56" s="113"/>
      <c r="EYW56" s="113"/>
      <c r="EYX56" s="113"/>
      <c r="EYY56" s="113"/>
      <c r="EYZ56" s="113"/>
      <c r="EZA56" s="113"/>
      <c r="EZB56" s="113"/>
      <c r="EZC56" s="113"/>
      <c r="EZD56" s="113"/>
      <c r="EZE56" s="113"/>
      <c r="EZF56" s="113"/>
      <c r="EZG56" s="113"/>
      <c r="EZH56" s="113"/>
      <c r="EZI56" s="113"/>
      <c r="EZJ56" s="113"/>
      <c r="EZK56" s="113"/>
      <c r="EZL56" s="113"/>
      <c r="EZM56" s="113"/>
      <c r="EZN56" s="113"/>
      <c r="EZO56" s="113"/>
      <c r="EZP56" s="113"/>
      <c r="EZQ56" s="113"/>
      <c r="EZR56" s="113"/>
      <c r="EZS56" s="113"/>
      <c r="EZT56" s="113"/>
      <c r="EZU56" s="113"/>
      <c r="EZV56" s="113"/>
      <c r="EZW56" s="113"/>
      <c r="EZX56" s="113"/>
      <c r="EZY56" s="113"/>
      <c r="EZZ56" s="113"/>
      <c r="FAA56" s="113"/>
      <c r="FAB56" s="113"/>
      <c r="FAC56" s="113"/>
      <c r="FAD56" s="113"/>
      <c r="FAE56" s="113"/>
      <c r="FAF56" s="113"/>
      <c r="FAG56" s="113"/>
      <c r="FAH56" s="113"/>
      <c r="FAI56" s="113"/>
      <c r="FAJ56" s="113"/>
      <c r="FAK56" s="113"/>
      <c r="FAL56" s="113"/>
      <c r="FAM56" s="113"/>
      <c r="FAN56" s="113"/>
      <c r="FAO56" s="113"/>
      <c r="FAP56" s="113"/>
      <c r="FAQ56" s="113"/>
      <c r="FAR56" s="113"/>
      <c r="FAS56" s="113"/>
      <c r="FAT56" s="113"/>
      <c r="FAU56" s="113"/>
      <c r="FAV56" s="113"/>
      <c r="FAW56" s="113"/>
      <c r="FAX56" s="113"/>
      <c r="FAY56" s="113"/>
      <c r="FAZ56" s="113"/>
      <c r="FBA56" s="113"/>
      <c r="FBB56" s="113"/>
      <c r="FBC56" s="113"/>
      <c r="FBD56" s="113"/>
      <c r="FBE56" s="113"/>
      <c r="FBF56" s="113"/>
      <c r="FBG56" s="113"/>
      <c r="FBH56" s="113"/>
      <c r="FBI56" s="113"/>
      <c r="FBJ56" s="113"/>
      <c r="FBK56" s="113"/>
      <c r="FBL56" s="113"/>
      <c r="FBM56" s="113"/>
      <c r="FBN56" s="113"/>
      <c r="FBO56" s="113"/>
      <c r="FBP56" s="113"/>
      <c r="FBQ56" s="113"/>
      <c r="FBR56" s="113"/>
      <c r="FBS56" s="113"/>
      <c r="FBT56" s="113"/>
      <c r="FBU56" s="113"/>
      <c r="FBV56" s="113"/>
      <c r="FBW56" s="113"/>
      <c r="FBX56" s="113"/>
      <c r="FBY56" s="113"/>
      <c r="FBZ56" s="113"/>
      <c r="FCA56" s="113"/>
      <c r="FCB56" s="113"/>
      <c r="FCC56" s="113"/>
      <c r="FCD56" s="113"/>
      <c r="FCE56" s="113"/>
      <c r="FCF56" s="113"/>
      <c r="FCG56" s="113"/>
      <c r="FCH56" s="113"/>
      <c r="FCI56" s="113"/>
      <c r="FCJ56" s="113"/>
      <c r="FCK56" s="113"/>
      <c r="FCL56" s="113"/>
      <c r="FCM56" s="113"/>
      <c r="FCN56" s="113"/>
      <c r="FCO56" s="113"/>
      <c r="FCP56" s="113"/>
      <c r="FCQ56" s="113"/>
      <c r="FCR56" s="113"/>
      <c r="FCS56" s="113"/>
      <c r="FCT56" s="113"/>
      <c r="FCU56" s="113"/>
      <c r="FCV56" s="113"/>
      <c r="FCW56" s="113"/>
      <c r="FCX56" s="113"/>
      <c r="FCY56" s="113"/>
      <c r="FCZ56" s="113"/>
      <c r="FDA56" s="113"/>
      <c r="FDB56" s="113"/>
      <c r="FDC56" s="113"/>
      <c r="FDD56" s="113"/>
      <c r="FDE56" s="113"/>
      <c r="FDF56" s="113"/>
      <c r="FDG56" s="113"/>
      <c r="FDH56" s="113"/>
      <c r="FDI56" s="113"/>
      <c r="FDJ56" s="113"/>
      <c r="FDK56" s="113"/>
      <c r="FDL56" s="113"/>
      <c r="FDM56" s="113"/>
      <c r="FDN56" s="113"/>
      <c r="FDO56" s="113"/>
      <c r="FDP56" s="113"/>
      <c r="FDQ56" s="113"/>
      <c r="FDR56" s="113"/>
      <c r="FDS56" s="113"/>
      <c r="FDT56" s="113"/>
      <c r="FDU56" s="113"/>
      <c r="FDV56" s="113"/>
      <c r="FDW56" s="113"/>
      <c r="FDX56" s="113"/>
      <c r="FDY56" s="113"/>
      <c r="FDZ56" s="113"/>
      <c r="FEA56" s="113"/>
      <c r="FEB56" s="113"/>
      <c r="FEC56" s="113"/>
      <c r="FED56" s="113"/>
      <c r="FEE56" s="113"/>
      <c r="FEF56" s="113"/>
      <c r="FEG56" s="113"/>
      <c r="FEH56" s="113"/>
      <c r="FEI56" s="113"/>
      <c r="FEJ56" s="113"/>
      <c r="FEK56" s="113"/>
      <c r="FEL56" s="113"/>
      <c r="FEM56" s="113"/>
      <c r="FEN56" s="113"/>
      <c r="FEO56" s="113"/>
      <c r="FEP56" s="113"/>
      <c r="FEQ56" s="113"/>
      <c r="FER56" s="113"/>
      <c r="FES56" s="113"/>
      <c r="FET56" s="113"/>
      <c r="FEU56" s="113"/>
      <c r="FEV56" s="113"/>
      <c r="FEW56" s="113"/>
      <c r="FEX56" s="113"/>
      <c r="FEY56" s="113"/>
      <c r="FEZ56" s="113"/>
      <c r="FFA56" s="113"/>
      <c r="FFB56" s="113"/>
      <c r="FFC56" s="113"/>
      <c r="FFD56" s="113"/>
      <c r="FFE56" s="113"/>
      <c r="FFF56" s="113"/>
      <c r="FFG56" s="113"/>
      <c r="FFH56" s="113"/>
      <c r="FFI56" s="113"/>
      <c r="FFJ56" s="113"/>
      <c r="FFK56" s="113"/>
      <c r="FFL56" s="113"/>
      <c r="FFM56" s="113"/>
      <c r="FFN56" s="113"/>
      <c r="FFO56" s="113"/>
      <c r="FFP56" s="113"/>
      <c r="FFQ56" s="113"/>
      <c r="FFR56" s="113"/>
      <c r="FFS56" s="113"/>
      <c r="FFT56" s="113"/>
      <c r="FFU56" s="113"/>
      <c r="FFV56" s="113"/>
      <c r="FFW56" s="113"/>
      <c r="FFX56" s="113"/>
      <c r="FFY56" s="113"/>
      <c r="FFZ56" s="113"/>
      <c r="FGA56" s="113"/>
      <c r="FGB56" s="113"/>
      <c r="FGC56" s="113"/>
      <c r="FGD56" s="113"/>
      <c r="FGE56" s="113"/>
      <c r="FGF56" s="113"/>
      <c r="FGG56" s="113"/>
      <c r="FGH56" s="113"/>
      <c r="FGI56" s="113"/>
      <c r="FGJ56" s="113"/>
      <c r="FGK56" s="113"/>
      <c r="FGL56" s="113"/>
      <c r="FGM56" s="113"/>
      <c r="FGN56" s="113"/>
      <c r="FGO56" s="113"/>
      <c r="FGP56" s="113"/>
      <c r="FGQ56" s="113"/>
      <c r="FGR56" s="113"/>
      <c r="FGS56" s="113"/>
      <c r="FGT56" s="113"/>
      <c r="FGU56" s="113"/>
      <c r="FGV56" s="113"/>
      <c r="FGW56" s="113"/>
      <c r="FGX56" s="113"/>
      <c r="FGY56" s="113"/>
      <c r="FGZ56" s="113"/>
      <c r="FHA56" s="113"/>
      <c r="FHB56" s="113"/>
      <c r="FHC56" s="113"/>
      <c r="FHD56" s="113"/>
      <c r="FHE56" s="113"/>
      <c r="FHF56" s="113"/>
      <c r="FHG56" s="113"/>
      <c r="FHH56" s="113"/>
      <c r="FHI56" s="113"/>
      <c r="FHJ56" s="113"/>
      <c r="FHK56" s="113"/>
      <c r="FHL56" s="113"/>
      <c r="FHM56" s="113"/>
      <c r="FHN56" s="113"/>
      <c r="FHO56" s="113"/>
      <c r="FHP56" s="113"/>
      <c r="FHQ56" s="113"/>
      <c r="FHR56" s="113"/>
      <c r="FHS56" s="113"/>
      <c r="FHT56" s="113"/>
      <c r="FHU56" s="113"/>
      <c r="FHV56" s="113"/>
      <c r="FHW56" s="113"/>
      <c r="FHX56" s="113"/>
      <c r="FHY56" s="113"/>
      <c r="FHZ56" s="113"/>
      <c r="FIA56" s="113"/>
      <c r="FIB56" s="113"/>
      <c r="FIC56" s="113"/>
      <c r="FID56" s="113"/>
      <c r="FIE56" s="113"/>
      <c r="FIF56" s="113"/>
      <c r="FIG56" s="113"/>
      <c r="FIH56" s="113"/>
      <c r="FII56" s="113"/>
      <c r="FIJ56" s="113"/>
      <c r="FIK56" s="113"/>
      <c r="FIL56" s="113"/>
      <c r="FIM56" s="113"/>
      <c r="FIN56" s="113"/>
      <c r="FIO56" s="113"/>
      <c r="FIP56" s="113"/>
      <c r="FIQ56" s="113"/>
      <c r="FIR56" s="113"/>
      <c r="FIS56" s="113"/>
      <c r="FIT56" s="113"/>
      <c r="FIU56" s="113"/>
      <c r="FIV56" s="113"/>
      <c r="FIW56" s="113"/>
      <c r="FIX56" s="113"/>
      <c r="FIY56" s="113"/>
      <c r="FIZ56" s="113"/>
      <c r="FJA56" s="113"/>
      <c r="FJB56" s="113"/>
      <c r="FJC56" s="113"/>
      <c r="FJD56" s="113"/>
      <c r="FJE56" s="113"/>
      <c r="FJF56" s="113"/>
      <c r="FJG56" s="113"/>
      <c r="FJH56" s="113"/>
      <c r="FJI56" s="113"/>
      <c r="FJJ56" s="113"/>
      <c r="FJK56" s="113"/>
      <c r="FJL56" s="113"/>
      <c r="FJM56" s="113"/>
      <c r="FJN56" s="113"/>
      <c r="FJO56" s="113"/>
      <c r="FJP56" s="113"/>
      <c r="FJQ56" s="113"/>
      <c r="FJR56" s="113"/>
      <c r="FJS56" s="113"/>
      <c r="FJT56" s="113"/>
      <c r="FJU56" s="113"/>
      <c r="FJV56" s="113"/>
      <c r="FJW56" s="113"/>
      <c r="FJX56" s="113"/>
      <c r="FJY56" s="113"/>
      <c r="FJZ56" s="113"/>
      <c r="FKA56" s="113"/>
      <c r="FKB56" s="113"/>
      <c r="FKC56" s="113"/>
      <c r="FKD56" s="113"/>
      <c r="FKE56" s="113"/>
      <c r="FKF56" s="113"/>
      <c r="FKG56" s="113"/>
      <c r="FKH56" s="113"/>
      <c r="FKI56" s="113"/>
      <c r="FKJ56" s="113"/>
      <c r="FKK56" s="113"/>
      <c r="FKL56" s="113"/>
      <c r="FKM56" s="113"/>
      <c r="FKN56" s="113"/>
      <c r="FKO56" s="113"/>
      <c r="FKP56" s="113"/>
      <c r="FKQ56" s="113"/>
      <c r="FKR56" s="113"/>
      <c r="FKS56" s="113"/>
      <c r="FKT56" s="113"/>
      <c r="FKU56" s="113"/>
      <c r="FKV56" s="113"/>
      <c r="FKW56" s="113"/>
      <c r="FKX56" s="113"/>
      <c r="FKY56" s="113"/>
      <c r="FKZ56" s="113"/>
      <c r="FLA56" s="113"/>
      <c r="FLB56" s="113"/>
      <c r="FLC56" s="113"/>
      <c r="FLD56" s="113"/>
      <c r="FLE56" s="113"/>
      <c r="FLF56" s="113"/>
      <c r="FLG56" s="113"/>
      <c r="FLH56" s="113"/>
      <c r="FLI56" s="113"/>
      <c r="FLJ56" s="113"/>
      <c r="FLK56" s="113"/>
      <c r="FLL56" s="113"/>
      <c r="FLM56" s="113"/>
      <c r="FLN56" s="113"/>
      <c r="FLO56" s="113"/>
      <c r="FLP56" s="113"/>
      <c r="FLQ56" s="113"/>
      <c r="FLR56" s="113"/>
      <c r="FLS56" s="113"/>
      <c r="FLT56" s="113"/>
      <c r="FLU56" s="113"/>
      <c r="FLV56" s="113"/>
      <c r="FLW56" s="113"/>
      <c r="FLX56" s="113"/>
      <c r="FLY56" s="113"/>
      <c r="FLZ56" s="113"/>
      <c r="FMA56" s="113"/>
      <c r="FMB56" s="113"/>
      <c r="FMC56" s="113"/>
      <c r="FMD56" s="113"/>
      <c r="FME56" s="113"/>
      <c r="FMF56" s="113"/>
      <c r="FMG56" s="113"/>
      <c r="FMH56" s="113"/>
      <c r="FMI56" s="113"/>
      <c r="FMJ56" s="113"/>
      <c r="FMK56" s="113"/>
      <c r="FML56" s="113"/>
      <c r="FMM56" s="113"/>
      <c r="FMN56" s="113"/>
      <c r="FMO56" s="113"/>
      <c r="FMP56" s="113"/>
      <c r="FMQ56" s="113"/>
      <c r="FMR56" s="113"/>
      <c r="FMS56" s="113"/>
      <c r="FMT56" s="113"/>
      <c r="FMU56" s="113"/>
      <c r="FMV56" s="113"/>
      <c r="FMW56" s="113"/>
      <c r="FMX56" s="113"/>
      <c r="FMY56" s="113"/>
      <c r="FMZ56" s="113"/>
      <c r="FNA56" s="113"/>
      <c r="FNB56" s="113"/>
      <c r="FNC56" s="113"/>
      <c r="FND56" s="113"/>
      <c r="FNE56" s="113"/>
      <c r="FNF56" s="113"/>
      <c r="FNG56" s="113"/>
      <c r="FNH56" s="113"/>
      <c r="FNI56" s="113"/>
      <c r="FNJ56" s="113"/>
      <c r="FNK56" s="113"/>
      <c r="FNL56" s="113"/>
      <c r="FNM56" s="113"/>
      <c r="FNN56" s="113"/>
      <c r="FNO56" s="113"/>
      <c r="FNP56" s="113"/>
      <c r="FNQ56" s="113"/>
      <c r="FNR56" s="113"/>
      <c r="FNS56" s="113"/>
      <c r="FNT56" s="113"/>
      <c r="FNU56" s="113"/>
      <c r="FNV56" s="113"/>
      <c r="FNW56" s="113"/>
      <c r="FNX56" s="113"/>
      <c r="FNY56" s="113"/>
      <c r="FNZ56" s="113"/>
      <c r="FOA56" s="113"/>
      <c r="FOB56" s="113"/>
      <c r="FOC56" s="113"/>
      <c r="FOD56" s="113"/>
      <c r="FOE56" s="113"/>
      <c r="FOF56" s="113"/>
      <c r="FOG56" s="113"/>
      <c r="FOH56" s="113"/>
      <c r="FOI56" s="113"/>
      <c r="FOJ56" s="113"/>
      <c r="FOK56" s="113"/>
      <c r="FOL56" s="113"/>
      <c r="FOM56" s="113"/>
      <c r="FON56" s="113"/>
      <c r="FOO56" s="113"/>
      <c r="FOP56" s="113"/>
      <c r="FOQ56" s="113"/>
      <c r="FOR56" s="113"/>
      <c r="FOS56" s="113"/>
      <c r="FOT56" s="113"/>
      <c r="FOU56" s="113"/>
      <c r="FOV56" s="113"/>
      <c r="FOW56" s="113"/>
      <c r="FOX56" s="113"/>
      <c r="FOY56" s="113"/>
      <c r="FOZ56" s="113"/>
      <c r="FPA56" s="113"/>
      <c r="FPB56" s="113"/>
      <c r="FPC56" s="113"/>
      <c r="FPD56" s="113"/>
      <c r="FPE56" s="113"/>
      <c r="FPF56" s="113"/>
      <c r="FPG56" s="113"/>
      <c r="FPH56" s="113"/>
      <c r="FPI56" s="113"/>
      <c r="FPJ56" s="113"/>
      <c r="FPK56" s="113"/>
      <c r="FPL56" s="113"/>
      <c r="FPM56" s="113"/>
      <c r="FPN56" s="113"/>
      <c r="FPO56" s="113"/>
      <c r="FPP56" s="113"/>
      <c r="FPQ56" s="113"/>
      <c r="FPR56" s="113"/>
      <c r="FPS56" s="113"/>
      <c r="FPT56" s="113"/>
      <c r="FPU56" s="113"/>
      <c r="FPV56" s="113"/>
      <c r="FPW56" s="113"/>
      <c r="FPX56" s="113"/>
      <c r="FPY56" s="113"/>
      <c r="FPZ56" s="113"/>
      <c r="FQA56" s="113"/>
      <c r="FQB56" s="113"/>
      <c r="FQC56" s="113"/>
      <c r="FQD56" s="113"/>
      <c r="FQE56" s="113"/>
      <c r="FQF56" s="113"/>
      <c r="FQG56" s="113"/>
      <c r="FQH56" s="113"/>
      <c r="FQI56" s="113"/>
      <c r="FQJ56" s="113"/>
      <c r="FQK56" s="113"/>
      <c r="FQL56" s="113"/>
      <c r="FQM56" s="113"/>
      <c r="FQN56" s="113"/>
      <c r="FQO56" s="113"/>
      <c r="FQP56" s="113"/>
      <c r="FQQ56" s="113"/>
      <c r="FQR56" s="113"/>
      <c r="FQS56" s="113"/>
      <c r="FQT56" s="113"/>
      <c r="FQU56" s="113"/>
      <c r="FQV56" s="113"/>
      <c r="FQW56" s="113"/>
      <c r="FQX56" s="113"/>
      <c r="FQY56" s="113"/>
      <c r="FQZ56" s="113"/>
      <c r="FRA56" s="113"/>
      <c r="FRB56" s="113"/>
      <c r="FRC56" s="113"/>
      <c r="FRD56" s="113"/>
      <c r="FRE56" s="113"/>
      <c r="FRF56" s="113"/>
      <c r="FRG56" s="113"/>
      <c r="FRH56" s="113"/>
      <c r="FRI56" s="113"/>
      <c r="FRJ56" s="113"/>
      <c r="FRK56" s="113"/>
      <c r="FRL56" s="113"/>
      <c r="FRM56" s="113"/>
      <c r="FRN56" s="113"/>
      <c r="FRO56" s="113"/>
      <c r="FRP56" s="113"/>
      <c r="FRQ56" s="113"/>
      <c r="FRR56" s="113"/>
      <c r="FRS56" s="113"/>
      <c r="FRT56" s="113"/>
      <c r="FRU56" s="113"/>
      <c r="FRV56" s="113"/>
      <c r="FRW56" s="113"/>
      <c r="FRX56" s="113"/>
      <c r="FRY56" s="113"/>
      <c r="FRZ56" s="113"/>
      <c r="FSA56" s="113"/>
      <c r="FSB56" s="113"/>
      <c r="FSC56" s="113"/>
      <c r="FSD56" s="113"/>
      <c r="FSE56" s="113"/>
      <c r="FSF56" s="113"/>
      <c r="FSG56" s="113"/>
      <c r="FSH56" s="113"/>
      <c r="FSI56" s="113"/>
      <c r="FSJ56" s="113"/>
      <c r="FSK56" s="113"/>
      <c r="FSL56" s="113"/>
      <c r="FSM56" s="113"/>
      <c r="FSN56" s="113"/>
      <c r="FSO56" s="113"/>
      <c r="FSP56" s="113"/>
      <c r="FSQ56" s="113"/>
      <c r="FSR56" s="113"/>
      <c r="FSS56" s="113"/>
      <c r="FST56" s="113"/>
      <c r="FSU56" s="113"/>
      <c r="FSV56" s="113"/>
      <c r="FSW56" s="113"/>
      <c r="FSX56" s="113"/>
      <c r="FSY56" s="113"/>
      <c r="FSZ56" s="113"/>
      <c r="FTA56" s="113"/>
      <c r="FTB56" s="113"/>
      <c r="FTC56" s="113"/>
      <c r="FTD56" s="113"/>
      <c r="FTE56" s="113"/>
      <c r="FTF56" s="113"/>
      <c r="FTG56" s="113"/>
      <c r="FTH56" s="113"/>
      <c r="FTI56" s="113"/>
      <c r="FTJ56" s="113"/>
      <c r="FTK56" s="113"/>
      <c r="FTL56" s="113"/>
      <c r="FTM56" s="113"/>
      <c r="FTN56" s="113"/>
      <c r="FTO56" s="113"/>
      <c r="FTP56" s="113"/>
      <c r="FTQ56" s="113"/>
      <c r="FTR56" s="113"/>
      <c r="FTS56" s="113"/>
      <c r="FTT56" s="113"/>
      <c r="FTU56" s="113"/>
      <c r="FTV56" s="113"/>
      <c r="FTW56" s="113"/>
      <c r="FTX56" s="113"/>
      <c r="FTY56" s="113"/>
      <c r="FTZ56" s="113"/>
      <c r="FUA56" s="113"/>
      <c r="FUB56" s="113"/>
      <c r="FUC56" s="113"/>
      <c r="FUD56" s="113"/>
      <c r="FUE56" s="113"/>
      <c r="FUF56" s="113"/>
      <c r="FUG56" s="113"/>
      <c r="FUH56" s="113"/>
      <c r="FUI56" s="113"/>
      <c r="FUJ56" s="113"/>
      <c r="FUK56" s="113"/>
      <c r="FUL56" s="113"/>
      <c r="FUM56" s="113"/>
      <c r="FUN56" s="113"/>
      <c r="FUO56" s="113"/>
      <c r="FUP56" s="113"/>
      <c r="FUQ56" s="113"/>
      <c r="FUR56" s="113"/>
      <c r="FUS56" s="113"/>
      <c r="FUT56" s="113"/>
      <c r="FUU56" s="113"/>
      <c r="FUV56" s="113"/>
      <c r="FUW56" s="113"/>
      <c r="FUX56" s="113"/>
      <c r="FUY56" s="113"/>
      <c r="FUZ56" s="113"/>
      <c r="FVA56" s="113"/>
      <c r="FVB56" s="113"/>
      <c r="FVC56" s="113"/>
      <c r="FVD56" s="113"/>
      <c r="FVE56" s="113"/>
      <c r="FVF56" s="113"/>
      <c r="FVG56" s="113"/>
      <c r="FVH56" s="113"/>
      <c r="FVI56" s="113"/>
      <c r="FVJ56" s="113"/>
      <c r="FVK56" s="113"/>
      <c r="FVL56" s="113"/>
      <c r="FVM56" s="113"/>
      <c r="FVN56" s="113"/>
      <c r="FVO56" s="113"/>
      <c r="FVP56" s="113"/>
      <c r="FVQ56" s="113"/>
      <c r="FVR56" s="113"/>
      <c r="FVS56" s="113"/>
      <c r="FVT56" s="113"/>
      <c r="FVU56" s="113"/>
      <c r="FVV56" s="113"/>
      <c r="FVW56" s="113"/>
      <c r="FVX56" s="113"/>
      <c r="FVY56" s="113"/>
      <c r="FVZ56" s="113"/>
      <c r="FWA56" s="113"/>
      <c r="FWB56" s="113"/>
      <c r="FWC56" s="113"/>
      <c r="FWD56" s="113"/>
      <c r="FWE56" s="113"/>
      <c r="FWF56" s="113"/>
      <c r="FWG56" s="113"/>
      <c r="FWH56" s="113"/>
      <c r="FWI56" s="113"/>
      <c r="FWJ56" s="113"/>
      <c r="FWK56" s="113"/>
      <c r="FWL56" s="113"/>
      <c r="FWM56" s="113"/>
      <c r="FWN56" s="113"/>
      <c r="FWO56" s="113"/>
      <c r="FWP56" s="113"/>
      <c r="FWQ56" s="113"/>
      <c r="FWR56" s="113"/>
      <c r="FWS56" s="113"/>
      <c r="FWT56" s="113"/>
      <c r="FWU56" s="113"/>
      <c r="FWV56" s="113"/>
      <c r="FWW56" s="113"/>
      <c r="FWX56" s="113"/>
      <c r="FWY56" s="113"/>
      <c r="FWZ56" s="113"/>
      <c r="FXA56" s="113"/>
      <c r="FXB56" s="113"/>
      <c r="FXC56" s="113"/>
      <c r="FXD56" s="113"/>
      <c r="FXE56" s="113"/>
      <c r="FXF56" s="113"/>
      <c r="FXG56" s="113"/>
      <c r="FXH56" s="113"/>
      <c r="FXI56" s="113"/>
      <c r="FXJ56" s="113"/>
      <c r="FXK56" s="113"/>
      <c r="FXL56" s="113"/>
      <c r="FXM56" s="113"/>
      <c r="FXN56" s="113"/>
      <c r="FXO56" s="113"/>
      <c r="FXP56" s="113"/>
      <c r="FXQ56" s="113"/>
      <c r="FXR56" s="113"/>
      <c r="FXS56" s="113"/>
      <c r="FXT56" s="113"/>
      <c r="FXU56" s="113"/>
      <c r="FXV56" s="113"/>
      <c r="FXW56" s="113"/>
      <c r="FXX56" s="113"/>
      <c r="FXY56" s="113"/>
      <c r="FXZ56" s="113"/>
      <c r="FYA56" s="113"/>
      <c r="FYB56" s="113"/>
      <c r="FYC56" s="113"/>
      <c r="FYD56" s="113"/>
      <c r="FYE56" s="113"/>
      <c r="FYF56" s="113"/>
      <c r="FYG56" s="113"/>
      <c r="FYH56" s="113"/>
      <c r="FYI56" s="113"/>
      <c r="FYJ56" s="113"/>
      <c r="FYK56" s="113"/>
      <c r="FYL56" s="113"/>
      <c r="FYM56" s="113"/>
      <c r="FYN56" s="113"/>
      <c r="FYO56" s="113"/>
      <c r="FYP56" s="113"/>
      <c r="FYQ56" s="113"/>
      <c r="FYR56" s="113"/>
      <c r="FYS56" s="113"/>
      <c r="FYT56" s="113"/>
      <c r="FYU56" s="113"/>
      <c r="FYV56" s="113"/>
      <c r="FYW56" s="113"/>
      <c r="FYX56" s="113"/>
      <c r="FYY56" s="113"/>
      <c r="FYZ56" s="113"/>
      <c r="FZA56" s="113"/>
      <c r="FZB56" s="113"/>
      <c r="FZC56" s="113"/>
      <c r="FZD56" s="113"/>
      <c r="FZE56" s="113"/>
      <c r="FZF56" s="113"/>
      <c r="FZG56" s="113"/>
      <c r="FZH56" s="113"/>
      <c r="FZI56" s="113"/>
      <c r="FZJ56" s="113"/>
      <c r="FZK56" s="113"/>
      <c r="FZL56" s="113"/>
      <c r="FZM56" s="113"/>
      <c r="FZN56" s="113"/>
      <c r="FZO56" s="113"/>
      <c r="FZP56" s="113"/>
      <c r="FZQ56" s="113"/>
      <c r="FZR56" s="113"/>
      <c r="FZS56" s="113"/>
      <c r="FZT56" s="113"/>
      <c r="FZU56" s="113"/>
      <c r="FZV56" s="113"/>
      <c r="FZW56" s="113"/>
      <c r="FZX56" s="113"/>
      <c r="FZY56" s="113"/>
      <c r="FZZ56" s="113"/>
      <c r="GAA56" s="113"/>
      <c r="GAB56" s="113"/>
      <c r="GAC56" s="113"/>
      <c r="GAD56" s="113"/>
      <c r="GAE56" s="113"/>
      <c r="GAF56" s="113"/>
      <c r="GAG56" s="113"/>
      <c r="GAH56" s="113"/>
      <c r="GAI56" s="113"/>
      <c r="GAJ56" s="113"/>
      <c r="GAK56" s="113"/>
      <c r="GAL56" s="113"/>
      <c r="GAM56" s="113"/>
      <c r="GAN56" s="113"/>
      <c r="GAO56" s="113"/>
      <c r="GAP56" s="113"/>
      <c r="GAQ56" s="113"/>
      <c r="GAR56" s="113"/>
      <c r="GAS56" s="113"/>
      <c r="GAT56" s="113"/>
      <c r="GAU56" s="113"/>
      <c r="GAV56" s="113"/>
      <c r="GAW56" s="113"/>
      <c r="GAX56" s="113"/>
      <c r="GAY56" s="113"/>
      <c r="GAZ56" s="113"/>
      <c r="GBA56" s="113"/>
      <c r="GBB56" s="113"/>
      <c r="GBC56" s="113"/>
      <c r="GBD56" s="113"/>
      <c r="GBE56" s="113"/>
      <c r="GBF56" s="113"/>
      <c r="GBG56" s="113"/>
      <c r="GBH56" s="113"/>
      <c r="GBI56" s="113"/>
      <c r="GBJ56" s="113"/>
      <c r="GBK56" s="113"/>
      <c r="GBL56" s="113"/>
      <c r="GBM56" s="113"/>
      <c r="GBN56" s="113"/>
      <c r="GBO56" s="113"/>
      <c r="GBP56" s="113"/>
      <c r="GBQ56" s="113"/>
      <c r="GBR56" s="113"/>
      <c r="GBS56" s="113"/>
      <c r="GBT56" s="113"/>
      <c r="GBU56" s="113"/>
      <c r="GBV56" s="113"/>
      <c r="GBW56" s="113"/>
      <c r="GBX56" s="113"/>
      <c r="GBY56" s="113"/>
      <c r="GBZ56" s="113"/>
      <c r="GCA56" s="113"/>
      <c r="GCB56" s="113"/>
      <c r="GCC56" s="113"/>
      <c r="GCD56" s="113"/>
      <c r="GCE56" s="113"/>
      <c r="GCF56" s="113"/>
      <c r="GCG56" s="113"/>
      <c r="GCH56" s="113"/>
      <c r="GCI56" s="113"/>
      <c r="GCJ56" s="113"/>
      <c r="GCK56" s="113"/>
      <c r="GCL56" s="113"/>
      <c r="GCM56" s="113"/>
      <c r="GCN56" s="113"/>
      <c r="GCO56" s="113"/>
      <c r="GCP56" s="113"/>
      <c r="GCQ56" s="113"/>
      <c r="GCR56" s="113"/>
      <c r="GCS56" s="113"/>
      <c r="GCT56" s="113"/>
      <c r="GCU56" s="113"/>
      <c r="GCV56" s="113"/>
      <c r="GCW56" s="113"/>
      <c r="GCX56" s="113"/>
      <c r="GCY56" s="113"/>
      <c r="GCZ56" s="113"/>
      <c r="GDA56" s="113"/>
      <c r="GDB56" s="113"/>
      <c r="GDC56" s="113"/>
      <c r="GDD56" s="113"/>
      <c r="GDE56" s="113"/>
      <c r="GDF56" s="113"/>
      <c r="GDG56" s="113"/>
      <c r="GDH56" s="113"/>
      <c r="GDI56" s="113"/>
      <c r="GDJ56" s="113"/>
      <c r="GDK56" s="113"/>
      <c r="GDL56" s="113"/>
      <c r="GDM56" s="113"/>
      <c r="GDN56" s="113"/>
      <c r="GDO56" s="113"/>
      <c r="GDP56" s="113"/>
      <c r="GDQ56" s="113"/>
      <c r="GDR56" s="113"/>
      <c r="GDS56" s="113"/>
      <c r="GDT56" s="113"/>
      <c r="GDU56" s="113"/>
      <c r="GDV56" s="113"/>
      <c r="GDW56" s="113"/>
      <c r="GDX56" s="113"/>
      <c r="GDY56" s="113"/>
      <c r="GDZ56" s="113"/>
      <c r="GEA56" s="113"/>
      <c r="GEB56" s="113"/>
      <c r="GEC56" s="113"/>
      <c r="GED56" s="113"/>
      <c r="GEE56" s="113"/>
      <c r="GEF56" s="113"/>
      <c r="GEG56" s="113"/>
      <c r="GEH56" s="113"/>
      <c r="GEI56" s="113"/>
      <c r="GEJ56" s="113"/>
      <c r="GEK56" s="113"/>
      <c r="GEL56" s="113"/>
      <c r="GEM56" s="113"/>
      <c r="GEN56" s="113"/>
      <c r="GEO56" s="113"/>
      <c r="GEP56" s="113"/>
      <c r="GEQ56" s="113"/>
      <c r="GER56" s="113"/>
      <c r="GES56" s="113"/>
      <c r="GET56" s="113"/>
      <c r="GEU56" s="113"/>
      <c r="GEV56" s="113"/>
      <c r="GEW56" s="113"/>
      <c r="GEX56" s="113"/>
      <c r="GEY56" s="113"/>
      <c r="GEZ56" s="113"/>
      <c r="GFA56" s="113"/>
      <c r="GFB56" s="113"/>
      <c r="GFC56" s="113"/>
      <c r="GFD56" s="113"/>
      <c r="GFE56" s="113"/>
      <c r="GFF56" s="113"/>
      <c r="GFG56" s="113"/>
      <c r="GFH56" s="113"/>
      <c r="GFI56" s="113"/>
      <c r="GFJ56" s="113"/>
      <c r="GFK56" s="113"/>
      <c r="GFL56" s="113"/>
      <c r="GFM56" s="113"/>
      <c r="GFN56" s="113"/>
      <c r="GFO56" s="113"/>
      <c r="GFP56" s="113"/>
      <c r="GFQ56" s="113"/>
      <c r="GFR56" s="113"/>
      <c r="GFS56" s="113"/>
      <c r="GFT56" s="113"/>
      <c r="GFU56" s="113"/>
      <c r="GFV56" s="113"/>
      <c r="GFW56" s="113"/>
      <c r="GFX56" s="113"/>
      <c r="GFY56" s="113"/>
      <c r="GFZ56" s="113"/>
      <c r="GGA56" s="113"/>
      <c r="GGB56" s="113"/>
      <c r="GGC56" s="113"/>
      <c r="GGD56" s="113"/>
      <c r="GGE56" s="113"/>
      <c r="GGF56" s="113"/>
      <c r="GGG56" s="113"/>
      <c r="GGH56" s="113"/>
      <c r="GGI56" s="113"/>
      <c r="GGJ56" s="113"/>
      <c r="GGK56" s="113"/>
      <c r="GGL56" s="113"/>
      <c r="GGM56" s="113"/>
      <c r="GGN56" s="113"/>
      <c r="GGO56" s="113"/>
      <c r="GGP56" s="113"/>
      <c r="GGQ56" s="113"/>
      <c r="GGR56" s="113"/>
      <c r="GGS56" s="113"/>
      <c r="GGT56" s="113"/>
      <c r="GGU56" s="113"/>
      <c r="GGV56" s="113"/>
      <c r="GGW56" s="113"/>
      <c r="GGX56" s="113"/>
      <c r="GGY56" s="113"/>
      <c r="GGZ56" s="113"/>
      <c r="GHA56" s="113"/>
      <c r="GHB56" s="113"/>
      <c r="GHC56" s="113"/>
      <c r="GHD56" s="113"/>
      <c r="GHE56" s="113"/>
      <c r="GHF56" s="113"/>
      <c r="GHG56" s="113"/>
      <c r="GHH56" s="113"/>
      <c r="GHI56" s="113"/>
      <c r="GHJ56" s="113"/>
      <c r="GHK56" s="113"/>
      <c r="GHL56" s="113"/>
      <c r="GHM56" s="113"/>
      <c r="GHN56" s="113"/>
      <c r="GHO56" s="113"/>
      <c r="GHP56" s="113"/>
      <c r="GHQ56" s="113"/>
      <c r="GHR56" s="113"/>
      <c r="GHS56" s="113"/>
      <c r="GHT56" s="113"/>
      <c r="GHU56" s="113"/>
      <c r="GHV56" s="113"/>
      <c r="GHW56" s="113"/>
      <c r="GHX56" s="113"/>
      <c r="GHY56" s="113"/>
      <c r="GHZ56" s="113"/>
      <c r="GIA56" s="113"/>
      <c r="GIB56" s="113"/>
      <c r="GIC56" s="113"/>
      <c r="GID56" s="113"/>
      <c r="GIE56" s="113"/>
      <c r="GIF56" s="113"/>
      <c r="GIG56" s="113"/>
      <c r="GIH56" s="113"/>
      <c r="GII56" s="113"/>
      <c r="GIJ56" s="113"/>
      <c r="GIK56" s="113"/>
      <c r="GIL56" s="113"/>
      <c r="GIM56" s="113"/>
      <c r="GIN56" s="113"/>
      <c r="GIO56" s="113"/>
      <c r="GIP56" s="113"/>
      <c r="GIQ56" s="113"/>
      <c r="GIR56" s="113"/>
      <c r="GIS56" s="113"/>
      <c r="GIT56" s="113"/>
      <c r="GIU56" s="113"/>
      <c r="GIV56" s="113"/>
      <c r="GIW56" s="113"/>
      <c r="GIX56" s="113"/>
      <c r="GIY56" s="113"/>
      <c r="GIZ56" s="113"/>
      <c r="GJA56" s="113"/>
      <c r="GJB56" s="113"/>
      <c r="GJC56" s="113"/>
      <c r="GJD56" s="113"/>
      <c r="GJE56" s="113"/>
      <c r="GJF56" s="113"/>
      <c r="GJG56" s="113"/>
      <c r="GJH56" s="113"/>
      <c r="GJI56" s="113"/>
      <c r="GJJ56" s="113"/>
      <c r="GJK56" s="113"/>
      <c r="GJL56" s="113"/>
      <c r="GJM56" s="113"/>
      <c r="GJN56" s="113"/>
      <c r="GJO56" s="113"/>
      <c r="GJP56" s="113"/>
      <c r="GJQ56" s="113"/>
      <c r="GJR56" s="113"/>
      <c r="GJS56" s="113"/>
      <c r="GJT56" s="113"/>
      <c r="GJU56" s="113"/>
      <c r="GJV56" s="113"/>
      <c r="GJW56" s="113"/>
      <c r="GJX56" s="113"/>
      <c r="GJY56" s="113"/>
      <c r="GJZ56" s="113"/>
      <c r="GKA56" s="113"/>
      <c r="GKB56" s="113"/>
      <c r="GKC56" s="113"/>
      <c r="GKD56" s="113"/>
      <c r="GKE56" s="113"/>
      <c r="GKF56" s="113"/>
      <c r="GKG56" s="113"/>
      <c r="GKH56" s="113"/>
      <c r="GKI56" s="113"/>
      <c r="GKJ56" s="113"/>
      <c r="GKK56" s="113"/>
      <c r="GKL56" s="113"/>
      <c r="GKM56" s="113"/>
      <c r="GKN56" s="113"/>
      <c r="GKO56" s="113"/>
      <c r="GKP56" s="113"/>
      <c r="GKQ56" s="113"/>
      <c r="GKR56" s="113"/>
      <c r="GKS56" s="113"/>
      <c r="GKT56" s="113"/>
      <c r="GKU56" s="113"/>
      <c r="GKV56" s="113"/>
      <c r="GKW56" s="113"/>
      <c r="GKX56" s="113"/>
      <c r="GKY56" s="113"/>
      <c r="GKZ56" s="113"/>
      <c r="GLA56" s="113"/>
      <c r="GLB56" s="113"/>
      <c r="GLC56" s="113"/>
      <c r="GLD56" s="113"/>
      <c r="GLE56" s="113"/>
      <c r="GLF56" s="113"/>
      <c r="GLG56" s="113"/>
      <c r="GLH56" s="113"/>
      <c r="GLI56" s="113"/>
      <c r="GLJ56" s="113"/>
      <c r="GLK56" s="113"/>
      <c r="GLL56" s="113"/>
      <c r="GLM56" s="113"/>
      <c r="GLN56" s="113"/>
      <c r="GLO56" s="113"/>
      <c r="GLP56" s="113"/>
      <c r="GLQ56" s="113"/>
      <c r="GLR56" s="113"/>
      <c r="GLS56" s="113"/>
      <c r="GLT56" s="113"/>
      <c r="GLU56" s="113"/>
      <c r="GLV56" s="113"/>
      <c r="GLW56" s="113"/>
      <c r="GLX56" s="113"/>
      <c r="GLY56" s="113"/>
      <c r="GLZ56" s="113"/>
      <c r="GMA56" s="113"/>
      <c r="GMB56" s="113"/>
      <c r="GMC56" s="113"/>
      <c r="GMD56" s="113"/>
      <c r="GME56" s="113"/>
      <c r="GMF56" s="113"/>
      <c r="GMG56" s="113"/>
      <c r="GMH56" s="113"/>
      <c r="GMI56" s="113"/>
      <c r="GMJ56" s="113"/>
      <c r="GMK56" s="113"/>
      <c r="GML56" s="113"/>
      <c r="GMM56" s="113"/>
      <c r="GMN56" s="113"/>
      <c r="GMO56" s="113"/>
      <c r="GMP56" s="113"/>
      <c r="GMQ56" s="113"/>
      <c r="GMR56" s="113"/>
      <c r="GMS56" s="113"/>
      <c r="GMT56" s="113"/>
      <c r="GMU56" s="113"/>
      <c r="GMV56" s="113"/>
      <c r="GMW56" s="113"/>
      <c r="GMX56" s="113"/>
      <c r="GMY56" s="113"/>
      <c r="GMZ56" s="113"/>
      <c r="GNA56" s="113"/>
      <c r="GNB56" s="113"/>
      <c r="GNC56" s="113"/>
      <c r="GND56" s="113"/>
      <c r="GNE56" s="113"/>
      <c r="GNF56" s="113"/>
      <c r="GNG56" s="113"/>
      <c r="GNH56" s="113"/>
      <c r="GNI56" s="113"/>
      <c r="GNJ56" s="113"/>
      <c r="GNK56" s="113"/>
      <c r="GNL56" s="113"/>
      <c r="GNM56" s="113"/>
      <c r="GNN56" s="113"/>
      <c r="GNO56" s="113"/>
      <c r="GNP56" s="113"/>
      <c r="GNQ56" s="113"/>
      <c r="GNR56" s="113"/>
      <c r="GNS56" s="113"/>
      <c r="GNT56" s="113"/>
      <c r="GNU56" s="113"/>
      <c r="GNV56" s="113"/>
      <c r="GNW56" s="113"/>
      <c r="GNX56" s="113"/>
      <c r="GNY56" s="113"/>
      <c r="GNZ56" s="113"/>
      <c r="GOA56" s="113"/>
      <c r="GOB56" s="113"/>
      <c r="GOC56" s="113"/>
      <c r="GOD56" s="113"/>
      <c r="GOE56" s="113"/>
      <c r="GOF56" s="113"/>
      <c r="GOG56" s="113"/>
      <c r="GOH56" s="113"/>
      <c r="GOI56" s="113"/>
      <c r="GOJ56" s="113"/>
      <c r="GOK56" s="113"/>
      <c r="GOL56" s="113"/>
      <c r="GOM56" s="113"/>
      <c r="GON56" s="113"/>
      <c r="GOO56" s="113"/>
      <c r="GOP56" s="113"/>
      <c r="GOQ56" s="113"/>
      <c r="GOR56" s="113"/>
      <c r="GOS56" s="113"/>
      <c r="GOT56" s="113"/>
      <c r="GOU56" s="113"/>
      <c r="GOV56" s="113"/>
      <c r="GOW56" s="113"/>
      <c r="GOX56" s="113"/>
      <c r="GOY56" s="113"/>
      <c r="GOZ56" s="113"/>
      <c r="GPA56" s="113"/>
      <c r="GPB56" s="113"/>
      <c r="GPC56" s="113"/>
      <c r="GPD56" s="113"/>
      <c r="GPE56" s="113"/>
      <c r="GPF56" s="113"/>
      <c r="GPG56" s="113"/>
      <c r="GPH56" s="113"/>
      <c r="GPI56" s="113"/>
      <c r="GPJ56" s="113"/>
      <c r="GPK56" s="113"/>
      <c r="GPL56" s="113"/>
      <c r="GPM56" s="113"/>
      <c r="GPN56" s="113"/>
      <c r="GPO56" s="113"/>
      <c r="GPP56" s="113"/>
      <c r="GPQ56" s="113"/>
      <c r="GPR56" s="113"/>
      <c r="GPS56" s="113"/>
      <c r="GPT56" s="113"/>
      <c r="GPU56" s="113"/>
      <c r="GPV56" s="113"/>
      <c r="GPW56" s="113"/>
      <c r="GPX56" s="113"/>
      <c r="GPY56" s="113"/>
      <c r="GPZ56" s="113"/>
      <c r="GQA56" s="113"/>
      <c r="GQB56" s="113"/>
      <c r="GQC56" s="113"/>
      <c r="GQD56" s="113"/>
      <c r="GQE56" s="113"/>
      <c r="GQF56" s="113"/>
      <c r="GQG56" s="113"/>
      <c r="GQH56" s="113"/>
      <c r="GQI56" s="113"/>
      <c r="GQJ56" s="113"/>
      <c r="GQK56" s="113"/>
      <c r="GQL56" s="113"/>
      <c r="GQM56" s="113"/>
      <c r="GQN56" s="113"/>
      <c r="GQO56" s="113"/>
      <c r="GQP56" s="113"/>
      <c r="GQQ56" s="113"/>
      <c r="GQR56" s="113"/>
      <c r="GQS56" s="113"/>
      <c r="GQT56" s="113"/>
      <c r="GQU56" s="113"/>
      <c r="GQV56" s="113"/>
      <c r="GQW56" s="113"/>
      <c r="GQX56" s="113"/>
      <c r="GQY56" s="113"/>
      <c r="GQZ56" s="113"/>
      <c r="GRA56" s="113"/>
      <c r="GRB56" s="113"/>
      <c r="GRC56" s="113"/>
      <c r="GRD56" s="113"/>
      <c r="GRE56" s="113"/>
      <c r="GRF56" s="113"/>
      <c r="GRG56" s="113"/>
      <c r="GRH56" s="113"/>
      <c r="GRI56" s="113"/>
      <c r="GRJ56" s="113"/>
      <c r="GRK56" s="113"/>
      <c r="GRL56" s="113"/>
      <c r="GRM56" s="113"/>
      <c r="GRN56" s="113"/>
      <c r="GRO56" s="113"/>
      <c r="GRP56" s="113"/>
      <c r="GRQ56" s="113"/>
      <c r="GRR56" s="113"/>
      <c r="GRS56" s="113"/>
      <c r="GRT56" s="113"/>
      <c r="GRU56" s="113"/>
      <c r="GRV56" s="113"/>
      <c r="GRW56" s="113"/>
      <c r="GRX56" s="113"/>
      <c r="GRY56" s="113"/>
      <c r="GRZ56" s="113"/>
      <c r="GSA56" s="113"/>
      <c r="GSB56" s="113"/>
      <c r="GSC56" s="113"/>
      <c r="GSD56" s="113"/>
      <c r="GSE56" s="113"/>
      <c r="GSF56" s="113"/>
      <c r="GSG56" s="113"/>
      <c r="GSH56" s="113"/>
      <c r="GSI56" s="113"/>
      <c r="GSJ56" s="113"/>
      <c r="GSK56" s="113"/>
      <c r="GSL56" s="113"/>
      <c r="GSM56" s="113"/>
      <c r="GSN56" s="113"/>
      <c r="GSO56" s="113"/>
      <c r="GSP56" s="113"/>
      <c r="GSQ56" s="113"/>
      <c r="GSR56" s="113"/>
      <c r="GSS56" s="113"/>
      <c r="GST56" s="113"/>
      <c r="GSU56" s="113"/>
      <c r="GSV56" s="113"/>
      <c r="GSW56" s="113"/>
      <c r="GSX56" s="113"/>
      <c r="GSY56" s="113"/>
      <c r="GSZ56" s="113"/>
      <c r="GTA56" s="113"/>
      <c r="GTB56" s="113"/>
      <c r="GTC56" s="113"/>
      <c r="GTD56" s="113"/>
      <c r="GTE56" s="113"/>
      <c r="GTF56" s="113"/>
      <c r="GTG56" s="113"/>
      <c r="GTH56" s="113"/>
      <c r="GTI56" s="113"/>
      <c r="GTJ56" s="113"/>
      <c r="GTK56" s="113"/>
      <c r="GTL56" s="113"/>
      <c r="GTM56" s="113"/>
      <c r="GTN56" s="113"/>
      <c r="GTO56" s="113"/>
      <c r="GTP56" s="113"/>
      <c r="GTQ56" s="113"/>
      <c r="GTR56" s="113"/>
      <c r="GTS56" s="113"/>
      <c r="GTT56" s="113"/>
      <c r="GTU56" s="113"/>
      <c r="GTV56" s="113"/>
      <c r="GTW56" s="113"/>
      <c r="GTX56" s="113"/>
      <c r="GTY56" s="113"/>
      <c r="GTZ56" s="113"/>
      <c r="GUA56" s="113"/>
      <c r="GUB56" s="113"/>
      <c r="GUC56" s="113"/>
      <c r="GUD56" s="113"/>
      <c r="GUE56" s="113"/>
      <c r="GUF56" s="113"/>
      <c r="GUG56" s="113"/>
      <c r="GUH56" s="113"/>
      <c r="GUI56" s="113"/>
      <c r="GUJ56" s="113"/>
      <c r="GUK56" s="113"/>
      <c r="GUL56" s="113"/>
      <c r="GUM56" s="113"/>
      <c r="GUN56" s="113"/>
      <c r="GUO56" s="113"/>
      <c r="GUP56" s="113"/>
      <c r="GUQ56" s="113"/>
      <c r="GUR56" s="113"/>
      <c r="GUS56" s="113"/>
      <c r="GUT56" s="113"/>
      <c r="GUU56" s="113"/>
      <c r="GUV56" s="113"/>
      <c r="GUW56" s="113"/>
      <c r="GUX56" s="113"/>
      <c r="GUY56" s="113"/>
      <c r="GUZ56" s="113"/>
      <c r="GVA56" s="113"/>
      <c r="GVB56" s="113"/>
      <c r="GVC56" s="113"/>
      <c r="GVD56" s="113"/>
      <c r="GVE56" s="113"/>
      <c r="GVF56" s="113"/>
      <c r="GVG56" s="113"/>
      <c r="GVH56" s="113"/>
      <c r="GVI56" s="113"/>
      <c r="GVJ56" s="113"/>
      <c r="GVK56" s="113"/>
      <c r="GVL56" s="113"/>
      <c r="GVM56" s="113"/>
      <c r="GVN56" s="113"/>
      <c r="GVO56" s="113"/>
      <c r="GVP56" s="113"/>
      <c r="GVQ56" s="113"/>
      <c r="GVR56" s="113"/>
      <c r="GVS56" s="113"/>
      <c r="GVT56" s="113"/>
      <c r="GVU56" s="113"/>
      <c r="GVV56" s="113"/>
      <c r="GVW56" s="113"/>
      <c r="GVX56" s="113"/>
      <c r="GVY56" s="113"/>
      <c r="GVZ56" s="113"/>
      <c r="GWA56" s="113"/>
      <c r="GWB56" s="113"/>
      <c r="GWC56" s="113"/>
      <c r="GWD56" s="113"/>
      <c r="GWE56" s="113"/>
      <c r="GWF56" s="113"/>
      <c r="GWG56" s="113"/>
      <c r="GWH56" s="113"/>
      <c r="GWI56" s="113"/>
      <c r="GWJ56" s="113"/>
      <c r="GWK56" s="113"/>
      <c r="GWL56" s="113"/>
      <c r="GWM56" s="113"/>
      <c r="GWN56" s="113"/>
      <c r="GWO56" s="113"/>
      <c r="GWP56" s="113"/>
      <c r="GWQ56" s="113"/>
      <c r="GWR56" s="113"/>
      <c r="GWS56" s="113"/>
      <c r="GWT56" s="113"/>
      <c r="GWU56" s="113"/>
      <c r="GWV56" s="113"/>
      <c r="GWW56" s="113"/>
      <c r="GWX56" s="113"/>
      <c r="GWY56" s="113"/>
      <c r="GWZ56" s="113"/>
      <c r="GXA56" s="113"/>
      <c r="GXB56" s="113"/>
      <c r="GXC56" s="113"/>
      <c r="GXD56" s="113"/>
      <c r="GXE56" s="113"/>
      <c r="GXF56" s="113"/>
      <c r="GXG56" s="113"/>
      <c r="GXH56" s="113"/>
      <c r="GXI56" s="113"/>
      <c r="GXJ56" s="113"/>
      <c r="GXK56" s="113"/>
      <c r="GXL56" s="113"/>
      <c r="GXM56" s="113"/>
      <c r="GXN56" s="113"/>
      <c r="GXO56" s="113"/>
      <c r="GXP56" s="113"/>
      <c r="GXQ56" s="113"/>
      <c r="GXR56" s="113"/>
      <c r="GXS56" s="113"/>
      <c r="GXT56" s="113"/>
      <c r="GXU56" s="113"/>
      <c r="GXV56" s="113"/>
      <c r="GXW56" s="113"/>
      <c r="GXX56" s="113"/>
      <c r="GXY56" s="113"/>
      <c r="GXZ56" s="113"/>
      <c r="GYA56" s="113"/>
      <c r="GYB56" s="113"/>
      <c r="GYC56" s="113"/>
      <c r="GYD56" s="113"/>
      <c r="GYE56" s="113"/>
      <c r="GYF56" s="113"/>
      <c r="GYG56" s="113"/>
      <c r="GYH56" s="113"/>
      <c r="GYI56" s="113"/>
      <c r="GYJ56" s="113"/>
      <c r="GYK56" s="113"/>
      <c r="GYL56" s="113"/>
      <c r="GYM56" s="113"/>
      <c r="GYN56" s="113"/>
      <c r="GYO56" s="113"/>
      <c r="GYP56" s="113"/>
      <c r="GYQ56" s="113"/>
      <c r="GYR56" s="113"/>
      <c r="GYS56" s="113"/>
      <c r="GYT56" s="113"/>
      <c r="GYU56" s="113"/>
      <c r="GYV56" s="113"/>
      <c r="GYW56" s="113"/>
      <c r="GYX56" s="113"/>
      <c r="GYY56" s="113"/>
      <c r="GYZ56" s="113"/>
      <c r="GZA56" s="113"/>
      <c r="GZB56" s="113"/>
      <c r="GZC56" s="113"/>
      <c r="GZD56" s="113"/>
      <c r="GZE56" s="113"/>
      <c r="GZF56" s="113"/>
      <c r="GZG56" s="113"/>
      <c r="GZH56" s="113"/>
      <c r="GZI56" s="113"/>
      <c r="GZJ56" s="113"/>
      <c r="GZK56" s="113"/>
      <c r="GZL56" s="113"/>
      <c r="GZM56" s="113"/>
      <c r="GZN56" s="113"/>
      <c r="GZO56" s="113"/>
      <c r="GZP56" s="113"/>
      <c r="GZQ56" s="113"/>
      <c r="GZR56" s="113"/>
      <c r="GZS56" s="113"/>
      <c r="GZT56" s="113"/>
      <c r="GZU56" s="113"/>
      <c r="GZV56" s="113"/>
      <c r="GZW56" s="113"/>
      <c r="GZX56" s="113"/>
      <c r="GZY56" s="113"/>
      <c r="GZZ56" s="113"/>
      <c r="HAA56" s="113"/>
      <c r="HAB56" s="113"/>
      <c r="HAC56" s="113"/>
      <c r="HAD56" s="113"/>
      <c r="HAE56" s="113"/>
      <c r="HAF56" s="113"/>
      <c r="HAG56" s="113"/>
      <c r="HAH56" s="113"/>
      <c r="HAI56" s="113"/>
      <c r="HAJ56" s="113"/>
      <c r="HAK56" s="113"/>
      <c r="HAL56" s="113"/>
      <c r="HAM56" s="113"/>
      <c r="HAN56" s="113"/>
      <c r="HAO56" s="113"/>
      <c r="HAP56" s="113"/>
      <c r="HAQ56" s="113"/>
      <c r="HAR56" s="113"/>
      <c r="HAS56" s="113"/>
      <c r="HAT56" s="113"/>
      <c r="HAU56" s="113"/>
      <c r="HAV56" s="113"/>
      <c r="HAW56" s="113"/>
      <c r="HAX56" s="113"/>
      <c r="HAY56" s="113"/>
      <c r="HAZ56" s="113"/>
      <c r="HBA56" s="113"/>
      <c r="HBB56" s="113"/>
      <c r="HBC56" s="113"/>
      <c r="HBD56" s="113"/>
      <c r="HBE56" s="113"/>
      <c r="HBF56" s="113"/>
      <c r="HBG56" s="113"/>
      <c r="HBH56" s="113"/>
      <c r="HBI56" s="113"/>
      <c r="HBJ56" s="113"/>
      <c r="HBK56" s="113"/>
      <c r="HBL56" s="113"/>
      <c r="HBM56" s="113"/>
      <c r="HBN56" s="113"/>
      <c r="HBO56" s="113"/>
      <c r="HBP56" s="113"/>
      <c r="HBQ56" s="113"/>
      <c r="HBR56" s="113"/>
      <c r="HBS56" s="113"/>
      <c r="HBT56" s="113"/>
      <c r="HBU56" s="113"/>
      <c r="HBV56" s="113"/>
      <c r="HBW56" s="113"/>
      <c r="HBX56" s="113"/>
      <c r="HBY56" s="113"/>
      <c r="HBZ56" s="113"/>
      <c r="HCA56" s="113"/>
      <c r="HCB56" s="113"/>
      <c r="HCC56" s="113"/>
      <c r="HCD56" s="113"/>
      <c r="HCE56" s="113"/>
      <c r="HCF56" s="113"/>
      <c r="HCG56" s="113"/>
      <c r="HCH56" s="113"/>
      <c r="HCI56" s="113"/>
      <c r="HCJ56" s="113"/>
      <c r="HCK56" s="113"/>
      <c r="HCL56" s="113"/>
      <c r="HCM56" s="113"/>
      <c r="HCN56" s="113"/>
      <c r="HCO56" s="113"/>
      <c r="HCP56" s="113"/>
      <c r="HCQ56" s="113"/>
      <c r="HCR56" s="113"/>
      <c r="HCS56" s="113"/>
      <c r="HCT56" s="113"/>
      <c r="HCU56" s="113"/>
      <c r="HCV56" s="113"/>
      <c r="HCW56" s="113"/>
      <c r="HCX56" s="113"/>
      <c r="HCY56" s="113"/>
      <c r="HCZ56" s="113"/>
      <c r="HDA56" s="113"/>
      <c r="HDB56" s="113"/>
      <c r="HDC56" s="113"/>
      <c r="HDD56" s="113"/>
      <c r="HDE56" s="113"/>
      <c r="HDF56" s="113"/>
      <c r="HDG56" s="113"/>
      <c r="HDH56" s="113"/>
      <c r="HDI56" s="113"/>
      <c r="HDJ56" s="113"/>
      <c r="HDK56" s="113"/>
      <c r="HDL56" s="113"/>
      <c r="HDM56" s="113"/>
      <c r="HDN56" s="113"/>
      <c r="HDO56" s="113"/>
      <c r="HDP56" s="113"/>
      <c r="HDQ56" s="113"/>
      <c r="HDR56" s="113"/>
      <c r="HDS56" s="113"/>
      <c r="HDT56" s="113"/>
      <c r="HDU56" s="113"/>
      <c r="HDV56" s="113"/>
      <c r="HDW56" s="113"/>
      <c r="HDX56" s="113"/>
      <c r="HDY56" s="113"/>
      <c r="HDZ56" s="113"/>
      <c r="HEA56" s="113"/>
      <c r="HEB56" s="113"/>
      <c r="HEC56" s="113"/>
      <c r="HED56" s="113"/>
      <c r="HEE56" s="113"/>
      <c r="HEF56" s="113"/>
      <c r="HEG56" s="113"/>
      <c r="HEH56" s="113"/>
      <c r="HEI56" s="113"/>
      <c r="HEJ56" s="113"/>
      <c r="HEK56" s="113"/>
      <c r="HEL56" s="113"/>
      <c r="HEM56" s="113"/>
      <c r="HEN56" s="113"/>
      <c r="HEO56" s="113"/>
      <c r="HEP56" s="113"/>
      <c r="HEQ56" s="113"/>
      <c r="HER56" s="113"/>
      <c r="HES56" s="113"/>
      <c r="HET56" s="113"/>
      <c r="HEU56" s="113"/>
      <c r="HEV56" s="113"/>
      <c r="HEW56" s="113"/>
      <c r="HEX56" s="113"/>
      <c r="HEY56" s="113"/>
      <c r="HEZ56" s="113"/>
      <c r="HFA56" s="113"/>
      <c r="HFB56" s="113"/>
      <c r="HFC56" s="113"/>
      <c r="HFD56" s="113"/>
      <c r="HFE56" s="113"/>
      <c r="HFF56" s="113"/>
      <c r="HFG56" s="113"/>
      <c r="HFH56" s="113"/>
      <c r="HFI56" s="113"/>
      <c r="HFJ56" s="113"/>
      <c r="HFK56" s="113"/>
      <c r="HFL56" s="113"/>
      <c r="HFM56" s="113"/>
      <c r="HFN56" s="113"/>
      <c r="HFO56" s="113"/>
      <c r="HFP56" s="113"/>
      <c r="HFQ56" s="113"/>
      <c r="HFR56" s="113"/>
      <c r="HFS56" s="113"/>
      <c r="HFT56" s="113"/>
      <c r="HFU56" s="113"/>
      <c r="HFV56" s="113"/>
      <c r="HFW56" s="113"/>
      <c r="HFX56" s="113"/>
      <c r="HFY56" s="113"/>
      <c r="HFZ56" s="113"/>
      <c r="HGA56" s="113"/>
      <c r="HGB56" s="113"/>
      <c r="HGC56" s="113"/>
      <c r="HGD56" s="113"/>
      <c r="HGE56" s="113"/>
      <c r="HGF56" s="113"/>
      <c r="HGG56" s="113"/>
      <c r="HGH56" s="113"/>
      <c r="HGI56" s="113"/>
      <c r="HGJ56" s="113"/>
      <c r="HGK56" s="113"/>
      <c r="HGL56" s="113"/>
      <c r="HGM56" s="113"/>
      <c r="HGN56" s="113"/>
      <c r="HGO56" s="113"/>
      <c r="HGP56" s="113"/>
      <c r="HGQ56" s="113"/>
      <c r="HGR56" s="113"/>
      <c r="HGS56" s="113"/>
      <c r="HGT56" s="113"/>
      <c r="HGU56" s="113"/>
      <c r="HGV56" s="113"/>
      <c r="HGW56" s="113"/>
      <c r="HGX56" s="113"/>
      <c r="HGY56" s="113"/>
      <c r="HGZ56" s="113"/>
      <c r="HHA56" s="113"/>
      <c r="HHB56" s="113"/>
      <c r="HHC56" s="113"/>
      <c r="HHD56" s="113"/>
      <c r="HHE56" s="113"/>
      <c r="HHF56" s="113"/>
      <c r="HHG56" s="113"/>
      <c r="HHH56" s="113"/>
      <c r="HHI56" s="113"/>
      <c r="HHJ56" s="113"/>
      <c r="HHK56" s="113"/>
      <c r="HHL56" s="113"/>
      <c r="HHM56" s="113"/>
      <c r="HHN56" s="113"/>
      <c r="HHO56" s="113"/>
      <c r="HHP56" s="113"/>
      <c r="HHQ56" s="113"/>
      <c r="HHR56" s="113"/>
      <c r="HHS56" s="113"/>
      <c r="HHT56" s="113"/>
      <c r="HHU56" s="113"/>
      <c r="HHV56" s="113"/>
      <c r="HHW56" s="113"/>
      <c r="HHX56" s="113"/>
      <c r="HHY56" s="113"/>
      <c r="HHZ56" s="113"/>
      <c r="HIA56" s="113"/>
      <c r="HIB56" s="113"/>
      <c r="HIC56" s="113"/>
      <c r="HID56" s="113"/>
      <c r="HIE56" s="113"/>
      <c r="HIF56" s="113"/>
      <c r="HIG56" s="113"/>
      <c r="HIH56" s="113"/>
      <c r="HII56" s="113"/>
      <c r="HIJ56" s="113"/>
      <c r="HIK56" s="113"/>
      <c r="HIL56" s="113"/>
      <c r="HIM56" s="113"/>
      <c r="HIN56" s="113"/>
      <c r="HIO56" s="113"/>
      <c r="HIP56" s="113"/>
      <c r="HIQ56" s="113"/>
      <c r="HIR56" s="113"/>
      <c r="HIS56" s="113"/>
      <c r="HIT56" s="113"/>
      <c r="HIU56" s="113"/>
      <c r="HIV56" s="113"/>
      <c r="HIW56" s="113"/>
      <c r="HIX56" s="113"/>
      <c r="HIY56" s="113"/>
      <c r="HIZ56" s="113"/>
      <c r="HJA56" s="113"/>
      <c r="HJB56" s="113"/>
      <c r="HJC56" s="113"/>
      <c r="HJD56" s="113"/>
      <c r="HJE56" s="113"/>
      <c r="HJF56" s="113"/>
      <c r="HJG56" s="113"/>
      <c r="HJH56" s="113"/>
      <c r="HJI56" s="113"/>
      <c r="HJJ56" s="113"/>
      <c r="HJK56" s="113"/>
      <c r="HJL56" s="113"/>
      <c r="HJM56" s="113"/>
      <c r="HJN56" s="113"/>
      <c r="HJO56" s="113"/>
      <c r="HJP56" s="113"/>
      <c r="HJQ56" s="113"/>
      <c r="HJR56" s="113"/>
      <c r="HJS56" s="113"/>
      <c r="HJT56" s="113"/>
      <c r="HJU56" s="113"/>
      <c r="HJV56" s="113"/>
      <c r="HJW56" s="113"/>
      <c r="HJX56" s="113"/>
      <c r="HJY56" s="113"/>
      <c r="HJZ56" s="113"/>
      <c r="HKA56" s="113"/>
      <c r="HKB56" s="113"/>
      <c r="HKC56" s="113"/>
      <c r="HKD56" s="113"/>
      <c r="HKE56" s="113"/>
      <c r="HKF56" s="113"/>
      <c r="HKG56" s="113"/>
      <c r="HKH56" s="113"/>
      <c r="HKI56" s="113"/>
      <c r="HKJ56" s="113"/>
      <c r="HKK56" s="113"/>
      <c r="HKL56" s="113"/>
      <c r="HKM56" s="113"/>
      <c r="HKN56" s="113"/>
      <c r="HKO56" s="113"/>
      <c r="HKP56" s="113"/>
      <c r="HKQ56" s="113"/>
      <c r="HKR56" s="113"/>
      <c r="HKS56" s="113"/>
      <c r="HKT56" s="113"/>
      <c r="HKU56" s="113"/>
      <c r="HKV56" s="113"/>
      <c r="HKW56" s="113"/>
      <c r="HKX56" s="113"/>
      <c r="HKY56" s="113"/>
      <c r="HKZ56" s="113"/>
      <c r="HLA56" s="113"/>
      <c r="HLB56" s="113"/>
      <c r="HLC56" s="113"/>
      <c r="HLD56" s="113"/>
      <c r="HLE56" s="113"/>
      <c r="HLF56" s="113"/>
      <c r="HLG56" s="113"/>
      <c r="HLH56" s="113"/>
      <c r="HLI56" s="113"/>
      <c r="HLJ56" s="113"/>
      <c r="HLK56" s="113"/>
      <c r="HLL56" s="113"/>
      <c r="HLM56" s="113"/>
      <c r="HLN56" s="113"/>
      <c r="HLO56" s="113"/>
      <c r="HLP56" s="113"/>
      <c r="HLQ56" s="113"/>
      <c r="HLR56" s="113"/>
      <c r="HLS56" s="113"/>
      <c r="HLT56" s="113"/>
      <c r="HLU56" s="113"/>
      <c r="HLV56" s="113"/>
      <c r="HLW56" s="113"/>
      <c r="HLX56" s="113"/>
      <c r="HLY56" s="113"/>
      <c r="HLZ56" s="113"/>
      <c r="HMA56" s="113"/>
      <c r="HMB56" s="113"/>
      <c r="HMC56" s="113"/>
      <c r="HMD56" s="113"/>
      <c r="HME56" s="113"/>
      <c r="HMF56" s="113"/>
      <c r="HMG56" s="113"/>
      <c r="HMH56" s="113"/>
      <c r="HMI56" s="113"/>
      <c r="HMJ56" s="113"/>
      <c r="HMK56" s="113"/>
      <c r="HML56" s="113"/>
      <c r="HMM56" s="113"/>
      <c r="HMN56" s="113"/>
      <c r="HMO56" s="113"/>
      <c r="HMP56" s="113"/>
      <c r="HMQ56" s="113"/>
      <c r="HMR56" s="113"/>
      <c r="HMS56" s="113"/>
      <c r="HMT56" s="113"/>
      <c r="HMU56" s="113"/>
      <c r="HMV56" s="113"/>
      <c r="HMW56" s="113"/>
      <c r="HMX56" s="113"/>
      <c r="HMY56" s="113"/>
      <c r="HMZ56" s="113"/>
      <c r="HNA56" s="113"/>
      <c r="HNB56" s="113"/>
      <c r="HNC56" s="113"/>
      <c r="HND56" s="113"/>
      <c r="HNE56" s="113"/>
      <c r="HNF56" s="113"/>
      <c r="HNG56" s="113"/>
      <c r="HNH56" s="113"/>
      <c r="HNI56" s="113"/>
      <c r="HNJ56" s="113"/>
      <c r="HNK56" s="113"/>
      <c r="HNL56" s="113"/>
      <c r="HNM56" s="113"/>
      <c r="HNN56" s="113"/>
      <c r="HNO56" s="113"/>
      <c r="HNP56" s="113"/>
      <c r="HNQ56" s="113"/>
      <c r="HNR56" s="113"/>
      <c r="HNS56" s="113"/>
      <c r="HNT56" s="113"/>
      <c r="HNU56" s="113"/>
      <c r="HNV56" s="113"/>
      <c r="HNW56" s="113"/>
      <c r="HNX56" s="113"/>
      <c r="HNY56" s="113"/>
      <c r="HNZ56" s="113"/>
      <c r="HOA56" s="113"/>
      <c r="HOB56" s="113"/>
      <c r="HOC56" s="113"/>
      <c r="HOD56" s="113"/>
      <c r="HOE56" s="113"/>
      <c r="HOF56" s="113"/>
      <c r="HOG56" s="113"/>
      <c r="HOH56" s="113"/>
      <c r="HOI56" s="113"/>
      <c r="HOJ56" s="113"/>
      <c r="HOK56" s="113"/>
      <c r="HOL56" s="113"/>
      <c r="HOM56" s="113"/>
      <c r="HON56" s="113"/>
      <c r="HOO56" s="113"/>
      <c r="HOP56" s="113"/>
      <c r="HOQ56" s="113"/>
      <c r="HOR56" s="113"/>
      <c r="HOS56" s="113"/>
      <c r="HOT56" s="113"/>
      <c r="HOU56" s="113"/>
      <c r="HOV56" s="113"/>
      <c r="HOW56" s="113"/>
      <c r="HOX56" s="113"/>
      <c r="HOY56" s="113"/>
      <c r="HOZ56" s="113"/>
      <c r="HPA56" s="113"/>
      <c r="HPB56" s="113"/>
      <c r="HPC56" s="113"/>
      <c r="HPD56" s="113"/>
      <c r="HPE56" s="113"/>
      <c r="HPF56" s="113"/>
      <c r="HPG56" s="113"/>
      <c r="HPH56" s="113"/>
      <c r="HPI56" s="113"/>
      <c r="HPJ56" s="113"/>
      <c r="HPK56" s="113"/>
      <c r="HPL56" s="113"/>
      <c r="HPM56" s="113"/>
      <c r="HPN56" s="113"/>
      <c r="HPO56" s="113"/>
      <c r="HPP56" s="113"/>
      <c r="HPQ56" s="113"/>
      <c r="HPR56" s="113"/>
      <c r="HPS56" s="113"/>
      <c r="HPT56" s="113"/>
      <c r="HPU56" s="113"/>
      <c r="HPV56" s="113"/>
      <c r="HPW56" s="113"/>
      <c r="HPX56" s="113"/>
      <c r="HPY56" s="113"/>
      <c r="HPZ56" s="113"/>
      <c r="HQA56" s="113"/>
      <c r="HQB56" s="113"/>
      <c r="HQC56" s="113"/>
      <c r="HQD56" s="113"/>
      <c r="HQE56" s="113"/>
      <c r="HQF56" s="113"/>
      <c r="HQG56" s="113"/>
      <c r="HQH56" s="113"/>
      <c r="HQI56" s="113"/>
      <c r="HQJ56" s="113"/>
      <c r="HQK56" s="113"/>
      <c r="HQL56" s="113"/>
      <c r="HQM56" s="113"/>
      <c r="HQN56" s="113"/>
      <c r="HQO56" s="113"/>
      <c r="HQP56" s="113"/>
      <c r="HQQ56" s="113"/>
      <c r="HQR56" s="113"/>
      <c r="HQS56" s="113"/>
      <c r="HQT56" s="113"/>
      <c r="HQU56" s="113"/>
      <c r="HQV56" s="113"/>
      <c r="HQW56" s="113"/>
      <c r="HQX56" s="113"/>
      <c r="HQY56" s="113"/>
      <c r="HQZ56" s="113"/>
      <c r="HRA56" s="113"/>
      <c r="HRB56" s="113"/>
      <c r="HRC56" s="113"/>
      <c r="HRD56" s="113"/>
      <c r="HRE56" s="113"/>
      <c r="HRF56" s="113"/>
      <c r="HRG56" s="113"/>
      <c r="HRH56" s="113"/>
      <c r="HRI56" s="113"/>
      <c r="HRJ56" s="113"/>
      <c r="HRK56" s="113"/>
      <c r="HRL56" s="113"/>
      <c r="HRM56" s="113"/>
      <c r="HRN56" s="113"/>
      <c r="HRO56" s="113"/>
      <c r="HRP56" s="113"/>
      <c r="HRQ56" s="113"/>
      <c r="HRR56" s="113"/>
      <c r="HRS56" s="113"/>
      <c r="HRT56" s="113"/>
      <c r="HRU56" s="113"/>
      <c r="HRV56" s="113"/>
      <c r="HRW56" s="113"/>
      <c r="HRX56" s="113"/>
      <c r="HRY56" s="113"/>
      <c r="HRZ56" s="113"/>
      <c r="HSA56" s="113"/>
      <c r="HSB56" s="113"/>
      <c r="HSC56" s="113"/>
      <c r="HSD56" s="113"/>
      <c r="HSE56" s="113"/>
      <c r="HSF56" s="113"/>
      <c r="HSG56" s="113"/>
      <c r="HSH56" s="113"/>
      <c r="HSI56" s="113"/>
      <c r="HSJ56" s="113"/>
      <c r="HSK56" s="113"/>
      <c r="HSL56" s="113"/>
      <c r="HSM56" s="113"/>
      <c r="HSN56" s="113"/>
      <c r="HSO56" s="113"/>
      <c r="HSP56" s="113"/>
      <c r="HSQ56" s="113"/>
      <c r="HSR56" s="113"/>
      <c r="HSS56" s="113"/>
      <c r="HST56" s="113"/>
      <c r="HSU56" s="113"/>
      <c r="HSV56" s="113"/>
      <c r="HSW56" s="113"/>
      <c r="HSX56" s="113"/>
      <c r="HSY56" s="113"/>
      <c r="HSZ56" s="113"/>
      <c r="HTA56" s="113"/>
      <c r="HTB56" s="113"/>
      <c r="HTC56" s="113"/>
      <c r="HTD56" s="113"/>
      <c r="HTE56" s="113"/>
      <c r="HTF56" s="113"/>
      <c r="HTG56" s="113"/>
      <c r="HTH56" s="113"/>
      <c r="HTI56" s="113"/>
      <c r="HTJ56" s="113"/>
      <c r="HTK56" s="113"/>
      <c r="HTL56" s="113"/>
      <c r="HTM56" s="113"/>
      <c r="HTN56" s="113"/>
      <c r="HTO56" s="113"/>
      <c r="HTP56" s="113"/>
      <c r="HTQ56" s="113"/>
      <c r="HTR56" s="113"/>
      <c r="HTS56" s="113"/>
      <c r="HTT56" s="113"/>
      <c r="HTU56" s="113"/>
      <c r="HTV56" s="113"/>
      <c r="HTW56" s="113"/>
      <c r="HTX56" s="113"/>
      <c r="HTY56" s="113"/>
      <c r="HTZ56" s="113"/>
      <c r="HUA56" s="113"/>
      <c r="HUB56" s="113"/>
      <c r="HUC56" s="113"/>
      <c r="HUD56" s="113"/>
      <c r="HUE56" s="113"/>
      <c r="HUF56" s="113"/>
      <c r="HUG56" s="113"/>
      <c r="HUH56" s="113"/>
      <c r="HUI56" s="113"/>
      <c r="HUJ56" s="113"/>
      <c r="HUK56" s="113"/>
      <c r="HUL56" s="113"/>
      <c r="HUM56" s="113"/>
      <c r="HUN56" s="113"/>
      <c r="HUO56" s="113"/>
      <c r="HUP56" s="113"/>
      <c r="HUQ56" s="113"/>
      <c r="HUR56" s="113"/>
      <c r="HUS56" s="113"/>
      <c r="HUT56" s="113"/>
      <c r="HUU56" s="113"/>
      <c r="HUV56" s="113"/>
      <c r="HUW56" s="113"/>
      <c r="HUX56" s="113"/>
      <c r="HUY56" s="113"/>
      <c r="HUZ56" s="113"/>
      <c r="HVA56" s="113"/>
      <c r="HVB56" s="113"/>
      <c r="HVC56" s="113"/>
      <c r="HVD56" s="113"/>
      <c r="HVE56" s="113"/>
      <c r="HVF56" s="113"/>
      <c r="HVG56" s="113"/>
      <c r="HVH56" s="113"/>
      <c r="HVI56" s="113"/>
      <c r="HVJ56" s="113"/>
      <c r="HVK56" s="113"/>
      <c r="HVL56" s="113"/>
      <c r="HVM56" s="113"/>
      <c r="HVN56" s="113"/>
      <c r="HVO56" s="113"/>
      <c r="HVP56" s="113"/>
      <c r="HVQ56" s="113"/>
      <c r="HVR56" s="113"/>
      <c r="HVS56" s="113"/>
      <c r="HVT56" s="113"/>
      <c r="HVU56" s="113"/>
      <c r="HVV56" s="113"/>
      <c r="HVW56" s="113"/>
      <c r="HVX56" s="113"/>
      <c r="HVY56" s="113"/>
      <c r="HVZ56" s="113"/>
      <c r="HWA56" s="113"/>
      <c r="HWB56" s="113"/>
      <c r="HWC56" s="113"/>
      <c r="HWD56" s="113"/>
      <c r="HWE56" s="113"/>
      <c r="HWF56" s="113"/>
      <c r="HWG56" s="113"/>
      <c r="HWH56" s="113"/>
      <c r="HWI56" s="113"/>
      <c r="HWJ56" s="113"/>
      <c r="HWK56" s="113"/>
      <c r="HWL56" s="113"/>
      <c r="HWM56" s="113"/>
      <c r="HWN56" s="113"/>
      <c r="HWO56" s="113"/>
      <c r="HWP56" s="113"/>
      <c r="HWQ56" s="113"/>
      <c r="HWR56" s="113"/>
      <c r="HWS56" s="113"/>
      <c r="HWT56" s="113"/>
      <c r="HWU56" s="113"/>
      <c r="HWV56" s="113"/>
      <c r="HWW56" s="113"/>
      <c r="HWX56" s="113"/>
      <c r="HWY56" s="113"/>
      <c r="HWZ56" s="113"/>
      <c r="HXA56" s="113"/>
      <c r="HXB56" s="113"/>
      <c r="HXC56" s="113"/>
      <c r="HXD56" s="113"/>
      <c r="HXE56" s="113"/>
      <c r="HXF56" s="113"/>
      <c r="HXG56" s="113"/>
      <c r="HXH56" s="113"/>
      <c r="HXI56" s="113"/>
      <c r="HXJ56" s="113"/>
      <c r="HXK56" s="113"/>
      <c r="HXL56" s="113"/>
      <c r="HXM56" s="113"/>
      <c r="HXN56" s="113"/>
      <c r="HXO56" s="113"/>
      <c r="HXP56" s="113"/>
      <c r="HXQ56" s="113"/>
      <c r="HXR56" s="113"/>
      <c r="HXS56" s="113"/>
      <c r="HXT56" s="113"/>
      <c r="HXU56" s="113"/>
      <c r="HXV56" s="113"/>
      <c r="HXW56" s="113"/>
      <c r="HXX56" s="113"/>
      <c r="HXY56" s="113"/>
      <c r="HXZ56" s="113"/>
      <c r="HYA56" s="113"/>
      <c r="HYB56" s="113"/>
      <c r="HYC56" s="113"/>
      <c r="HYD56" s="113"/>
      <c r="HYE56" s="113"/>
      <c r="HYF56" s="113"/>
      <c r="HYG56" s="113"/>
      <c r="HYH56" s="113"/>
      <c r="HYI56" s="113"/>
      <c r="HYJ56" s="113"/>
      <c r="HYK56" s="113"/>
      <c r="HYL56" s="113"/>
      <c r="HYM56" s="113"/>
      <c r="HYN56" s="113"/>
      <c r="HYO56" s="113"/>
      <c r="HYP56" s="113"/>
      <c r="HYQ56" s="113"/>
      <c r="HYR56" s="113"/>
      <c r="HYS56" s="113"/>
      <c r="HYT56" s="113"/>
      <c r="HYU56" s="113"/>
      <c r="HYV56" s="113"/>
      <c r="HYW56" s="113"/>
      <c r="HYX56" s="113"/>
      <c r="HYY56" s="113"/>
      <c r="HYZ56" s="113"/>
      <c r="HZA56" s="113"/>
      <c r="HZB56" s="113"/>
      <c r="HZC56" s="113"/>
      <c r="HZD56" s="113"/>
      <c r="HZE56" s="113"/>
      <c r="HZF56" s="113"/>
      <c r="HZG56" s="113"/>
      <c r="HZH56" s="113"/>
      <c r="HZI56" s="113"/>
      <c r="HZJ56" s="113"/>
      <c r="HZK56" s="113"/>
      <c r="HZL56" s="113"/>
      <c r="HZM56" s="113"/>
      <c r="HZN56" s="113"/>
      <c r="HZO56" s="113"/>
      <c r="HZP56" s="113"/>
      <c r="HZQ56" s="113"/>
      <c r="HZR56" s="113"/>
      <c r="HZS56" s="113"/>
      <c r="HZT56" s="113"/>
      <c r="HZU56" s="113"/>
      <c r="HZV56" s="113"/>
      <c r="HZW56" s="113"/>
      <c r="HZX56" s="113"/>
      <c r="HZY56" s="113"/>
      <c r="HZZ56" s="113"/>
      <c r="IAA56" s="113"/>
      <c r="IAB56" s="113"/>
      <c r="IAC56" s="113"/>
      <c r="IAD56" s="113"/>
      <c r="IAE56" s="113"/>
      <c r="IAF56" s="113"/>
      <c r="IAG56" s="113"/>
      <c r="IAH56" s="113"/>
      <c r="IAI56" s="113"/>
      <c r="IAJ56" s="113"/>
      <c r="IAK56" s="113"/>
      <c r="IAL56" s="113"/>
      <c r="IAM56" s="113"/>
      <c r="IAN56" s="113"/>
      <c r="IAO56" s="113"/>
      <c r="IAP56" s="113"/>
      <c r="IAQ56" s="113"/>
      <c r="IAR56" s="113"/>
      <c r="IAS56" s="113"/>
      <c r="IAT56" s="113"/>
      <c r="IAU56" s="113"/>
      <c r="IAV56" s="113"/>
      <c r="IAW56" s="113"/>
      <c r="IAX56" s="113"/>
      <c r="IAY56" s="113"/>
      <c r="IAZ56" s="113"/>
      <c r="IBA56" s="113"/>
      <c r="IBB56" s="113"/>
      <c r="IBC56" s="113"/>
      <c r="IBD56" s="113"/>
      <c r="IBE56" s="113"/>
      <c r="IBF56" s="113"/>
      <c r="IBG56" s="113"/>
      <c r="IBH56" s="113"/>
      <c r="IBI56" s="113"/>
      <c r="IBJ56" s="113"/>
      <c r="IBK56" s="113"/>
      <c r="IBL56" s="113"/>
      <c r="IBM56" s="113"/>
      <c r="IBN56" s="113"/>
      <c r="IBO56" s="113"/>
      <c r="IBP56" s="113"/>
      <c r="IBQ56" s="113"/>
      <c r="IBR56" s="113"/>
      <c r="IBS56" s="113"/>
      <c r="IBT56" s="113"/>
      <c r="IBU56" s="113"/>
      <c r="IBV56" s="113"/>
      <c r="IBW56" s="113"/>
      <c r="IBX56" s="113"/>
      <c r="IBY56" s="113"/>
      <c r="IBZ56" s="113"/>
      <c r="ICA56" s="113"/>
      <c r="ICB56" s="113"/>
      <c r="ICC56" s="113"/>
      <c r="ICD56" s="113"/>
      <c r="ICE56" s="113"/>
      <c r="ICF56" s="113"/>
      <c r="ICG56" s="113"/>
      <c r="ICH56" s="113"/>
      <c r="ICI56" s="113"/>
      <c r="ICJ56" s="113"/>
      <c r="ICK56" s="113"/>
      <c r="ICL56" s="113"/>
      <c r="ICM56" s="113"/>
      <c r="ICN56" s="113"/>
      <c r="ICO56" s="113"/>
      <c r="ICP56" s="113"/>
      <c r="ICQ56" s="113"/>
      <c r="ICR56" s="113"/>
      <c r="ICS56" s="113"/>
      <c r="ICT56" s="113"/>
      <c r="ICU56" s="113"/>
      <c r="ICV56" s="113"/>
      <c r="ICW56" s="113"/>
      <c r="ICX56" s="113"/>
      <c r="ICY56" s="113"/>
      <c r="ICZ56" s="113"/>
      <c r="IDA56" s="113"/>
      <c r="IDB56" s="113"/>
      <c r="IDC56" s="113"/>
      <c r="IDD56" s="113"/>
      <c r="IDE56" s="113"/>
      <c r="IDF56" s="113"/>
      <c r="IDG56" s="113"/>
      <c r="IDH56" s="113"/>
      <c r="IDI56" s="113"/>
      <c r="IDJ56" s="113"/>
      <c r="IDK56" s="113"/>
      <c r="IDL56" s="113"/>
      <c r="IDM56" s="113"/>
      <c r="IDN56" s="113"/>
      <c r="IDO56" s="113"/>
      <c r="IDP56" s="113"/>
      <c r="IDQ56" s="113"/>
      <c r="IDR56" s="113"/>
      <c r="IDS56" s="113"/>
      <c r="IDT56" s="113"/>
      <c r="IDU56" s="113"/>
      <c r="IDV56" s="113"/>
      <c r="IDW56" s="113"/>
      <c r="IDX56" s="113"/>
      <c r="IDY56" s="113"/>
      <c r="IDZ56" s="113"/>
      <c r="IEA56" s="113"/>
      <c r="IEB56" s="113"/>
      <c r="IEC56" s="113"/>
      <c r="IED56" s="113"/>
      <c r="IEE56" s="113"/>
      <c r="IEF56" s="113"/>
      <c r="IEG56" s="113"/>
      <c r="IEH56" s="113"/>
      <c r="IEI56" s="113"/>
      <c r="IEJ56" s="113"/>
      <c r="IEK56" s="113"/>
      <c r="IEL56" s="113"/>
      <c r="IEM56" s="113"/>
      <c r="IEN56" s="113"/>
      <c r="IEO56" s="113"/>
      <c r="IEP56" s="113"/>
      <c r="IEQ56" s="113"/>
      <c r="IER56" s="113"/>
      <c r="IES56" s="113"/>
      <c r="IET56" s="113"/>
      <c r="IEU56" s="113"/>
      <c r="IEV56" s="113"/>
      <c r="IEW56" s="113"/>
      <c r="IEX56" s="113"/>
      <c r="IEY56" s="113"/>
      <c r="IEZ56" s="113"/>
      <c r="IFA56" s="113"/>
      <c r="IFB56" s="113"/>
      <c r="IFC56" s="113"/>
      <c r="IFD56" s="113"/>
      <c r="IFE56" s="113"/>
      <c r="IFF56" s="113"/>
      <c r="IFG56" s="113"/>
      <c r="IFH56" s="113"/>
      <c r="IFI56" s="113"/>
      <c r="IFJ56" s="113"/>
      <c r="IFK56" s="113"/>
      <c r="IFL56" s="113"/>
      <c r="IFM56" s="113"/>
      <c r="IFN56" s="113"/>
      <c r="IFO56" s="113"/>
      <c r="IFP56" s="113"/>
      <c r="IFQ56" s="113"/>
      <c r="IFR56" s="113"/>
      <c r="IFS56" s="113"/>
      <c r="IFT56" s="113"/>
      <c r="IFU56" s="113"/>
      <c r="IFV56" s="113"/>
      <c r="IFW56" s="113"/>
      <c r="IFX56" s="113"/>
      <c r="IFY56" s="113"/>
      <c r="IFZ56" s="113"/>
      <c r="IGA56" s="113"/>
      <c r="IGB56" s="113"/>
      <c r="IGC56" s="113"/>
      <c r="IGD56" s="113"/>
      <c r="IGE56" s="113"/>
      <c r="IGF56" s="113"/>
      <c r="IGG56" s="113"/>
      <c r="IGH56" s="113"/>
      <c r="IGI56" s="113"/>
      <c r="IGJ56" s="113"/>
      <c r="IGK56" s="113"/>
      <c r="IGL56" s="113"/>
      <c r="IGM56" s="113"/>
      <c r="IGN56" s="113"/>
      <c r="IGO56" s="113"/>
      <c r="IGP56" s="113"/>
      <c r="IGQ56" s="113"/>
      <c r="IGR56" s="113"/>
      <c r="IGS56" s="113"/>
      <c r="IGT56" s="113"/>
      <c r="IGU56" s="113"/>
      <c r="IGV56" s="113"/>
      <c r="IGW56" s="113"/>
      <c r="IGX56" s="113"/>
      <c r="IGY56" s="113"/>
      <c r="IGZ56" s="113"/>
      <c r="IHA56" s="113"/>
      <c r="IHB56" s="113"/>
      <c r="IHC56" s="113"/>
      <c r="IHD56" s="113"/>
      <c r="IHE56" s="113"/>
      <c r="IHF56" s="113"/>
      <c r="IHG56" s="113"/>
      <c r="IHH56" s="113"/>
      <c r="IHI56" s="113"/>
      <c r="IHJ56" s="113"/>
      <c r="IHK56" s="113"/>
      <c r="IHL56" s="113"/>
      <c r="IHM56" s="113"/>
      <c r="IHN56" s="113"/>
      <c r="IHO56" s="113"/>
      <c r="IHP56" s="113"/>
      <c r="IHQ56" s="113"/>
      <c r="IHR56" s="113"/>
      <c r="IHS56" s="113"/>
      <c r="IHT56" s="113"/>
      <c r="IHU56" s="113"/>
      <c r="IHV56" s="113"/>
      <c r="IHW56" s="113"/>
      <c r="IHX56" s="113"/>
      <c r="IHY56" s="113"/>
      <c r="IHZ56" s="113"/>
      <c r="IIA56" s="113"/>
      <c r="IIB56" s="113"/>
      <c r="IIC56" s="113"/>
      <c r="IID56" s="113"/>
      <c r="IIE56" s="113"/>
      <c r="IIF56" s="113"/>
      <c r="IIG56" s="113"/>
      <c r="IIH56" s="113"/>
      <c r="III56" s="113"/>
      <c r="IIJ56" s="113"/>
      <c r="IIK56" s="113"/>
      <c r="IIL56" s="113"/>
      <c r="IIM56" s="113"/>
      <c r="IIN56" s="113"/>
      <c r="IIO56" s="113"/>
      <c r="IIP56" s="113"/>
      <c r="IIQ56" s="113"/>
      <c r="IIR56" s="113"/>
      <c r="IIS56" s="113"/>
      <c r="IIT56" s="113"/>
      <c r="IIU56" s="113"/>
      <c r="IIV56" s="113"/>
      <c r="IIW56" s="113"/>
      <c r="IIX56" s="113"/>
      <c r="IIY56" s="113"/>
      <c r="IIZ56" s="113"/>
      <c r="IJA56" s="113"/>
      <c r="IJB56" s="113"/>
      <c r="IJC56" s="113"/>
      <c r="IJD56" s="113"/>
      <c r="IJE56" s="113"/>
      <c r="IJF56" s="113"/>
      <c r="IJG56" s="113"/>
      <c r="IJH56" s="113"/>
      <c r="IJI56" s="113"/>
      <c r="IJJ56" s="113"/>
      <c r="IJK56" s="113"/>
      <c r="IJL56" s="113"/>
      <c r="IJM56" s="113"/>
      <c r="IJN56" s="113"/>
      <c r="IJO56" s="113"/>
      <c r="IJP56" s="113"/>
      <c r="IJQ56" s="113"/>
      <c r="IJR56" s="113"/>
      <c r="IJS56" s="113"/>
      <c r="IJT56" s="113"/>
      <c r="IJU56" s="113"/>
      <c r="IJV56" s="113"/>
      <c r="IJW56" s="113"/>
      <c r="IJX56" s="113"/>
      <c r="IJY56" s="113"/>
      <c r="IJZ56" s="113"/>
      <c r="IKA56" s="113"/>
      <c r="IKB56" s="113"/>
      <c r="IKC56" s="113"/>
      <c r="IKD56" s="113"/>
      <c r="IKE56" s="113"/>
      <c r="IKF56" s="113"/>
      <c r="IKG56" s="113"/>
      <c r="IKH56" s="113"/>
      <c r="IKI56" s="113"/>
      <c r="IKJ56" s="113"/>
      <c r="IKK56" s="113"/>
      <c r="IKL56" s="113"/>
      <c r="IKM56" s="113"/>
      <c r="IKN56" s="113"/>
      <c r="IKO56" s="113"/>
      <c r="IKP56" s="113"/>
      <c r="IKQ56" s="113"/>
      <c r="IKR56" s="113"/>
      <c r="IKS56" s="113"/>
      <c r="IKT56" s="113"/>
      <c r="IKU56" s="113"/>
      <c r="IKV56" s="113"/>
      <c r="IKW56" s="113"/>
      <c r="IKX56" s="113"/>
      <c r="IKY56" s="113"/>
      <c r="IKZ56" s="113"/>
      <c r="ILA56" s="113"/>
      <c r="ILB56" s="113"/>
      <c r="ILC56" s="113"/>
      <c r="ILD56" s="113"/>
      <c r="ILE56" s="113"/>
      <c r="ILF56" s="113"/>
      <c r="ILG56" s="113"/>
      <c r="ILH56" s="113"/>
      <c r="ILI56" s="113"/>
      <c r="ILJ56" s="113"/>
      <c r="ILK56" s="113"/>
      <c r="ILL56" s="113"/>
      <c r="ILM56" s="113"/>
      <c r="ILN56" s="113"/>
      <c r="ILO56" s="113"/>
      <c r="ILP56" s="113"/>
      <c r="ILQ56" s="113"/>
      <c r="ILR56" s="113"/>
      <c r="ILS56" s="113"/>
      <c r="ILT56" s="113"/>
      <c r="ILU56" s="113"/>
      <c r="ILV56" s="113"/>
      <c r="ILW56" s="113"/>
      <c r="ILX56" s="113"/>
      <c r="ILY56" s="113"/>
      <c r="ILZ56" s="113"/>
      <c r="IMA56" s="113"/>
      <c r="IMB56" s="113"/>
      <c r="IMC56" s="113"/>
      <c r="IMD56" s="113"/>
      <c r="IME56" s="113"/>
      <c r="IMF56" s="113"/>
      <c r="IMG56" s="113"/>
      <c r="IMH56" s="113"/>
      <c r="IMI56" s="113"/>
      <c r="IMJ56" s="113"/>
      <c r="IMK56" s="113"/>
      <c r="IML56" s="113"/>
      <c r="IMM56" s="113"/>
      <c r="IMN56" s="113"/>
      <c r="IMO56" s="113"/>
      <c r="IMP56" s="113"/>
      <c r="IMQ56" s="113"/>
      <c r="IMR56" s="113"/>
      <c r="IMS56" s="113"/>
      <c r="IMT56" s="113"/>
      <c r="IMU56" s="113"/>
      <c r="IMV56" s="113"/>
      <c r="IMW56" s="113"/>
      <c r="IMX56" s="113"/>
      <c r="IMY56" s="113"/>
      <c r="IMZ56" s="113"/>
      <c r="INA56" s="113"/>
      <c r="INB56" s="113"/>
      <c r="INC56" s="113"/>
      <c r="IND56" s="113"/>
      <c r="INE56" s="113"/>
      <c r="INF56" s="113"/>
      <c r="ING56" s="113"/>
      <c r="INH56" s="113"/>
      <c r="INI56" s="113"/>
      <c r="INJ56" s="113"/>
      <c r="INK56" s="113"/>
      <c r="INL56" s="113"/>
      <c r="INM56" s="113"/>
      <c r="INN56" s="113"/>
      <c r="INO56" s="113"/>
      <c r="INP56" s="113"/>
      <c r="INQ56" s="113"/>
      <c r="INR56" s="113"/>
      <c r="INS56" s="113"/>
      <c r="INT56" s="113"/>
      <c r="INU56" s="113"/>
      <c r="INV56" s="113"/>
      <c r="INW56" s="113"/>
      <c r="INX56" s="113"/>
      <c r="INY56" s="113"/>
      <c r="INZ56" s="113"/>
      <c r="IOA56" s="113"/>
      <c r="IOB56" s="113"/>
      <c r="IOC56" s="113"/>
      <c r="IOD56" s="113"/>
      <c r="IOE56" s="113"/>
      <c r="IOF56" s="113"/>
      <c r="IOG56" s="113"/>
      <c r="IOH56" s="113"/>
      <c r="IOI56" s="113"/>
      <c r="IOJ56" s="113"/>
      <c r="IOK56" s="113"/>
      <c r="IOL56" s="113"/>
      <c r="IOM56" s="113"/>
      <c r="ION56" s="113"/>
      <c r="IOO56" s="113"/>
      <c r="IOP56" s="113"/>
      <c r="IOQ56" s="113"/>
      <c r="IOR56" s="113"/>
      <c r="IOS56" s="113"/>
      <c r="IOT56" s="113"/>
      <c r="IOU56" s="113"/>
      <c r="IOV56" s="113"/>
      <c r="IOW56" s="113"/>
      <c r="IOX56" s="113"/>
      <c r="IOY56" s="113"/>
      <c r="IOZ56" s="113"/>
      <c r="IPA56" s="113"/>
      <c r="IPB56" s="113"/>
      <c r="IPC56" s="113"/>
      <c r="IPD56" s="113"/>
      <c r="IPE56" s="113"/>
      <c r="IPF56" s="113"/>
      <c r="IPG56" s="113"/>
      <c r="IPH56" s="113"/>
      <c r="IPI56" s="113"/>
      <c r="IPJ56" s="113"/>
      <c r="IPK56" s="113"/>
      <c r="IPL56" s="113"/>
      <c r="IPM56" s="113"/>
      <c r="IPN56" s="113"/>
      <c r="IPO56" s="113"/>
      <c r="IPP56" s="113"/>
      <c r="IPQ56" s="113"/>
      <c r="IPR56" s="113"/>
      <c r="IPS56" s="113"/>
      <c r="IPT56" s="113"/>
      <c r="IPU56" s="113"/>
      <c r="IPV56" s="113"/>
      <c r="IPW56" s="113"/>
      <c r="IPX56" s="113"/>
      <c r="IPY56" s="113"/>
      <c r="IPZ56" s="113"/>
      <c r="IQA56" s="113"/>
      <c r="IQB56" s="113"/>
      <c r="IQC56" s="113"/>
      <c r="IQD56" s="113"/>
      <c r="IQE56" s="113"/>
      <c r="IQF56" s="113"/>
      <c r="IQG56" s="113"/>
      <c r="IQH56" s="113"/>
      <c r="IQI56" s="113"/>
      <c r="IQJ56" s="113"/>
      <c r="IQK56" s="113"/>
      <c r="IQL56" s="113"/>
      <c r="IQM56" s="113"/>
      <c r="IQN56" s="113"/>
      <c r="IQO56" s="113"/>
      <c r="IQP56" s="113"/>
      <c r="IQQ56" s="113"/>
      <c r="IQR56" s="113"/>
      <c r="IQS56" s="113"/>
      <c r="IQT56" s="113"/>
      <c r="IQU56" s="113"/>
      <c r="IQV56" s="113"/>
      <c r="IQW56" s="113"/>
      <c r="IQX56" s="113"/>
      <c r="IQY56" s="113"/>
      <c r="IQZ56" s="113"/>
      <c r="IRA56" s="113"/>
      <c r="IRB56" s="113"/>
      <c r="IRC56" s="113"/>
      <c r="IRD56" s="113"/>
      <c r="IRE56" s="113"/>
      <c r="IRF56" s="113"/>
      <c r="IRG56" s="113"/>
      <c r="IRH56" s="113"/>
      <c r="IRI56" s="113"/>
      <c r="IRJ56" s="113"/>
      <c r="IRK56" s="113"/>
      <c r="IRL56" s="113"/>
      <c r="IRM56" s="113"/>
      <c r="IRN56" s="113"/>
      <c r="IRO56" s="113"/>
      <c r="IRP56" s="113"/>
      <c r="IRQ56" s="113"/>
      <c r="IRR56" s="113"/>
      <c r="IRS56" s="113"/>
      <c r="IRT56" s="113"/>
      <c r="IRU56" s="113"/>
      <c r="IRV56" s="113"/>
      <c r="IRW56" s="113"/>
      <c r="IRX56" s="113"/>
      <c r="IRY56" s="113"/>
      <c r="IRZ56" s="113"/>
      <c r="ISA56" s="113"/>
      <c r="ISB56" s="113"/>
      <c r="ISC56" s="113"/>
      <c r="ISD56" s="113"/>
      <c r="ISE56" s="113"/>
      <c r="ISF56" s="113"/>
      <c r="ISG56" s="113"/>
      <c r="ISH56" s="113"/>
      <c r="ISI56" s="113"/>
      <c r="ISJ56" s="113"/>
      <c r="ISK56" s="113"/>
      <c r="ISL56" s="113"/>
      <c r="ISM56" s="113"/>
      <c r="ISN56" s="113"/>
      <c r="ISO56" s="113"/>
      <c r="ISP56" s="113"/>
      <c r="ISQ56" s="113"/>
      <c r="ISR56" s="113"/>
      <c r="ISS56" s="113"/>
      <c r="IST56" s="113"/>
      <c r="ISU56" s="113"/>
      <c r="ISV56" s="113"/>
      <c r="ISW56" s="113"/>
      <c r="ISX56" s="113"/>
      <c r="ISY56" s="113"/>
      <c r="ISZ56" s="113"/>
      <c r="ITA56" s="113"/>
      <c r="ITB56" s="113"/>
      <c r="ITC56" s="113"/>
      <c r="ITD56" s="113"/>
      <c r="ITE56" s="113"/>
      <c r="ITF56" s="113"/>
      <c r="ITG56" s="113"/>
      <c r="ITH56" s="113"/>
      <c r="ITI56" s="113"/>
      <c r="ITJ56" s="113"/>
      <c r="ITK56" s="113"/>
      <c r="ITL56" s="113"/>
      <c r="ITM56" s="113"/>
      <c r="ITN56" s="113"/>
      <c r="ITO56" s="113"/>
      <c r="ITP56" s="113"/>
      <c r="ITQ56" s="113"/>
      <c r="ITR56" s="113"/>
      <c r="ITS56" s="113"/>
      <c r="ITT56" s="113"/>
      <c r="ITU56" s="113"/>
      <c r="ITV56" s="113"/>
      <c r="ITW56" s="113"/>
      <c r="ITX56" s="113"/>
      <c r="ITY56" s="113"/>
      <c r="ITZ56" s="113"/>
      <c r="IUA56" s="113"/>
      <c r="IUB56" s="113"/>
      <c r="IUC56" s="113"/>
      <c r="IUD56" s="113"/>
      <c r="IUE56" s="113"/>
      <c r="IUF56" s="113"/>
      <c r="IUG56" s="113"/>
      <c r="IUH56" s="113"/>
      <c r="IUI56" s="113"/>
      <c r="IUJ56" s="113"/>
      <c r="IUK56" s="113"/>
      <c r="IUL56" s="113"/>
      <c r="IUM56" s="113"/>
      <c r="IUN56" s="113"/>
      <c r="IUO56" s="113"/>
      <c r="IUP56" s="113"/>
      <c r="IUQ56" s="113"/>
      <c r="IUR56" s="113"/>
      <c r="IUS56" s="113"/>
      <c r="IUT56" s="113"/>
      <c r="IUU56" s="113"/>
      <c r="IUV56" s="113"/>
      <c r="IUW56" s="113"/>
      <c r="IUX56" s="113"/>
      <c r="IUY56" s="113"/>
      <c r="IUZ56" s="113"/>
      <c r="IVA56" s="113"/>
      <c r="IVB56" s="113"/>
      <c r="IVC56" s="113"/>
      <c r="IVD56" s="113"/>
      <c r="IVE56" s="113"/>
      <c r="IVF56" s="113"/>
      <c r="IVG56" s="113"/>
      <c r="IVH56" s="113"/>
      <c r="IVI56" s="113"/>
      <c r="IVJ56" s="113"/>
      <c r="IVK56" s="113"/>
      <c r="IVL56" s="113"/>
      <c r="IVM56" s="113"/>
      <c r="IVN56" s="113"/>
      <c r="IVO56" s="113"/>
      <c r="IVP56" s="113"/>
      <c r="IVQ56" s="113"/>
      <c r="IVR56" s="113"/>
      <c r="IVS56" s="113"/>
      <c r="IVT56" s="113"/>
      <c r="IVU56" s="113"/>
      <c r="IVV56" s="113"/>
      <c r="IVW56" s="113"/>
      <c r="IVX56" s="113"/>
      <c r="IVY56" s="113"/>
      <c r="IVZ56" s="113"/>
      <c r="IWA56" s="113"/>
      <c r="IWB56" s="113"/>
      <c r="IWC56" s="113"/>
      <c r="IWD56" s="113"/>
      <c r="IWE56" s="113"/>
      <c r="IWF56" s="113"/>
      <c r="IWG56" s="113"/>
      <c r="IWH56" s="113"/>
      <c r="IWI56" s="113"/>
      <c r="IWJ56" s="113"/>
      <c r="IWK56" s="113"/>
      <c r="IWL56" s="113"/>
      <c r="IWM56" s="113"/>
      <c r="IWN56" s="113"/>
      <c r="IWO56" s="113"/>
      <c r="IWP56" s="113"/>
      <c r="IWQ56" s="113"/>
      <c r="IWR56" s="113"/>
      <c r="IWS56" s="113"/>
      <c r="IWT56" s="113"/>
      <c r="IWU56" s="113"/>
      <c r="IWV56" s="113"/>
      <c r="IWW56" s="113"/>
      <c r="IWX56" s="113"/>
      <c r="IWY56" s="113"/>
      <c r="IWZ56" s="113"/>
      <c r="IXA56" s="113"/>
      <c r="IXB56" s="113"/>
      <c r="IXC56" s="113"/>
      <c r="IXD56" s="113"/>
      <c r="IXE56" s="113"/>
      <c r="IXF56" s="113"/>
      <c r="IXG56" s="113"/>
      <c r="IXH56" s="113"/>
      <c r="IXI56" s="113"/>
      <c r="IXJ56" s="113"/>
      <c r="IXK56" s="113"/>
      <c r="IXL56" s="113"/>
      <c r="IXM56" s="113"/>
      <c r="IXN56" s="113"/>
      <c r="IXO56" s="113"/>
      <c r="IXP56" s="113"/>
      <c r="IXQ56" s="113"/>
      <c r="IXR56" s="113"/>
      <c r="IXS56" s="113"/>
      <c r="IXT56" s="113"/>
      <c r="IXU56" s="113"/>
      <c r="IXV56" s="113"/>
      <c r="IXW56" s="113"/>
      <c r="IXX56" s="113"/>
      <c r="IXY56" s="113"/>
      <c r="IXZ56" s="113"/>
      <c r="IYA56" s="113"/>
      <c r="IYB56" s="113"/>
      <c r="IYC56" s="113"/>
      <c r="IYD56" s="113"/>
      <c r="IYE56" s="113"/>
      <c r="IYF56" s="113"/>
      <c r="IYG56" s="113"/>
      <c r="IYH56" s="113"/>
      <c r="IYI56" s="113"/>
      <c r="IYJ56" s="113"/>
      <c r="IYK56" s="113"/>
      <c r="IYL56" s="113"/>
      <c r="IYM56" s="113"/>
      <c r="IYN56" s="113"/>
      <c r="IYO56" s="113"/>
      <c r="IYP56" s="113"/>
      <c r="IYQ56" s="113"/>
      <c r="IYR56" s="113"/>
      <c r="IYS56" s="113"/>
      <c r="IYT56" s="113"/>
      <c r="IYU56" s="113"/>
      <c r="IYV56" s="113"/>
      <c r="IYW56" s="113"/>
      <c r="IYX56" s="113"/>
      <c r="IYY56" s="113"/>
      <c r="IYZ56" s="113"/>
      <c r="IZA56" s="113"/>
      <c r="IZB56" s="113"/>
      <c r="IZC56" s="113"/>
      <c r="IZD56" s="113"/>
      <c r="IZE56" s="113"/>
      <c r="IZF56" s="113"/>
      <c r="IZG56" s="113"/>
      <c r="IZH56" s="113"/>
      <c r="IZI56" s="113"/>
      <c r="IZJ56" s="113"/>
      <c r="IZK56" s="113"/>
      <c r="IZL56" s="113"/>
      <c r="IZM56" s="113"/>
      <c r="IZN56" s="113"/>
      <c r="IZO56" s="113"/>
      <c r="IZP56" s="113"/>
      <c r="IZQ56" s="113"/>
      <c r="IZR56" s="113"/>
      <c r="IZS56" s="113"/>
      <c r="IZT56" s="113"/>
      <c r="IZU56" s="113"/>
      <c r="IZV56" s="113"/>
      <c r="IZW56" s="113"/>
      <c r="IZX56" s="113"/>
      <c r="IZY56" s="113"/>
      <c r="IZZ56" s="113"/>
      <c r="JAA56" s="113"/>
      <c r="JAB56" s="113"/>
      <c r="JAC56" s="113"/>
      <c r="JAD56" s="113"/>
      <c r="JAE56" s="113"/>
      <c r="JAF56" s="113"/>
      <c r="JAG56" s="113"/>
      <c r="JAH56" s="113"/>
      <c r="JAI56" s="113"/>
      <c r="JAJ56" s="113"/>
      <c r="JAK56" s="113"/>
      <c r="JAL56" s="113"/>
      <c r="JAM56" s="113"/>
      <c r="JAN56" s="113"/>
      <c r="JAO56" s="113"/>
      <c r="JAP56" s="113"/>
      <c r="JAQ56" s="113"/>
      <c r="JAR56" s="113"/>
      <c r="JAS56" s="113"/>
      <c r="JAT56" s="113"/>
      <c r="JAU56" s="113"/>
      <c r="JAV56" s="113"/>
      <c r="JAW56" s="113"/>
      <c r="JAX56" s="113"/>
      <c r="JAY56" s="113"/>
      <c r="JAZ56" s="113"/>
      <c r="JBA56" s="113"/>
      <c r="JBB56" s="113"/>
      <c r="JBC56" s="113"/>
      <c r="JBD56" s="113"/>
      <c r="JBE56" s="113"/>
      <c r="JBF56" s="113"/>
      <c r="JBG56" s="113"/>
      <c r="JBH56" s="113"/>
      <c r="JBI56" s="113"/>
      <c r="JBJ56" s="113"/>
      <c r="JBK56" s="113"/>
      <c r="JBL56" s="113"/>
      <c r="JBM56" s="113"/>
      <c r="JBN56" s="113"/>
      <c r="JBO56" s="113"/>
      <c r="JBP56" s="113"/>
      <c r="JBQ56" s="113"/>
      <c r="JBR56" s="113"/>
      <c r="JBS56" s="113"/>
      <c r="JBT56" s="113"/>
      <c r="JBU56" s="113"/>
      <c r="JBV56" s="113"/>
      <c r="JBW56" s="113"/>
      <c r="JBX56" s="113"/>
      <c r="JBY56" s="113"/>
      <c r="JBZ56" s="113"/>
      <c r="JCA56" s="113"/>
      <c r="JCB56" s="113"/>
      <c r="JCC56" s="113"/>
      <c r="JCD56" s="113"/>
      <c r="JCE56" s="113"/>
      <c r="JCF56" s="113"/>
      <c r="JCG56" s="113"/>
      <c r="JCH56" s="113"/>
      <c r="JCI56" s="113"/>
      <c r="JCJ56" s="113"/>
      <c r="JCK56" s="113"/>
      <c r="JCL56" s="113"/>
      <c r="JCM56" s="113"/>
      <c r="JCN56" s="113"/>
      <c r="JCO56" s="113"/>
      <c r="JCP56" s="113"/>
      <c r="JCQ56" s="113"/>
      <c r="JCR56" s="113"/>
      <c r="JCS56" s="113"/>
      <c r="JCT56" s="113"/>
      <c r="JCU56" s="113"/>
      <c r="JCV56" s="113"/>
      <c r="JCW56" s="113"/>
      <c r="JCX56" s="113"/>
      <c r="JCY56" s="113"/>
      <c r="JCZ56" s="113"/>
      <c r="JDA56" s="113"/>
      <c r="JDB56" s="113"/>
      <c r="JDC56" s="113"/>
      <c r="JDD56" s="113"/>
      <c r="JDE56" s="113"/>
      <c r="JDF56" s="113"/>
      <c r="JDG56" s="113"/>
      <c r="JDH56" s="113"/>
      <c r="JDI56" s="113"/>
      <c r="JDJ56" s="113"/>
      <c r="JDK56" s="113"/>
      <c r="JDL56" s="113"/>
      <c r="JDM56" s="113"/>
      <c r="JDN56" s="113"/>
      <c r="JDO56" s="113"/>
      <c r="JDP56" s="113"/>
      <c r="JDQ56" s="113"/>
      <c r="JDR56" s="113"/>
      <c r="JDS56" s="113"/>
      <c r="JDT56" s="113"/>
      <c r="JDU56" s="113"/>
      <c r="JDV56" s="113"/>
      <c r="JDW56" s="113"/>
      <c r="JDX56" s="113"/>
      <c r="JDY56" s="113"/>
      <c r="JDZ56" s="113"/>
      <c r="JEA56" s="113"/>
      <c r="JEB56" s="113"/>
      <c r="JEC56" s="113"/>
      <c r="JED56" s="113"/>
      <c r="JEE56" s="113"/>
      <c r="JEF56" s="113"/>
      <c r="JEG56" s="113"/>
      <c r="JEH56" s="113"/>
      <c r="JEI56" s="113"/>
      <c r="JEJ56" s="113"/>
      <c r="JEK56" s="113"/>
      <c r="JEL56" s="113"/>
      <c r="JEM56" s="113"/>
      <c r="JEN56" s="113"/>
      <c r="JEO56" s="113"/>
      <c r="JEP56" s="113"/>
      <c r="JEQ56" s="113"/>
      <c r="JER56" s="113"/>
      <c r="JES56" s="113"/>
      <c r="JET56" s="113"/>
      <c r="JEU56" s="113"/>
      <c r="JEV56" s="113"/>
      <c r="JEW56" s="113"/>
      <c r="JEX56" s="113"/>
      <c r="JEY56" s="113"/>
      <c r="JEZ56" s="113"/>
      <c r="JFA56" s="113"/>
      <c r="JFB56" s="113"/>
      <c r="JFC56" s="113"/>
      <c r="JFD56" s="113"/>
      <c r="JFE56" s="113"/>
      <c r="JFF56" s="113"/>
      <c r="JFG56" s="113"/>
      <c r="JFH56" s="113"/>
      <c r="JFI56" s="113"/>
      <c r="JFJ56" s="113"/>
      <c r="JFK56" s="113"/>
      <c r="JFL56" s="113"/>
      <c r="JFM56" s="113"/>
      <c r="JFN56" s="113"/>
      <c r="JFO56" s="113"/>
      <c r="JFP56" s="113"/>
      <c r="JFQ56" s="113"/>
      <c r="JFR56" s="113"/>
      <c r="JFS56" s="113"/>
      <c r="JFT56" s="113"/>
      <c r="JFU56" s="113"/>
      <c r="JFV56" s="113"/>
      <c r="JFW56" s="113"/>
      <c r="JFX56" s="113"/>
      <c r="JFY56" s="113"/>
      <c r="JFZ56" s="113"/>
      <c r="JGA56" s="113"/>
      <c r="JGB56" s="113"/>
      <c r="JGC56" s="113"/>
      <c r="JGD56" s="113"/>
      <c r="JGE56" s="113"/>
      <c r="JGF56" s="113"/>
      <c r="JGG56" s="113"/>
      <c r="JGH56" s="113"/>
      <c r="JGI56" s="113"/>
      <c r="JGJ56" s="113"/>
      <c r="JGK56" s="113"/>
      <c r="JGL56" s="113"/>
      <c r="JGM56" s="113"/>
      <c r="JGN56" s="113"/>
      <c r="JGO56" s="113"/>
      <c r="JGP56" s="113"/>
      <c r="JGQ56" s="113"/>
      <c r="JGR56" s="113"/>
      <c r="JGS56" s="113"/>
      <c r="JGT56" s="113"/>
      <c r="JGU56" s="113"/>
      <c r="JGV56" s="113"/>
      <c r="JGW56" s="113"/>
      <c r="JGX56" s="113"/>
      <c r="JGY56" s="113"/>
      <c r="JGZ56" s="113"/>
      <c r="JHA56" s="113"/>
      <c r="JHB56" s="113"/>
      <c r="JHC56" s="113"/>
      <c r="JHD56" s="113"/>
      <c r="JHE56" s="113"/>
      <c r="JHF56" s="113"/>
      <c r="JHG56" s="113"/>
      <c r="JHH56" s="113"/>
      <c r="JHI56" s="113"/>
      <c r="JHJ56" s="113"/>
      <c r="JHK56" s="113"/>
      <c r="JHL56" s="113"/>
      <c r="JHM56" s="113"/>
      <c r="JHN56" s="113"/>
      <c r="JHO56" s="113"/>
      <c r="JHP56" s="113"/>
      <c r="JHQ56" s="113"/>
      <c r="JHR56" s="113"/>
      <c r="JHS56" s="113"/>
      <c r="JHT56" s="113"/>
      <c r="JHU56" s="113"/>
      <c r="JHV56" s="113"/>
      <c r="JHW56" s="113"/>
      <c r="JHX56" s="113"/>
      <c r="JHY56" s="113"/>
      <c r="JHZ56" s="113"/>
      <c r="JIA56" s="113"/>
      <c r="JIB56" s="113"/>
      <c r="JIC56" s="113"/>
      <c r="JID56" s="113"/>
      <c r="JIE56" s="113"/>
      <c r="JIF56" s="113"/>
      <c r="JIG56" s="113"/>
      <c r="JIH56" s="113"/>
      <c r="JII56" s="113"/>
      <c r="JIJ56" s="113"/>
      <c r="JIK56" s="113"/>
      <c r="JIL56" s="113"/>
      <c r="JIM56" s="113"/>
      <c r="JIN56" s="113"/>
      <c r="JIO56" s="113"/>
      <c r="JIP56" s="113"/>
      <c r="JIQ56" s="113"/>
      <c r="JIR56" s="113"/>
      <c r="JIS56" s="113"/>
      <c r="JIT56" s="113"/>
      <c r="JIU56" s="113"/>
      <c r="JIV56" s="113"/>
      <c r="JIW56" s="113"/>
      <c r="JIX56" s="113"/>
      <c r="JIY56" s="113"/>
      <c r="JIZ56" s="113"/>
      <c r="JJA56" s="113"/>
      <c r="JJB56" s="113"/>
      <c r="JJC56" s="113"/>
      <c r="JJD56" s="113"/>
      <c r="JJE56" s="113"/>
      <c r="JJF56" s="113"/>
      <c r="JJG56" s="113"/>
      <c r="JJH56" s="113"/>
      <c r="JJI56" s="113"/>
      <c r="JJJ56" s="113"/>
      <c r="JJK56" s="113"/>
      <c r="JJL56" s="113"/>
      <c r="JJM56" s="113"/>
      <c r="JJN56" s="113"/>
      <c r="JJO56" s="113"/>
      <c r="JJP56" s="113"/>
      <c r="JJQ56" s="113"/>
      <c r="JJR56" s="113"/>
      <c r="JJS56" s="113"/>
      <c r="JJT56" s="113"/>
      <c r="JJU56" s="113"/>
      <c r="JJV56" s="113"/>
      <c r="JJW56" s="113"/>
      <c r="JJX56" s="113"/>
      <c r="JJY56" s="113"/>
      <c r="JJZ56" s="113"/>
      <c r="JKA56" s="113"/>
      <c r="JKB56" s="113"/>
      <c r="JKC56" s="113"/>
      <c r="JKD56" s="113"/>
      <c r="JKE56" s="113"/>
      <c r="JKF56" s="113"/>
      <c r="JKG56" s="113"/>
      <c r="JKH56" s="113"/>
      <c r="JKI56" s="113"/>
      <c r="JKJ56" s="113"/>
      <c r="JKK56" s="113"/>
      <c r="JKL56" s="113"/>
      <c r="JKM56" s="113"/>
      <c r="JKN56" s="113"/>
      <c r="JKO56" s="113"/>
      <c r="JKP56" s="113"/>
      <c r="JKQ56" s="113"/>
      <c r="JKR56" s="113"/>
      <c r="JKS56" s="113"/>
      <c r="JKT56" s="113"/>
      <c r="JKU56" s="113"/>
      <c r="JKV56" s="113"/>
      <c r="JKW56" s="113"/>
      <c r="JKX56" s="113"/>
      <c r="JKY56" s="113"/>
      <c r="JKZ56" s="113"/>
      <c r="JLA56" s="113"/>
      <c r="JLB56" s="113"/>
      <c r="JLC56" s="113"/>
      <c r="JLD56" s="113"/>
      <c r="JLE56" s="113"/>
      <c r="JLF56" s="113"/>
      <c r="JLG56" s="113"/>
      <c r="JLH56" s="113"/>
      <c r="JLI56" s="113"/>
      <c r="JLJ56" s="113"/>
      <c r="JLK56" s="113"/>
      <c r="JLL56" s="113"/>
      <c r="JLM56" s="113"/>
      <c r="JLN56" s="113"/>
      <c r="JLO56" s="113"/>
      <c r="JLP56" s="113"/>
      <c r="JLQ56" s="113"/>
      <c r="JLR56" s="113"/>
      <c r="JLS56" s="113"/>
      <c r="JLT56" s="113"/>
      <c r="JLU56" s="113"/>
      <c r="JLV56" s="113"/>
      <c r="JLW56" s="113"/>
      <c r="JLX56" s="113"/>
      <c r="JLY56" s="113"/>
      <c r="JLZ56" s="113"/>
      <c r="JMA56" s="113"/>
      <c r="JMB56" s="113"/>
      <c r="JMC56" s="113"/>
      <c r="JMD56" s="113"/>
      <c r="JME56" s="113"/>
      <c r="JMF56" s="113"/>
      <c r="JMG56" s="113"/>
      <c r="JMH56" s="113"/>
      <c r="JMI56" s="113"/>
      <c r="JMJ56" s="113"/>
      <c r="JMK56" s="113"/>
      <c r="JML56" s="113"/>
      <c r="JMM56" s="113"/>
      <c r="JMN56" s="113"/>
      <c r="JMO56" s="113"/>
      <c r="JMP56" s="113"/>
      <c r="JMQ56" s="113"/>
      <c r="JMR56" s="113"/>
      <c r="JMS56" s="113"/>
      <c r="JMT56" s="113"/>
      <c r="JMU56" s="113"/>
      <c r="JMV56" s="113"/>
      <c r="JMW56" s="113"/>
      <c r="JMX56" s="113"/>
      <c r="JMY56" s="113"/>
      <c r="JMZ56" s="113"/>
      <c r="JNA56" s="113"/>
      <c r="JNB56" s="113"/>
      <c r="JNC56" s="113"/>
      <c r="JND56" s="113"/>
      <c r="JNE56" s="113"/>
      <c r="JNF56" s="113"/>
      <c r="JNG56" s="113"/>
      <c r="JNH56" s="113"/>
      <c r="JNI56" s="113"/>
      <c r="JNJ56" s="113"/>
      <c r="JNK56" s="113"/>
      <c r="JNL56" s="113"/>
      <c r="JNM56" s="113"/>
      <c r="JNN56" s="113"/>
      <c r="JNO56" s="113"/>
      <c r="JNP56" s="113"/>
      <c r="JNQ56" s="113"/>
      <c r="JNR56" s="113"/>
      <c r="JNS56" s="113"/>
      <c r="JNT56" s="113"/>
      <c r="JNU56" s="113"/>
      <c r="JNV56" s="113"/>
      <c r="JNW56" s="113"/>
      <c r="JNX56" s="113"/>
      <c r="JNY56" s="113"/>
      <c r="JNZ56" s="113"/>
      <c r="JOA56" s="113"/>
      <c r="JOB56" s="113"/>
      <c r="JOC56" s="113"/>
      <c r="JOD56" s="113"/>
      <c r="JOE56" s="113"/>
      <c r="JOF56" s="113"/>
      <c r="JOG56" s="113"/>
      <c r="JOH56" s="113"/>
      <c r="JOI56" s="113"/>
      <c r="JOJ56" s="113"/>
      <c r="JOK56" s="113"/>
      <c r="JOL56" s="113"/>
      <c r="JOM56" s="113"/>
      <c r="JON56" s="113"/>
      <c r="JOO56" s="113"/>
      <c r="JOP56" s="113"/>
      <c r="JOQ56" s="113"/>
      <c r="JOR56" s="113"/>
      <c r="JOS56" s="113"/>
      <c r="JOT56" s="113"/>
      <c r="JOU56" s="113"/>
      <c r="JOV56" s="113"/>
      <c r="JOW56" s="113"/>
      <c r="JOX56" s="113"/>
      <c r="JOY56" s="113"/>
      <c r="JOZ56" s="113"/>
      <c r="JPA56" s="113"/>
      <c r="JPB56" s="113"/>
      <c r="JPC56" s="113"/>
      <c r="JPD56" s="113"/>
      <c r="JPE56" s="113"/>
      <c r="JPF56" s="113"/>
      <c r="JPG56" s="113"/>
      <c r="JPH56" s="113"/>
      <c r="JPI56" s="113"/>
      <c r="JPJ56" s="113"/>
      <c r="JPK56" s="113"/>
      <c r="JPL56" s="113"/>
      <c r="JPM56" s="113"/>
      <c r="JPN56" s="113"/>
      <c r="JPO56" s="113"/>
      <c r="JPP56" s="113"/>
      <c r="JPQ56" s="113"/>
      <c r="JPR56" s="113"/>
      <c r="JPS56" s="113"/>
      <c r="JPT56" s="113"/>
      <c r="JPU56" s="113"/>
      <c r="JPV56" s="113"/>
      <c r="JPW56" s="113"/>
      <c r="JPX56" s="113"/>
      <c r="JPY56" s="113"/>
      <c r="JPZ56" s="113"/>
      <c r="JQA56" s="113"/>
      <c r="JQB56" s="113"/>
      <c r="JQC56" s="113"/>
      <c r="JQD56" s="113"/>
      <c r="JQE56" s="113"/>
      <c r="JQF56" s="113"/>
      <c r="JQG56" s="113"/>
      <c r="JQH56" s="113"/>
      <c r="JQI56" s="113"/>
      <c r="JQJ56" s="113"/>
      <c r="JQK56" s="113"/>
      <c r="JQL56" s="113"/>
      <c r="JQM56" s="113"/>
      <c r="JQN56" s="113"/>
      <c r="JQO56" s="113"/>
      <c r="JQP56" s="113"/>
      <c r="JQQ56" s="113"/>
      <c r="JQR56" s="113"/>
      <c r="JQS56" s="113"/>
      <c r="JQT56" s="113"/>
      <c r="JQU56" s="113"/>
      <c r="JQV56" s="113"/>
      <c r="JQW56" s="113"/>
      <c r="JQX56" s="113"/>
      <c r="JQY56" s="113"/>
      <c r="JQZ56" s="113"/>
      <c r="JRA56" s="113"/>
      <c r="JRB56" s="113"/>
      <c r="JRC56" s="113"/>
      <c r="JRD56" s="113"/>
      <c r="JRE56" s="113"/>
      <c r="JRF56" s="113"/>
      <c r="JRG56" s="113"/>
      <c r="JRH56" s="113"/>
      <c r="JRI56" s="113"/>
      <c r="JRJ56" s="113"/>
      <c r="JRK56" s="113"/>
      <c r="JRL56" s="113"/>
      <c r="JRM56" s="113"/>
      <c r="JRN56" s="113"/>
      <c r="JRO56" s="113"/>
      <c r="JRP56" s="113"/>
      <c r="JRQ56" s="113"/>
      <c r="JRR56" s="113"/>
      <c r="JRS56" s="113"/>
      <c r="JRT56" s="113"/>
      <c r="JRU56" s="113"/>
      <c r="JRV56" s="113"/>
      <c r="JRW56" s="113"/>
      <c r="JRX56" s="113"/>
      <c r="JRY56" s="113"/>
      <c r="JRZ56" s="113"/>
      <c r="JSA56" s="113"/>
      <c r="JSB56" s="113"/>
      <c r="JSC56" s="113"/>
      <c r="JSD56" s="113"/>
      <c r="JSE56" s="113"/>
      <c r="JSF56" s="113"/>
      <c r="JSG56" s="113"/>
      <c r="JSH56" s="113"/>
      <c r="JSI56" s="113"/>
      <c r="JSJ56" s="113"/>
      <c r="JSK56" s="113"/>
      <c r="JSL56" s="113"/>
      <c r="JSM56" s="113"/>
      <c r="JSN56" s="113"/>
      <c r="JSO56" s="113"/>
      <c r="JSP56" s="113"/>
      <c r="JSQ56" s="113"/>
      <c r="JSR56" s="113"/>
      <c r="JSS56" s="113"/>
      <c r="JST56" s="113"/>
      <c r="JSU56" s="113"/>
      <c r="JSV56" s="113"/>
      <c r="JSW56" s="113"/>
      <c r="JSX56" s="113"/>
      <c r="JSY56" s="113"/>
      <c r="JSZ56" s="113"/>
      <c r="JTA56" s="113"/>
      <c r="JTB56" s="113"/>
      <c r="JTC56" s="113"/>
      <c r="JTD56" s="113"/>
      <c r="JTE56" s="113"/>
      <c r="JTF56" s="113"/>
      <c r="JTG56" s="113"/>
      <c r="JTH56" s="113"/>
      <c r="JTI56" s="113"/>
      <c r="JTJ56" s="113"/>
      <c r="JTK56" s="113"/>
      <c r="JTL56" s="113"/>
      <c r="JTM56" s="113"/>
      <c r="JTN56" s="113"/>
      <c r="JTO56" s="113"/>
      <c r="JTP56" s="113"/>
      <c r="JTQ56" s="113"/>
      <c r="JTR56" s="113"/>
      <c r="JTS56" s="113"/>
      <c r="JTT56" s="113"/>
      <c r="JTU56" s="113"/>
      <c r="JTV56" s="113"/>
      <c r="JTW56" s="113"/>
      <c r="JTX56" s="113"/>
      <c r="JTY56" s="113"/>
      <c r="JTZ56" s="113"/>
      <c r="JUA56" s="113"/>
      <c r="JUB56" s="113"/>
      <c r="JUC56" s="113"/>
      <c r="JUD56" s="113"/>
      <c r="JUE56" s="113"/>
      <c r="JUF56" s="113"/>
      <c r="JUG56" s="113"/>
      <c r="JUH56" s="113"/>
      <c r="JUI56" s="113"/>
      <c r="JUJ56" s="113"/>
      <c r="JUK56" s="113"/>
      <c r="JUL56" s="113"/>
      <c r="JUM56" s="113"/>
      <c r="JUN56" s="113"/>
      <c r="JUO56" s="113"/>
      <c r="JUP56" s="113"/>
      <c r="JUQ56" s="113"/>
      <c r="JUR56" s="113"/>
      <c r="JUS56" s="113"/>
      <c r="JUT56" s="113"/>
      <c r="JUU56" s="113"/>
      <c r="JUV56" s="113"/>
      <c r="JUW56" s="113"/>
      <c r="JUX56" s="113"/>
      <c r="JUY56" s="113"/>
      <c r="JUZ56" s="113"/>
      <c r="JVA56" s="113"/>
      <c r="JVB56" s="113"/>
      <c r="JVC56" s="113"/>
      <c r="JVD56" s="113"/>
      <c r="JVE56" s="113"/>
      <c r="JVF56" s="113"/>
      <c r="JVG56" s="113"/>
      <c r="JVH56" s="113"/>
      <c r="JVI56" s="113"/>
      <c r="JVJ56" s="113"/>
      <c r="JVK56" s="113"/>
      <c r="JVL56" s="113"/>
      <c r="JVM56" s="113"/>
      <c r="JVN56" s="113"/>
      <c r="JVO56" s="113"/>
      <c r="JVP56" s="113"/>
      <c r="JVQ56" s="113"/>
      <c r="JVR56" s="113"/>
      <c r="JVS56" s="113"/>
      <c r="JVT56" s="113"/>
      <c r="JVU56" s="113"/>
      <c r="JVV56" s="113"/>
      <c r="JVW56" s="113"/>
      <c r="JVX56" s="113"/>
      <c r="JVY56" s="113"/>
      <c r="JVZ56" s="113"/>
      <c r="JWA56" s="113"/>
      <c r="JWB56" s="113"/>
      <c r="JWC56" s="113"/>
      <c r="JWD56" s="113"/>
      <c r="JWE56" s="113"/>
      <c r="JWF56" s="113"/>
      <c r="JWG56" s="113"/>
      <c r="JWH56" s="113"/>
      <c r="JWI56" s="113"/>
      <c r="JWJ56" s="113"/>
      <c r="JWK56" s="113"/>
      <c r="JWL56" s="113"/>
      <c r="JWM56" s="113"/>
      <c r="JWN56" s="113"/>
      <c r="JWO56" s="113"/>
      <c r="JWP56" s="113"/>
      <c r="JWQ56" s="113"/>
      <c r="JWR56" s="113"/>
      <c r="JWS56" s="113"/>
      <c r="JWT56" s="113"/>
      <c r="JWU56" s="113"/>
      <c r="JWV56" s="113"/>
      <c r="JWW56" s="113"/>
      <c r="JWX56" s="113"/>
      <c r="JWY56" s="113"/>
      <c r="JWZ56" s="113"/>
      <c r="JXA56" s="113"/>
      <c r="JXB56" s="113"/>
      <c r="JXC56" s="113"/>
      <c r="JXD56" s="113"/>
      <c r="JXE56" s="113"/>
      <c r="JXF56" s="113"/>
      <c r="JXG56" s="113"/>
      <c r="JXH56" s="113"/>
      <c r="JXI56" s="113"/>
      <c r="JXJ56" s="113"/>
      <c r="JXK56" s="113"/>
      <c r="JXL56" s="113"/>
      <c r="JXM56" s="113"/>
      <c r="JXN56" s="113"/>
      <c r="JXO56" s="113"/>
      <c r="JXP56" s="113"/>
      <c r="JXQ56" s="113"/>
      <c r="JXR56" s="113"/>
      <c r="JXS56" s="113"/>
      <c r="JXT56" s="113"/>
      <c r="JXU56" s="113"/>
      <c r="JXV56" s="113"/>
      <c r="JXW56" s="113"/>
      <c r="JXX56" s="113"/>
      <c r="JXY56" s="113"/>
      <c r="JXZ56" s="113"/>
      <c r="JYA56" s="113"/>
      <c r="JYB56" s="113"/>
      <c r="JYC56" s="113"/>
      <c r="JYD56" s="113"/>
      <c r="JYE56" s="113"/>
      <c r="JYF56" s="113"/>
      <c r="JYG56" s="113"/>
      <c r="JYH56" s="113"/>
      <c r="JYI56" s="113"/>
      <c r="JYJ56" s="113"/>
      <c r="JYK56" s="113"/>
      <c r="JYL56" s="113"/>
      <c r="JYM56" s="113"/>
      <c r="JYN56" s="113"/>
      <c r="JYO56" s="113"/>
      <c r="JYP56" s="113"/>
      <c r="JYQ56" s="113"/>
      <c r="JYR56" s="113"/>
      <c r="JYS56" s="113"/>
      <c r="JYT56" s="113"/>
      <c r="JYU56" s="113"/>
      <c r="JYV56" s="113"/>
      <c r="JYW56" s="113"/>
      <c r="JYX56" s="113"/>
      <c r="JYY56" s="113"/>
      <c r="JYZ56" s="113"/>
      <c r="JZA56" s="113"/>
      <c r="JZB56" s="113"/>
      <c r="JZC56" s="113"/>
      <c r="JZD56" s="113"/>
      <c r="JZE56" s="113"/>
      <c r="JZF56" s="113"/>
      <c r="JZG56" s="113"/>
      <c r="JZH56" s="113"/>
      <c r="JZI56" s="113"/>
      <c r="JZJ56" s="113"/>
      <c r="JZK56" s="113"/>
      <c r="JZL56" s="113"/>
      <c r="JZM56" s="113"/>
      <c r="JZN56" s="113"/>
      <c r="JZO56" s="113"/>
      <c r="JZP56" s="113"/>
      <c r="JZQ56" s="113"/>
      <c r="JZR56" s="113"/>
      <c r="JZS56" s="113"/>
      <c r="JZT56" s="113"/>
      <c r="JZU56" s="113"/>
      <c r="JZV56" s="113"/>
      <c r="JZW56" s="113"/>
      <c r="JZX56" s="113"/>
      <c r="JZY56" s="113"/>
      <c r="JZZ56" s="113"/>
      <c r="KAA56" s="113"/>
      <c r="KAB56" s="113"/>
      <c r="KAC56" s="113"/>
      <c r="KAD56" s="113"/>
      <c r="KAE56" s="113"/>
      <c r="KAF56" s="113"/>
      <c r="KAG56" s="113"/>
      <c r="KAH56" s="113"/>
      <c r="KAI56" s="113"/>
      <c r="KAJ56" s="113"/>
      <c r="KAK56" s="113"/>
      <c r="KAL56" s="113"/>
      <c r="KAM56" s="113"/>
      <c r="KAN56" s="113"/>
      <c r="KAO56" s="113"/>
      <c r="KAP56" s="113"/>
      <c r="KAQ56" s="113"/>
      <c r="KAR56" s="113"/>
      <c r="KAS56" s="113"/>
      <c r="KAT56" s="113"/>
      <c r="KAU56" s="113"/>
      <c r="KAV56" s="113"/>
      <c r="KAW56" s="113"/>
      <c r="KAX56" s="113"/>
      <c r="KAY56" s="113"/>
      <c r="KAZ56" s="113"/>
      <c r="KBA56" s="113"/>
      <c r="KBB56" s="113"/>
      <c r="KBC56" s="113"/>
      <c r="KBD56" s="113"/>
      <c r="KBE56" s="113"/>
      <c r="KBF56" s="113"/>
      <c r="KBG56" s="113"/>
      <c r="KBH56" s="113"/>
      <c r="KBI56" s="113"/>
      <c r="KBJ56" s="113"/>
      <c r="KBK56" s="113"/>
      <c r="KBL56" s="113"/>
      <c r="KBM56" s="113"/>
      <c r="KBN56" s="113"/>
      <c r="KBO56" s="113"/>
      <c r="KBP56" s="113"/>
      <c r="KBQ56" s="113"/>
      <c r="KBR56" s="113"/>
      <c r="KBS56" s="113"/>
      <c r="KBT56" s="113"/>
      <c r="KBU56" s="113"/>
      <c r="KBV56" s="113"/>
      <c r="KBW56" s="113"/>
      <c r="KBX56" s="113"/>
      <c r="KBY56" s="113"/>
      <c r="KBZ56" s="113"/>
      <c r="KCA56" s="113"/>
      <c r="KCB56" s="113"/>
      <c r="KCC56" s="113"/>
      <c r="KCD56" s="113"/>
      <c r="KCE56" s="113"/>
      <c r="KCF56" s="113"/>
      <c r="KCG56" s="113"/>
      <c r="KCH56" s="113"/>
      <c r="KCI56" s="113"/>
      <c r="KCJ56" s="113"/>
      <c r="KCK56" s="113"/>
      <c r="KCL56" s="113"/>
      <c r="KCM56" s="113"/>
      <c r="KCN56" s="113"/>
      <c r="KCO56" s="113"/>
      <c r="KCP56" s="113"/>
      <c r="KCQ56" s="113"/>
      <c r="KCR56" s="113"/>
      <c r="KCS56" s="113"/>
      <c r="KCT56" s="113"/>
      <c r="KCU56" s="113"/>
      <c r="KCV56" s="113"/>
      <c r="KCW56" s="113"/>
      <c r="KCX56" s="113"/>
      <c r="KCY56" s="113"/>
      <c r="KCZ56" s="113"/>
      <c r="KDA56" s="113"/>
      <c r="KDB56" s="113"/>
      <c r="KDC56" s="113"/>
      <c r="KDD56" s="113"/>
      <c r="KDE56" s="113"/>
      <c r="KDF56" s="113"/>
      <c r="KDG56" s="113"/>
      <c r="KDH56" s="113"/>
      <c r="KDI56" s="113"/>
      <c r="KDJ56" s="113"/>
      <c r="KDK56" s="113"/>
      <c r="KDL56" s="113"/>
      <c r="KDM56" s="113"/>
      <c r="KDN56" s="113"/>
      <c r="KDO56" s="113"/>
      <c r="KDP56" s="113"/>
      <c r="KDQ56" s="113"/>
      <c r="KDR56" s="113"/>
      <c r="KDS56" s="113"/>
      <c r="KDT56" s="113"/>
      <c r="KDU56" s="113"/>
      <c r="KDV56" s="113"/>
      <c r="KDW56" s="113"/>
      <c r="KDX56" s="113"/>
      <c r="KDY56" s="113"/>
      <c r="KDZ56" s="113"/>
      <c r="KEA56" s="113"/>
      <c r="KEB56" s="113"/>
      <c r="KEC56" s="113"/>
      <c r="KED56" s="113"/>
      <c r="KEE56" s="113"/>
      <c r="KEF56" s="113"/>
      <c r="KEG56" s="113"/>
      <c r="KEH56" s="113"/>
      <c r="KEI56" s="113"/>
      <c r="KEJ56" s="113"/>
      <c r="KEK56" s="113"/>
      <c r="KEL56" s="113"/>
      <c r="KEM56" s="113"/>
      <c r="KEN56" s="113"/>
      <c r="KEO56" s="113"/>
      <c r="KEP56" s="113"/>
      <c r="KEQ56" s="113"/>
      <c r="KER56" s="113"/>
      <c r="KES56" s="113"/>
      <c r="KET56" s="113"/>
      <c r="KEU56" s="113"/>
      <c r="KEV56" s="113"/>
      <c r="KEW56" s="113"/>
      <c r="KEX56" s="113"/>
      <c r="KEY56" s="113"/>
      <c r="KEZ56" s="113"/>
      <c r="KFA56" s="113"/>
      <c r="KFB56" s="113"/>
      <c r="KFC56" s="113"/>
      <c r="KFD56" s="113"/>
      <c r="KFE56" s="113"/>
      <c r="KFF56" s="113"/>
      <c r="KFG56" s="113"/>
      <c r="KFH56" s="113"/>
      <c r="KFI56" s="113"/>
      <c r="KFJ56" s="113"/>
      <c r="KFK56" s="113"/>
      <c r="KFL56" s="113"/>
      <c r="KFM56" s="113"/>
      <c r="KFN56" s="113"/>
      <c r="KFO56" s="113"/>
      <c r="KFP56" s="113"/>
      <c r="KFQ56" s="113"/>
      <c r="KFR56" s="113"/>
      <c r="KFS56" s="113"/>
      <c r="KFT56" s="113"/>
      <c r="KFU56" s="113"/>
      <c r="KFV56" s="113"/>
      <c r="KFW56" s="113"/>
      <c r="KFX56" s="113"/>
      <c r="KFY56" s="113"/>
      <c r="KFZ56" s="113"/>
      <c r="KGA56" s="113"/>
      <c r="KGB56" s="113"/>
      <c r="KGC56" s="113"/>
      <c r="KGD56" s="113"/>
      <c r="KGE56" s="113"/>
      <c r="KGF56" s="113"/>
      <c r="KGG56" s="113"/>
      <c r="KGH56" s="113"/>
      <c r="KGI56" s="113"/>
      <c r="KGJ56" s="113"/>
      <c r="KGK56" s="113"/>
      <c r="KGL56" s="113"/>
      <c r="KGM56" s="113"/>
      <c r="KGN56" s="113"/>
      <c r="KGO56" s="113"/>
      <c r="KGP56" s="113"/>
      <c r="KGQ56" s="113"/>
      <c r="KGR56" s="113"/>
      <c r="KGS56" s="113"/>
      <c r="KGT56" s="113"/>
      <c r="KGU56" s="113"/>
      <c r="KGV56" s="113"/>
      <c r="KGW56" s="113"/>
      <c r="KGX56" s="113"/>
      <c r="KGY56" s="113"/>
      <c r="KGZ56" s="113"/>
      <c r="KHA56" s="113"/>
      <c r="KHB56" s="113"/>
      <c r="KHC56" s="113"/>
      <c r="KHD56" s="113"/>
      <c r="KHE56" s="113"/>
      <c r="KHF56" s="113"/>
      <c r="KHG56" s="113"/>
      <c r="KHH56" s="113"/>
      <c r="KHI56" s="113"/>
      <c r="KHJ56" s="113"/>
      <c r="KHK56" s="113"/>
      <c r="KHL56" s="113"/>
      <c r="KHM56" s="113"/>
      <c r="KHN56" s="113"/>
      <c r="KHO56" s="113"/>
      <c r="KHP56" s="113"/>
      <c r="KHQ56" s="113"/>
      <c r="KHR56" s="113"/>
      <c r="KHS56" s="113"/>
      <c r="KHT56" s="113"/>
      <c r="KHU56" s="113"/>
      <c r="KHV56" s="113"/>
      <c r="KHW56" s="113"/>
      <c r="KHX56" s="113"/>
      <c r="KHY56" s="113"/>
      <c r="KHZ56" s="113"/>
      <c r="KIA56" s="113"/>
      <c r="KIB56" s="113"/>
      <c r="KIC56" s="113"/>
      <c r="KID56" s="113"/>
      <c r="KIE56" s="113"/>
      <c r="KIF56" s="113"/>
      <c r="KIG56" s="113"/>
      <c r="KIH56" s="113"/>
      <c r="KII56" s="113"/>
      <c r="KIJ56" s="113"/>
      <c r="KIK56" s="113"/>
      <c r="KIL56" s="113"/>
      <c r="KIM56" s="113"/>
      <c r="KIN56" s="113"/>
      <c r="KIO56" s="113"/>
      <c r="KIP56" s="113"/>
      <c r="KIQ56" s="113"/>
      <c r="KIR56" s="113"/>
      <c r="KIS56" s="113"/>
      <c r="KIT56" s="113"/>
      <c r="KIU56" s="113"/>
      <c r="KIV56" s="113"/>
      <c r="KIW56" s="113"/>
      <c r="KIX56" s="113"/>
      <c r="KIY56" s="113"/>
      <c r="KIZ56" s="113"/>
      <c r="KJA56" s="113"/>
      <c r="KJB56" s="113"/>
      <c r="KJC56" s="113"/>
      <c r="KJD56" s="113"/>
      <c r="KJE56" s="113"/>
      <c r="KJF56" s="113"/>
      <c r="KJG56" s="113"/>
      <c r="KJH56" s="113"/>
      <c r="KJI56" s="113"/>
      <c r="KJJ56" s="113"/>
      <c r="KJK56" s="113"/>
      <c r="KJL56" s="113"/>
      <c r="KJM56" s="113"/>
      <c r="KJN56" s="113"/>
      <c r="KJO56" s="113"/>
      <c r="KJP56" s="113"/>
      <c r="KJQ56" s="113"/>
      <c r="KJR56" s="113"/>
      <c r="KJS56" s="113"/>
      <c r="KJT56" s="113"/>
      <c r="KJU56" s="113"/>
      <c r="KJV56" s="113"/>
      <c r="KJW56" s="113"/>
      <c r="KJX56" s="113"/>
      <c r="KJY56" s="113"/>
      <c r="KJZ56" s="113"/>
      <c r="KKA56" s="113"/>
      <c r="KKB56" s="113"/>
      <c r="KKC56" s="113"/>
      <c r="KKD56" s="113"/>
      <c r="KKE56" s="113"/>
      <c r="KKF56" s="113"/>
      <c r="KKG56" s="113"/>
      <c r="KKH56" s="113"/>
      <c r="KKI56" s="113"/>
      <c r="KKJ56" s="113"/>
      <c r="KKK56" s="113"/>
      <c r="KKL56" s="113"/>
      <c r="KKM56" s="113"/>
      <c r="KKN56" s="113"/>
      <c r="KKO56" s="113"/>
      <c r="KKP56" s="113"/>
      <c r="KKQ56" s="113"/>
      <c r="KKR56" s="113"/>
      <c r="KKS56" s="113"/>
      <c r="KKT56" s="113"/>
      <c r="KKU56" s="113"/>
      <c r="KKV56" s="113"/>
      <c r="KKW56" s="113"/>
      <c r="KKX56" s="113"/>
      <c r="KKY56" s="113"/>
      <c r="KKZ56" s="113"/>
      <c r="KLA56" s="113"/>
      <c r="KLB56" s="113"/>
      <c r="KLC56" s="113"/>
      <c r="KLD56" s="113"/>
      <c r="KLE56" s="113"/>
      <c r="KLF56" s="113"/>
      <c r="KLG56" s="113"/>
      <c r="KLH56" s="113"/>
      <c r="KLI56" s="113"/>
      <c r="KLJ56" s="113"/>
      <c r="KLK56" s="113"/>
      <c r="KLL56" s="113"/>
      <c r="KLM56" s="113"/>
      <c r="KLN56" s="113"/>
      <c r="KLO56" s="113"/>
      <c r="KLP56" s="113"/>
      <c r="KLQ56" s="113"/>
      <c r="KLR56" s="113"/>
      <c r="KLS56" s="113"/>
      <c r="KLT56" s="113"/>
      <c r="KLU56" s="113"/>
      <c r="KLV56" s="113"/>
      <c r="KLW56" s="113"/>
      <c r="KLX56" s="113"/>
      <c r="KLY56" s="113"/>
      <c r="KLZ56" s="113"/>
      <c r="KMA56" s="113"/>
      <c r="KMB56" s="113"/>
      <c r="KMC56" s="113"/>
      <c r="KMD56" s="113"/>
      <c r="KME56" s="113"/>
      <c r="KMF56" s="113"/>
      <c r="KMG56" s="113"/>
      <c r="KMH56" s="113"/>
      <c r="KMI56" s="113"/>
      <c r="KMJ56" s="113"/>
      <c r="KMK56" s="113"/>
      <c r="KML56" s="113"/>
      <c r="KMM56" s="113"/>
      <c r="KMN56" s="113"/>
      <c r="KMO56" s="113"/>
      <c r="KMP56" s="113"/>
      <c r="KMQ56" s="113"/>
      <c r="KMR56" s="113"/>
      <c r="KMS56" s="113"/>
      <c r="KMT56" s="113"/>
      <c r="KMU56" s="113"/>
      <c r="KMV56" s="113"/>
      <c r="KMW56" s="113"/>
      <c r="KMX56" s="113"/>
      <c r="KMY56" s="113"/>
      <c r="KMZ56" s="113"/>
      <c r="KNA56" s="113"/>
      <c r="KNB56" s="113"/>
      <c r="KNC56" s="113"/>
      <c r="KND56" s="113"/>
      <c r="KNE56" s="113"/>
      <c r="KNF56" s="113"/>
      <c r="KNG56" s="113"/>
      <c r="KNH56" s="113"/>
      <c r="KNI56" s="113"/>
      <c r="KNJ56" s="113"/>
      <c r="KNK56" s="113"/>
      <c r="KNL56" s="113"/>
      <c r="KNM56" s="113"/>
      <c r="KNN56" s="113"/>
      <c r="KNO56" s="113"/>
      <c r="KNP56" s="113"/>
      <c r="KNQ56" s="113"/>
      <c r="KNR56" s="113"/>
      <c r="KNS56" s="113"/>
      <c r="KNT56" s="113"/>
      <c r="KNU56" s="113"/>
      <c r="KNV56" s="113"/>
      <c r="KNW56" s="113"/>
      <c r="KNX56" s="113"/>
      <c r="KNY56" s="113"/>
      <c r="KNZ56" s="113"/>
      <c r="KOA56" s="113"/>
      <c r="KOB56" s="113"/>
      <c r="KOC56" s="113"/>
      <c r="KOD56" s="113"/>
      <c r="KOE56" s="113"/>
      <c r="KOF56" s="113"/>
      <c r="KOG56" s="113"/>
      <c r="KOH56" s="113"/>
      <c r="KOI56" s="113"/>
      <c r="KOJ56" s="113"/>
      <c r="KOK56" s="113"/>
      <c r="KOL56" s="113"/>
      <c r="KOM56" s="113"/>
      <c r="KON56" s="113"/>
      <c r="KOO56" s="113"/>
      <c r="KOP56" s="113"/>
      <c r="KOQ56" s="113"/>
      <c r="KOR56" s="113"/>
      <c r="KOS56" s="113"/>
      <c r="KOT56" s="113"/>
      <c r="KOU56" s="113"/>
      <c r="KOV56" s="113"/>
      <c r="KOW56" s="113"/>
      <c r="KOX56" s="113"/>
      <c r="KOY56" s="113"/>
      <c r="KOZ56" s="113"/>
      <c r="KPA56" s="113"/>
      <c r="KPB56" s="113"/>
      <c r="KPC56" s="113"/>
      <c r="KPD56" s="113"/>
      <c r="KPE56" s="113"/>
      <c r="KPF56" s="113"/>
      <c r="KPG56" s="113"/>
      <c r="KPH56" s="113"/>
      <c r="KPI56" s="113"/>
      <c r="KPJ56" s="113"/>
      <c r="KPK56" s="113"/>
      <c r="KPL56" s="113"/>
      <c r="KPM56" s="113"/>
      <c r="KPN56" s="113"/>
      <c r="KPO56" s="113"/>
      <c r="KPP56" s="113"/>
      <c r="KPQ56" s="113"/>
      <c r="KPR56" s="113"/>
      <c r="KPS56" s="113"/>
      <c r="KPT56" s="113"/>
      <c r="KPU56" s="113"/>
      <c r="KPV56" s="113"/>
      <c r="KPW56" s="113"/>
      <c r="KPX56" s="113"/>
      <c r="KPY56" s="113"/>
      <c r="KPZ56" s="113"/>
      <c r="KQA56" s="113"/>
      <c r="KQB56" s="113"/>
      <c r="KQC56" s="113"/>
      <c r="KQD56" s="113"/>
      <c r="KQE56" s="113"/>
      <c r="KQF56" s="113"/>
      <c r="KQG56" s="113"/>
      <c r="KQH56" s="113"/>
      <c r="KQI56" s="113"/>
      <c r="KQJ56" s="113"/>
      <c r="KQK56" s="113"/>
      <c r="KQL56" s="113"/>
      <c r="KQM56" s="113"/>
      <c r="KQN56" s="113"/>
      <c r="KQO56" s="113"/>
      <c r="KQP56" s="113"/>
      <c r="KQQ56" s="113"/>
      <c r="KQR56" s="113"/>
      <c r="KQS56" s="113"/>
      <c r="KQT56" s="113"/>
      <c r="KQU56" s="113"/>
      <c r="KQV56" s="113"/>
      <c r="KQW56" s="113"/>
      <c r="KQX56" s="113"/>
      <c r="KQY56" s="113"/>
      <c r="KQZ56" s="113"/>
      <c r="KRA56" s="113"/>
      <c r="KRB56" s="113"/>
      <c r="KRC56" s="113"/>
      <c r="KRD56" s="113"/>
      <c r="KRE56" s="113"/>
      <c r="KRF56" s="113"/>
      <c r="KRG56" s="113"/>
      <c r="KRH56" s="113"/>
      <c r="KRI56" s="113"/>
      <c r="KRJ56" s="113"/>
      <c r="KRK56" s="113"/>
      <c r="KRL56" s="113"/>
      <c r="KRM56" s="113"/>
      <c r="KRN56" s="113"/>
      <c r="KRO56" s="113"/>
      <c r="KRP56" s="113"/>
      <c r="KRQ56" s="113"/>
      <c r="KRR56" s="113"/>
      <c r="KRS56" s="113"/>
      <c r="KRT56" s="113"/>
      <c r="KRU56" s="113"/>
      <c r="KRV56" s="113"/>
      <c r="KRW56" s="113"/>
      <c r="KRX56" s="113"/>
      <c r="KRY56" s="113"/>
      <c r="KRZ56" s="113"/>
      <c r="KSA56" s="113"/>
      <c r="KSB56" s="113"/>
      <c r="KSC56" s="113"/>
      <c r="KSD56" s="113"/>
      <c r="KSE56" s="113"/>
      <c r="KSF56" s="113"/>
      <c r="KSG56" s="113"/>
      <c r="KSH56" s="113"/>
      <c r="KSI56" s="113"/>
      <c r="KSJ56" s="113"/>
      <c r="KSK56" s="113"/>
      <c r="KSL56" s="113"/>
      <c r="KSM56" s="113"/>
      <c r="KSN56" s="113"/>
      <c r="KSO56" s="113"/>
      <c r="KSP56" s="113"/>
      <c r="KSQ56" s="113"/>
      <c r="KSR56" s="113"/>
      <c r="KSS56" s="113"/>
      <c r="KST56" s="113"/>
      <c r="KSU56" s="113"/>
      <c r="KSV56" s="113"/>
      <c r="KSW56" s="113"/>
      <c r="KSX56" s="113"/>
      <c r="KSY56" s="113"/>
      <c r="KSZ56" s="113"/>
      <c r="KTA56" s="113"/>
      <c r="KTB56" s="113"/>
      <c r="KTC56" s="113"/>
      <c r="KTD56" s="113"/>
      <c r="KTE56" s="113"/>
      <c r="KTF56" s="113"/>
      <c r="KTG56" s="113"/>
      <c r="KTH56" s="113"/>
      <c r="KTI56" s="113"/>
      <c r="KTJ56" s="113"/>
      <c r="KTK56" s="113"/>
      <c r="KTL56" s="113"/>
      <c r="KTM56" s="113"/>
      <c r="KTN56" s="113"/>
      <c r="KTO56" s="113"/>
      <c r="KTP56" s="113"/>
      <c r="KTQ56" s="113"/>
      <c r="KTR56" s="113"/>
      <c r="KTS56" s="113"/>
      <c r="KTT56" s="113"/>
      <c r="KTU56" s="113"/>
      <c r="KTV56" s="113"/>
      <c r="KTW56" s="113"/>
      <c r="KTX56" s="113"/>
      <c r="KTY56" s="113"/>
      <c r="KTZ56" s="113"/>
      <c r="KUA56" s="113"/>
      <c r="KUB56" s="113"/>
      <c r="KUC56" s="113"/>
      <c r="KUD56" s="113"/>
      <c r="KUE56" s="113"/>
      <c r="KUF56" s="113"/>
      <c r="KUG56" s="113"/>
      <c r="KUH56" s="113"/>
      <c r="KUI56" s="113"/>
      <c r="KUJ56" s="113"/>
      <c r="KUK56" s="113"/>
      <c r="KUL56" s="113"/>
      <c r="KUM56" s="113"/>
      <c r="KUN56" s="113"/>
      <c r="KUO56" s="113"/>
      <c r="KUP56" s="113"/>
      <c r="KUQ56" s="113"/>
      <c r="KUR56" s="113"/>
      <c r="KUS56" s="113"/>
      <c r="KUT56" s="113"/>
      <c r="KUU56" s="113"/>
      <c r="KUV56" s="113"/>
      <c r="KUW56" s="113"/>
      <c r="KUX56" s="113"/>
      <c r="KUY56" s="113"/>
      <c r="KUZ56" s="113"/>
      <c r="KVA56" s="113"/>
      <c r="KVB56" s="113"/>
      <c r="KVC56" s="113"/>
      <c r="KVD56" s="113"/>
      <c r="KVE56" s="113"/>
      <c r="KVF56" s="113"/>
      <c r="KVG56" s="113"/>
      <c r="KVH56" s="113"/>
      <c r="KVI56" s="113"/>
      <c r="KVJ56" s="113"/>
      <c r="KVK56" s="113"/>
      <c r="KVL56" s="113"/>
      <c r="KVM56" s="113"/>
      <c r="KVN56" s="113"/>
      <c r="KVO56" s="113"/>
      <c r="KVP56" s="113"/>
      <c r="KVQ56" s="113"/>
      <c r="KVR56" s="113"/>
      <c r="KVS56" s="113"/>
      <c r="KVT56" s="113"/>
      <c r="KVU56" s="113"/>
      <c r="KVV56" s="113"/>
      <c r="KVW56" s="113"/>
      <c r="KVX56" s="113"/>
      <c r="KVY56" s="113"/>
      <c r="KVZ56" s="113"/>
      <c r="KWA56" s="113"/>
      <c r="KWB56" s="113"/>
      <c r="KWC56" s="113"/>
      <c r="KWD56" s="113"/>
      <c r="KWE56" s="113"/>
      <c r="KWF56" s="113"/>
      <c r="KWG56" s="113"/>
      <c r="KWH56" s="113"/>
      <c r="KWI56" s="113"/>
      <c r="KWJ56" s="113"/>
      <c r="KWK56" s="113"/>
      <c r="KWL56" s="113"/>
      <c r="KWM56" s="113"/>
      <c r="KWN56" s="113"/>
      <c r="KWO56" s="113"/>
      <c r="KWP56" s="113"/>
      <c r="KWQ56" s="113"/>
      <c r="KWR56" s="113"/>
      <c r="KWS56" s="113"/>
      <c r="KWT56" s="113"/>
      <c r="KWU56" s="113"/>
      <c r="KWV56" s="113"/>
      <c r="KWW56" s="113"/>
      <c r="KWX56" s="113"/>
      <c r="KWY56" s="113"/>
      <c r="KWZ56" s="113"/>
      <c r="KXA56" s="113"/>
      <c r="KXB56" s="113"/>
      <c r="KXC56" s="113"/>
      <c r="KXD56" s="113"/>
      <c r="KXE56" s="113"/>
      <c r="KXF56" s="113"/>
      <c r="KXG56" s="113"/>
      <c r="KXH56" s="113"/>
      <c r="KXI56" s="113"/>
      <c r="KXJ56" s="113"/>
      <c r="KXK56" s="113"/>
      <c r="KXL56" s="113"/>
      <c r="KXM56" s="113"/>
      <c r="KXN56" s="113"/>
      <c r="KXO56" s="113"/>
      <c r="KXP56" s="113"/>
      <c r="KXQ56" s="113"/>
      <c r="KXR56" s="113"/>
      <c r="KXS56" s="113"/>
      <c r="KXT56" s="113"/>
      <c r="KXU56" s="113"/>
      <c r="KXV56" s="113"/>
      <c r="KXW56" s="113"/>
      <c r="KXX56" s="113"/>
      <c r="KXY56" s="113"/>
      <c r="KXZ56" s="113"/>
      <c r="KYA56" s="113"/>
      <c r="KYB56" s="113"/>
      <c r="KYC56" s="113"/>
      <c r="KYD56" s="113"/>
      <c r="KYE56" s="113"/>
      <c r="KYF56" s="113"/>
      <c r="KYG56" s="113"/>
      <c r="KYH56" s="113"/>
      <c r="KYI56" s="113"/>
      <c r="KYJ56" s="113"/>
      <c r="KYK56" s="113"/>
      <c r="KYL56" s="113"/>
      <c r="KYM56" s="113"/>
      <c r="KYN56" s="113"/>
      <c r="KYO56" s="113"/>
      <c r="KYP56" s="113"/>
      <c r="KYQ56" s="113"/>
      <c r="KYR56" s="113"/>
      <c r="KYS56" s="113"/>
      <c r="KYT56" s="113"/>
      <c r="KYU56" s="113"/>
      <c r="KYV56" s="113"/>
      <c r="KYW56" s="113"/>
      <c r="KYX56" s="113"/>
      <c r="KYY56" s="113"/>
      <c r="KYZ56" s="113"/>
      <c r="KZA56" s="113"/>
      <c r="KZB56" s="113"/>
      <c r="KZC56" s="113"/>
      <c r="KZD56" s="113"/>
      <c r="KZE56" s="113"/>
      <c r="KZF56" s="113"/>
      <c r="KZG56" s="113"/>
      <c r="KZH56" s="113"/>
      <c r="KZI56" s="113"/>
      <c r="KZJ56" s="113"/>
      <c r="KZK56" s="113"/>
      <c r="KZL56" s="113"/>
      <c r="KZM56" s="113"/>
      <c r="KZN56" s="113"/>
      <c r="KZO56" s="113"/>
      <c r="KZP56" s="113"/>
      <c r="KZQ56" s="113"/>
      <c r="KZR56" s="113"/>
      <c r="KZS56" s="113"/>
      <c r="KZT56" s="113"/>
      <c r="KZU56" s="113"/>
      <c r="KZV56" s="113"/>
      <c r="KZW56" s="113"/>
      <c r="KZX56" s="113"/>
      <c r="KZY56" s="113"/>
      <c r="KZZ56" s="113"/>
      <c r="LAA56" s="113"/>
      <c r="LAB56" s="113"/>
      <c r="LAC56" s="113"/>
      <c r="LAD56" s="113"/>
      <c r="LAE56" s="113"/>
      <c r="LAF56" s="113"/>
      <c r="LAG56" s="113"/>
      <c r="LAH56" s="113"/>
      <c r="LAI56" s="113"/>
      <c r="LAJ56" s="113"/>
      <c r="LAK56" s="113"/>
      <c r="LAL56" s="113"/>
      <c r="LAM56" s="113"/>
      <c r="LAN56" s="113"/>
      <c r="LAO56" s="113"/>
      <c r="LAP56" s="113"/>
      <c r="LAQ56" s="113"/>
      <c r="LAR56" s="113"/>
      <c r="LAS56" s="113"/>
      <c r="LAT56" s="113"/>
      <c r="LAU56" s="113"/>
      <c r="LAV56" s="113"/>
      <c r="LAW56" s="113"/>
      <c r="LAX56" s="113"/>
      <c r="LAY56" s="113"/>
      <c r="LAZ56" s="113"/>
      <c r="LBA56" s="113"/>
      <c r="LBB56" s="113"/>
      <c r="LBC56" s="113"/>
      <c r="LBD56" s="113"/>
      <c r="LBE56" s="113"/>
      <c r="LBF56" s="113"/>
      <c r="LBG56" s="113"/>
      <c r="LBH56" s="113"/>
      <c r="LBI56" s="113"/>
      <c r="LBJ56" s="113"/>
      <c r="LBK56" s="113"/>
      <c r="LBL56" s="113"/>
      <c r="LBM56" s="113"/>
      <c r="LBN56" s="113"/>
      <c r="LBO56" s="113"/>
      <c r="LBP56" s="113"/>
      <c r="LBQ56" s="113"/>
      <c r="LBR56" s="113"/>
      <c r="LBS56" s="113"/>
      <c r="LBT56" s="113"/>
      <c r="LBU56" s="113"/>
      <c r="LBV56" s="113"/>
      <c r="LBW56" s="113"/>
      <c r="LBX56" s="113"/>
      <c r="LBY56" s="113"/>
      <c r="LBZ56" s="113"/>
      <c r="LCA56" s="113"/>
      <c r="LCB56" s="113"/>
      <c r="LCC56" s="113"/>
      <c r="LCD56" s="113"/>
      <c r="LCE56" s="113"/>
      <c r="LCF56" s="113"/>
      <c r="LCG56" s="113"/>
      <c r="LCH56" s="113"/>
      <c r="LCI56" s="113"/>
      <c r="LCJ56" s="113"/>
      <c r="LCK56" s="113"/>
      <c r="LCL56" s="113"/>
      <c r="LCM56" s="113"/>
      <c r="LCN56" s="113"/>
      <c r="LCO56" s="113"/>
      <c r="LCP56" s="113"/>
      <c r="LCQ56" s="113"/>
      <c r="LCR56" s="113"/>
      <c r="LCS56" s="113"/>
      <c r="LCT56" s="113"/>
      <c r="LCU56" s="113"/>
      <c r="LCV56" s="113"/>
      <c r="LCW56" s="113"/>
      <c r="LCX56" s="113"/>
      <c r="LCY56" s="113"/>
      <c r="LCZ56" s="113"/>
      <c r="LDA56" s="113"/>
      <c r="LDB56" s="113"/>
      <c r="LDC56" s="113"/>
      <c r="LDD56" s="113"/>
      <c r="LDE56" s="113"/>
      <c r="LDF56" s="113"/>
      <c r="LDG56" s="113"/>
      <c r="LDH56" s="113"/>
      <c r="LDI56" s="113"/>
      <c r="LDJ56" s="113"/>
      <c r="LDK56" s="113"/>
      <c r="LDL56" s="113"/>
      <c r="LDM56" s="113"/>
      <c r="LDN56" s="113"/>
      <c r="LDO56" s="113"/>
      <c r="LDP56" s="113"/>
      <c r="LDQ56" s="113"/>
      <c r="LDR56" s="113"/>
      <c r="LDS56" s="113"/>
      <c r="LDT56" s="113"/>
      <c r="LDU56" s="113"/>
      <c r="LDV56" s="113"/>
      <c r="LDW56" s="113"/>
      <c r="LDX56" s="113"/>
      <c r="LDY56" s="113"/>
      <c r="LDZ56" s="113"/>
      <c r="LEA56" s="113"/>
      <c r="LEB56" s="113"/>
      <c r="LEC56" s="113"/>
      <c r="LED56" s="113"/>
      <c r="LEE56" s="113"/>
      <c r="LEF56" s="113"/>
      <c r="LEG56" s="113"/>
      <c r="LEH56" s="113"/>
      <c r="LEI56" s="113"/>
      <c r="LEJ56" s="113"/>
      <c r="LEK56" s="113"/>
      <c r="LEL56" s="113"/>
      <c r="LEM56" s="113"/>
      <c r="LEN56" s="113"/>
      <c r="LEO56" s="113"/>
      <c r="LEP56" s="113"/>
      <c r="LEQ56" s="113"/>
      <c r="LER56" s="113"/>
      <c r="LES56" s="113"/>
      <c r="LET56" s="113"/>
      <c r="LEU56" s="113"/>
      <c r="LEV56" s="113"/>
      <c r="LEW56" s="113"/>
      <c r="LEX56" s="113"/>
      <c r="LEY56" s="113"/>
      <c r="LEZ56" s="113"/>
      <c r="LFA56" s="113"/>
      <c r="LFB56" s="113"/>
      <c r="LFC56" s="113"/>
      <c r="LFD56" s="113"/>
      <c r="LFE56" s="113"/>
      <c r="LFF56" s="113"/>
      <c r="LFG56" s="113"/>
      <c r="LFH56" s="113"/>
      <c r="LFI56" s="113"/>
      <c r="LFJ56" s="113"/>
      <c r="LFK56" s="113"/>
      <c r="LFL56" s="113"/>
      <c r="LFM56" s="113"/>
      <c r="LFN56" s="113"/>
      <c r="LFO56" s="113"/>
      <c r="LFP56" s="113"/>
      <c r="LFQ56" s="113"/>
      <c r="LFR56" s="113"/>
      <c r="LFS56" s="113"/>
      <c r="LFT56" s="113"/>
      <c r="LFU56" s="113"/>
      <c r="LFV56" s="113"/>
      <c r="LFW56" s="113"/>
      <c r="LFX56" s="113"/>
      <c r="LFY56" s="113"/>
      <c r="LFZ56" s="113"/>
      <c r="LGA56" s="113"/>
      <c r="LGB56" s="113"/>
      <c r="LGC56" s="113"/>
      <c r="LGD56" s="113"/>
      <c r="LGE56" s="113"/>
      <c r="LGF56" s="113"/>
      <c r="LGG56" s="113"/>
      <c r="LGH56" s="113"/>
      <c r="LGI56" s="113"/>
      <c r="LGJ56" s="113"/>
      <c r="LGK56" s="113"/>
      <c r="LGL56" s="113"/>
      <c r="LGM56" s="113"/>
      <c r="LGN56" s="113"/>
      <c r="LGO56" s="113"/>
      <c r="LGP56" s="113"/>
      <c r="LGQ56" s="113"/>
      <c r="LGR56" s="113"/>
      <c r="LGS56" s="113"/>
      <c r="LGT56" s="113"/>
      <c r="LGU56" s="113"/>
      <c r="LGV56" s="113"/>
      <c r="LGW56" s="113"/>
      <c r="LGX56" s="113"/>
      <c r="LGY56" s="113"/>
      <c r="LGZ56" s="113"/>
      <c r="LHA56" s="113"/>
      <c r="LHB56" s="113"/>
      <c r="LHC56" s="113"/>
      <c r="LHD56" s="113"/>
      <c r="LHE56" s="113"/>
      <c r="LHF56" s="113"/>
      <c r="LHG56" s="113"/>
      <c r="LHH56" s="113"/>
      <c r="LHI56" s="113"/>
      <c r="LHJ56" s="113"/>
      <c r="LHK56" s="113"/>
      <c r="LHL56" s="113"/>
      <c r="LHM56" s="113"/>
      <c r="LHN56" s="113"/>
      <c r="LHO56" s="113"/>
      <c r="LHP56" s="113"/>
      <c r="LHQ56" s="113"/>
      <c r="LHR56" s="113"/>
      <c r="LHS56" s="113"/>
      <c r="LHT56" s="113"/>
      <c r="LHU56" s="113"/>
      <c r="LHV56" s="113"/>
      <c r="LHW56" s="113"/>
      <c r="LHX56" s="113"/>
      <c r="LHY56" s="113"/>
      <c r="LHZ56" s="113"/>
      <c r="LIA56" s="113"/>
      <c r="LIB56" s="113"/>
      <c r="LIC56" s="113"/>
      <c r="LID56" s="113"/>
      <c r="LIE56" s="113"/>
      <c r="LIF56" s="113"/>
      <c r="LIG56" s="113"/>
      <c r="LIH56" s="113"/>
      <c r="LII56" s="113"/>
      <c r="LIJ56" s="113"/>
      <c r="LIK56" s="113"/>
      <c r="LIL56" s="113"/>
      <c r="LIM56" s="113"/>
      <c r="LIN56" s="113"/>
      <c r="LIO56" s="113"/>
      <c r="LIP56" s="113"/>
      <c r="LIQ56" s="113"/>
      <c r="LIR56" s="113"/>
      <c r="LIS56" s="113"/>
      <c r="LIT56" s="113"/>
      <c r="LIU56" s="113"/>
      <c r="LIV56" s="113"/>
      <c r="LIW56" s="113"/>
      <c r="LIX56" s="113"/>
      <c r="LIY56" s="113"/>
      <c r="LIZ56" s="113"/>
      <c r="LJA56" s="113"/>
      <c r="LJB56" s="113"/>
      <c r="LJC56" s="113"/>
      <c r="LJD56" s="113"/>
      <c r="LJE56" s="113"/>
      <c r="LJF56" s="113"/>
      <c r="LJG56" s="113"/>
      <c r="LJH56" s="113"/>
      <c r="LJI56" s="113"/>
      <c r="LJJ56" s="113"/>
      <c r="LJK56" s="113"/>
      <c r="LJL56" s="113"/>
      <c r="LJM56" s="113"/>
      <c r="LJN56" s="113"/>
      <c r="LJO56" s="113"/>
      <c r="LJP56" s="113"/>
      <c r="LJQ56" s="113"/>
      <c r="LJR56" s="113"/>
      <c r="LJS56" s="113"/>
      <c r="LJT56" s="113"/>
      <c r="LJU56" s="113"/>
      <c r="LJV56" s="113"/>
      <c r="LJW56" s="113"/>
      <c r="LJX56" s="113"/>
      <c r="LJY56" s="113"/>
      <c r="LJZ56" s="113"/>
      <c r="LKA56" s="113"/>
      <c r="LKB56" s="113"/>
      <c r="LKC56" s="113"/>
      <c r="LKD56" s="113"/>
      <c r="LKE56" s="113"/>
      <c r="LKF56" s="113"/>
      <c r="LKG56" s="113"/>
      <c r="LKH56" s="113"/>
      <c r="LKI56" s="113"/>
      <c r="LKJ56" s="113"/>
      <c r="LKK56" s="113"/>
      <c r="LKL56" s="113"/>
      <c r="LKM56" s="113"/>
      <c r="LKN56" s="113"/>
      <c r="LKO56" s="113"/>
      <c r="LKP56" s="113"/>
      <c r="LKQ56" s="113"/>
      <c r="LKR56" s="113"/>
      <c r="LKS56" s="113"/>
      <c r="LKT56" s="113"/>
      <c r="LKU56" s="113"/>
      <c r="LKV56" s="113"/>
      <c r="LKW56" s="113"/>
      <c r="LKX56" s="113"/>
      <c r="LKY56" s="113"/>
      <c r="LKZ56" s="113"/>
      <c r="LLA56" s="113"/>
      <c r="LLB56" s="113"/>
      <c r="LLC56" s="113"/>
      <c r="LLD56" s="113"/>
      <c r="LLE56" s="113"/>
      <c r="LLF56" s="113"/>
      <c r="LLG56" s="113"/>
      <c r="LLH56" s="113"/>
      <c r="LLI56" s="113"/>
      <c r="LLJ56" s="113"/>
      <c r="LLK56" s="113"/>
      <c r="LLL56" s="113"/>
      <c r="LLM56" s="113"/>
      <c r="LLN56" s="113"/>
      <c r="LLO56" s="113"/>
      <c r="LLP56" s="113"/>
      <c r="LLQ56" s="113"/>
      <c r="LLR56" s="113"/>
      <c r="LLS56" s="113"/>
      <c r="LLT56" s="113"/>
      <c r="LLU56" s="113"/>
      <c r="LLV56" s="113"/>
      <c r="LLW56" s="113"/>
      <c r="LLX56" s="113"/>
      <c r="LLY56" s="113"/>
      <c r="LLZ56" s="113"/>
      <c r="LMA56" s="113"/>
      <c r="LMB56" s="113"/>
      <c r="LMC56" s="113"/>
      <c r="LMD56" s="113"/>
      <c r="LME56" s="113"/>
      <c r="LMF56" s="113"/>
      <c r="LMG56" s="113"/>
      <c r="LMH56" s="113"/>
      <c r="LMI56" s="113"/>
      <c r="LMJ56" s="113"/>
      <c r="LMK56" s="113"/>
      <c r="LML56" s="113"/>
      <c r="LMM56" s="113"/>
      <c r="LMN56" s="113"/>
      <c r="LMO56" s="113"/>
      <c r="LMP56" s="113"/>
      <c r="LMQ56" s="113"/>
      <c r="LMR56" s="113"/>
      <c r="LMS56" s="113"/>
      <c r="LMT56" s="113"/>
      <c r="LMU56" s="113"/>
      <c r="LMV56" s="113"/>
      <c r="LMW56" s="113"/>
      <c r="LMX56" s="113"/>
      <c r="LMY56" s="113"/>
      <c r="LMZ56" s="113"/>
      <c r="LNA56" s="113"/>
      <c r="LNB56" s="113"/>
      <c r="LNC56" s="113"/>
      <c r="LND56" s="113"/>
      <c r="LNE56" s="113"/>
      <c r="LNF56" s="113"/>
      <c r="LNG56" s="113"/>
      <c r="LNH56" s="113"/>
      <c r="LNI56" s="113"/>
      <c r="LNJ56" s="113"/>
      <c r="LNK56" s="113"/>
      <c r="LNL56" s="113"/>
      <c r="LNM56" s="113"/>
      <c r="LNN56" s="113"/>
      <c r="LNO56" s="113"/>
      <c r="LNP56" s="113"/>
      <c r="LNQ56" s="113"/>
      <c r="LNR56" s="113"/>
      <c r="LNS56" s="113"/>
      <c r="LNT56" s="113"/>
      <c r="LNU56" s="113"/>
      <c r="LNV56" s="113"/>
      <c r="LNW56" s="113"/>
      <c r="LNX56" s="113"/>
      <c r="LNY56" s="113"/>
      <c r="LNZ56" s="113"/>
      <c r="LOA56" s="113"/>
      <c r="LOB56" s="113"/>
      <c r="LOC56" s="113"/>
      <c r="LOD56" s="113"/>
      <c r="LOE56" s="113"/>
      <c r="LOF56" s="113"/>
      <c r="LOG56" s="113"/>
      <c r="LOH56" s="113"/>
      <c r="LOI56" s="113"/>
      <c r="LOJ56" s="113"/>
      <c r="LOK56" s="113"/>
      <c r="LOL56" s="113"/>
      <c r="LOM56" s="113"/>
      <c r="LON56" s="113"/>
      <c r="LOO56" s="113"/>
      <c r="LOP56" s="113"/>
      <c r="LOQ56" s="113"/>
      <c r="LOR56" s="113"/>
      <c r="LOS56" s="113"/>
      <c r="LOT56" s="113"/>
      <c r="LOU56" s="113"/>
      <c r="LOV56" s="113"/>
      <c r="LOW56" s="113"/>
      <c r="LOX56" s="113"/>
      <c r="LOY56" s="113"/>
      <c r="LOZ56" s="113"/>
      <c r="LPA56" s="113"/>
      <c r="LPB56" s="113"/>
      <c r="LPC56" s="113"/>
      <c r="LPD56" s="113"/>
      <c r="LPE56" s="113"/>
      <c r="LPF56" s="113"/>
      <c r="LPG56" s="113"/>
      <c r="LPH56" s="113"/>
      <c r="LPI56" s="113"/>
      <c r="LPJ56" s="113"/>
      <c r="LPK56" s="113"/>
      <c r="LPL56" s="113"/>
      <c r="LPM56" s="113"/>
      <c r="LPN56" s="113"/>
      <c r="LPO56" s="113"/>
      <c r="LPP56" s="113"/>
      <c r="LPQ56" s="113"/>
      <c r="LPR56" s="113"/>
      <c r="LPS56" s="113"/>
      <c r="LPT56" s="113"/>
      <c r="LPU56" s="113"/>
      <c r="LPV56" s="113"/>
      <c r="LPW56" s="113"/>
      <c r="LPX56" s="113"/>
      <c r="LPY56" s="113"/>
      <c r="LPZ56" s="113"/>
      <c r="LQA56" s="113"/>
      <c r="LQB56" s="113"/>
      <c r="LQC56" s="113"/>
      <c r="LQD56" s="113"/>
      <c r="LQE56" s="113"/>
      <c r="LQF56" s="113"/>
      <c r="LQG56" s="113"/>
      <c r="LQH56" s="113"/>
      <c r="LQI56" s="113"/>
      <c r="LQJ56" s="113"/>
      <c r="LQK56" s="113"/>
      <c r="LQL56" s="113"/>
      <c r="LQM56" s="113"/>
      <c r="LQN56" s="113"/>
      <c r="LQO56" s="113"/>
      <c r="LQP56" s="113"/>
      <c r="LQQ56" s="113"/>
      <c r="LQR56" s="113"/>
      <c r="LQS56" s="113"/>
      <c r="LQT56" s="113"/>
      <c r="LQU56" s="113"/>
      <c r="LQV56" s="113"/>
      <c r="LQW56" s="113"/>
      <c r="LQX56" s="113"/>
      <c r="LQY56" s="113"/>
      <c r="LQZ56" s="113"/>
      <c r="LRA56" s="113"/>
      <c r="LRB56" s="113"/>
      <c r="LRC56" s="113"/>
      <c r="LRD56" s="113"/>
      <c r="LRE56" s="113"/>
      <c r="LRF56" s="113"/>
      <c r="LRG56" s="113"/>
      <c r="LRH56" s="113"/>
      <c r="LRI56" s="113"/>
      <c r="LRJ56" s="113"/>
      <c r="LRK56" s="113"/>
      <c r="LRL56" s="113"/>
      <c r="LRM56" s="113"/>
      <c r="LRN56" s="113"/>
      <c r="LRO56" s="113"/>
      <c r="LRP56" s="113"/>
      <c r="LRQ56" s="113"/>
      <c r="LRR56" s="113"/>
      <c r="LRS56" s="113"/>
      <c r="LRT56" s="113"/>
      <c r="LRU56" s="113"/>
      <c r="LRV56" s="113"/>
      <c r="LRW56" s="113"/>
      <c r="LRX56" s="113"/>
      <c r="LRY56" s="113"/>
      <c r="LRZ56" s="113"/>
      <c r="LSA56" s="113"/>
      <c r="LSB56" s="113"/>
      <c r="LSC56" s="113"/>
      <c r="LSD56" s="113"/>
      <c r="LSE56" s="113"/>
      <c r="LSF56" s="113"/>
      <c r="LSG56" s="113"/>
      <c r="LSH56" s="113"/>
      <c r="LSI56" s="113"/>
      <c r="LSJ56" s="113"/>
      <c r="LSK56" s="113"/>
      <c r="LSL56" s="113"/>
      <c r="LSM56" s="113"/>
      <c r="LSN56" s="113"/>
      <c r="LSO56" s="113"/>
      <c r="LSP56" s="113"/>
      <c r="LSQ56" s="113"/>
      <c r="LSR56" s="113"/>
      <c r="LSS56" s="113"/>
      <c r="LST56" s="113"/>
      <c r="LSU56" s="113"/>
      <c r="LSV56" s="113"/>
      <c r="LSW56" s="113"/>
      <c r="LSX56" s="113"/>
      <c r="LSY56" s="113"/>
      <c r="LSZ56" s="113"/>
      <c r="LTA56" s="113"/>
      <c r="LTB56" s="113"/>
      <c r="LTC56" s="113"/>
      <c r="LTD56" s="113"/>
      <c r="LTE56" s="113"/>
      <c r="LTF56" s="113"/>
      <c r="LTG56" s="113"/>
      <c r="LTH56" s="113"/>
      <c r="LTI56" s="113"/>
      <c r="LTJ56" s="113"/>
      <c r="LTK56" s="113"/>
      <c r="LTL56" s="113"/>
      <c r="LTM56" s="113"/>
      <c r="LTN56" s="113"/>
      <c r="LTO56" s="113"/>
      <c r="LTP56" s="113"/>
      <c r="LTQ56" s="113"/>
      <c r="LTR56" s="113"/>
      <c r="LTS56" s="113"/>
      <c r="LTT56" s="113"/>
      <c r="LTU56" s="113"/>
      <c r="LTV56" s="113"/>
      <c r="LTW56" s="113"/>
      <c r="LTX56" s="113"/>
      <c r="LTY56" s="113"/>
      <c r="LTZ56" s="113"/>
      <c r="LUA56" s="113"/>
      <c r="LUB56" s="113"/>
      <c r="LUC56" s="113"/>
      <c r="LUD56" s="113"/>
      <c r="LUE56" s="113"/>
      <c r="LUF56" s="113"/>
      <c r="LUG56" s="113"/>
      <c r="LUH56" s="113"/>
      <c r="LUI56" s="113"/>
      <c r="LUJ56" s="113"/>
      <c r="LUK56" s="113"/>
      <c r="LUL56" s="113"/>
      <c r="LUM56" s="113"/>
      <c r="LUN56" s="113"/>
      <c r="LUO56" s="113"/>
      <c r="LUP56" s="113"/>
      <c r="LUQ56" s="113"/>
      <c r="LUR56" s="113"/>
      <c r="LUS56" s="113"/>
      <c r="LUT56" s="113"/>
      <c r="LUU56" s="113"/>
      <c r="LUV56" s="113"/>
      <c r="LUW56" s="113"/>
      <c r="LUX56" s="113"/>
      <c r="LUY56" s="113"/>
      <c r="LUZ56" s="113"/>
      <c r="LVA56" s="113"/>
      <c r="LVB56" s="113"/>
      <c r="LVC56" s="113"/>
      <c r="LVD56" s="113"/>
      <c r="LVE56" s="113"/>
      <c r="LVF56" s="113"/>
      <c r="LVG56" s="113"/>
      <c r="LVH56" s="113"/>
      <c r="LVI56" s="113"/>
      <c r="LVJ56" s="113"/>
      <c r="LVK56" s="113"/>
      <c r="LVL56" s="113"/>
      <c r="LVM56" s="113"/>
      <c r="LVN56" s="113"/>
      <c r="LVO56" s="113"/>
      <c r="LVP56" s="113"/>
      <c r="LVQ56" s="113"/>
      <c r="LVR56" s="113"/>
      <c r="LVS56" s="113"/>
      <c r="LVT56" s="113"/>
      <c r="LVU56" s="113"/>
      <c r="LVV56" s="113"/>
      <c r="LVW56" s="113"/>
      <c r="LVX56" s="113"/>
      <c r="LVY56" s="113"/>
      <c r="LVZ56" s="113"/>
      <c r="LWA56" s="113"/>
      <c r="LWB56" s="113"/>
      <c r="LWC56" s="113"/>
      <c r="LWD56" s="113"/>
      <c r="LWE56" s="113"/>
      <c r="LWF56" s="113"/>
      <c r="LWG56" s="113"/>
      <c r="LWH56" s="113"/>
      <c r="LWI56" s="113"/>
      <c r="LWJ56" s="113"/>
      <c r="LWK56" s="113"/>
      <c r="LWL56" s="113"/>
      <c r="LWM56" s="113"/>
      <c r="LWN56" s="113"/>
      <c r="LWO56" s="113"/>
      <c r="LWP56" s="113"/>
      <c r="LWQ56" s="113"/>
      <c r="LWR56" s="113"/>
      <c r="LWS56" s="113"/>
      <c r="LWT56" s="113"/>
      <c r="LWU56" s="113"/>
      <c r="LWV56" s="113"/>
      <c r="LWW56" s="113"/>
      <c r="LWX56" s="113"/>
      <c r="LWY56" s="113"/>
      <c r="LWZ56" s="113"/>
      <c r="LXA56" s="113"/>
      <c r="LXB56" s="113"/>
      <c r="LXC56" s="113"/>
      <c r="LXD56" s="113"/>
      <c r="LXE56" s="113"/>
      <c r="LXF56" s="113"/>
      <c r="LXG56" s="113"/>
      <c r="LXH56" s="113"/>
      <c r="LXI56" s="113"/>
      <c r="LXJ56" s="113"/>
      <c r="LXK56" s="113"/>
      <c r="LXL56" s="113"/>
      <c r="LXM56" s="113"/>
      <c r="LXN56" s="113"/>
      <c r="LXO56" s="113"/>
      <c r="LXP56" s="113"/>
      <c r="LXQ56" s="113"/>
      <c r="LXR56" s="113"/>
      <c r="LXS56" s="113"/>
      <c r="LXT56" s="113"/>
      <c r="LXU56" s="113"/>
      <c r="LXV56" s="113"/>
      <c r="LXW56" s="113"/>
      <c r="LXX56" s="113"/>
      <c r="LXY56" s="113"/>
      <c r="LXZ56" s="113"/>
      <c r="LYA56" s="113"/>
      <c r="LYB56" s="113"/>
      <c r="LYC56" s="113"/>
      <c r="LYD56" s="113"/>
      <c r="LYE56" s="113"/>
      <c r="LYF56" s="113"/>
      <c r="LYG56" s="113"/>
      <c r="LYH56" s="113"/>
      <c r="LYI56" s="113"/>
      <c r="LYJ56" s="113"/>
      <c r="LYK56" s="113"/>
      <c r="LYL56" s="113"/>
      <c r="LYM56" s="113"/>
      <c r="LYN56" s="113"/>
      <c r="LYO56" s="113"/>
      <c r="LYP56" s="113"/>
      <c r="LYQ56" s="113"/>
      <c r="LYR56" s="113"/>
      <c r="LYS56" s="113"/>
      <c r="LYT56" s="113"/>
      <c r="LYU56" s="113"/>
      <c r="LYV56" s="113"/>
      <c r="LYW56" s="113"/>
      <c r="LYX56" s="113"/>
      <c r="LYY56" s="113"/>
      <c r="LYZ56" s="113"/>
      <c r="LZA56" s="113"/>
      <c r="LZB56" s="113"/>
      <c r="LZC56" s="113"/>
      <c r="LZD56" s="113"/>
      <c r="LZE56" s="113"/>
      <c r="LZF56" s="113"/>
      <c r="LZG56" s="113"/>
      <c r="LZH56" s="113"/>
      <c r="LZI56" s="113"/>
      <c r="LZJ56" s="113"/>
      <c r="LZK56" s="113"/>
      <c r="LZL56" s="113"/>
      <c r="LZM56" s="113"/>
      <c r="LZN56" s="113"/>
      <c r="LZO56" s="113"/>
      <c r="LZP56" s="113"/>
      <c r="LZQ56" s="113"/>
      <c r="LZR56" s="113"/>
      <c r="LZS56" s="113"/>
      <c r="LZT56" s="113"/>
      <c r="LZU56" s="113"/>
      <c r="LZV56" s="113"/>
      <c r="LZW56" s="113"/>
      <c r="LZX56" s="113"/>
      <c r="LZY56" s="113"/>
      <c r="LZZ56" s="113"/>
      <c r="MAA56" s="113"/>
      <c r="MAB56" s="113"/>
      <c r="MAC56" s="113"/>
      <c r="MAD56" s="113"/>
      <c r="MAE56" s="113"/>
      <c r="MAF56" s="113"/>
      <c r="MAG56" s="113"/>
      <c r="MAH56" s="113"/>
      <c r="MAI56" s="113"/>
      <c r="MAJ56" s="113"/>
      <c r="MAK56" s="113"/>
      <c r="MAL56" s="113"/>
      <c r="MAM56" s="113"/>
      <c r="MAN56" s="113"/>
      <c r="MAO56" s="113"/>
      <c r="MAP56" s="113"/>
      <c r="MAQ56" s="113"/>
      <c r="MAR56" s="113"/>
      <c r="MAS56" s="113"/>
      <c r="MAT56" s="113"/>
      <c r="MAU56" s="113"/>
      <c r="MAV56" s="113"/>
      <c r="MAW56" s="113"/>
      <c r="MAX56" s="113"/>
      <c r="MAY56" s="113"/>
      <c r="MAZ56" s="113"/>
      <c r="MBA56" s="113"/>
      <c r="MBB56" s="113"/>
      <c r="MBC56" s="113"/>
      <c r="MBD56" s="113"/>
      <c r="MBE56" s="113"/>
      <c r="MBF56" s="113"/>
      <c r="MBG56" s="113"/>
      <c r="MBH56" s="113"/>
      <c r="MBI56" s="113"/>
      <c r="MBJ56" s="113"/>
      <c r="MBK56" s="113"/>
      <c r="MBL56" s="113"/>
      <c r="MBM56" s="113"/>
      <c r="MBN56" s="113"/>
      <c r="MBO56" s="113"/>
      <c r="MBP56" s="113"/>
      <c r="MBQ56" s="113"/>
      <c r="MBR56" s="113"/>
      <c r="MBS56" s="113"/>
      <c r="MBT56" s="113"/>
      <c r="MBU56" s="113"/>
      <c r="MBV56" s="113"/>
      <c r="MBW56" s="113"/>
      <c r="MBX56" s="113"/>
      <c r="MBY56" s="113"/>
      <c r="MBZ56" s="113"/>
      <c r="MCA56" s="113"/>
      <c r="MCB56" s="113"/>
      <c r="MCC56" s="113"/>
      <c r="MCD56" s="113"/>
      <c r="MCE56" s="113"/>
      <c r="MCF56" s="113"/>
      <c r="MCG56" s="113"/>
      <c r="MCH56" s="113"/>
      <c r="MCI56" s="113"/>
      <c r="MCJ56" s="113"/>
      <c r="MCK56" s="113"/>
      <c r="MCL56" s="113"/>
      <c r="MCM56" s="113"/>
      <c r="MCN56" s="113"/>
      <c r="MCO56" s="113"/>
      <c r="MCP56" s="113"/>
      <c r="MCQ56" s="113"/>
      <c r="MCR56" s="113"/>
      <c r="MCS56" s="113"/>
      <c r="MCT56" s="113"/>
      <c r="MCU56" s="113"/>
      <c r="MCV56" s="113"/>
      <c r="MCW56" s="113"/>
      <c r="MCX56" s="113"/>
      <c r="MCY56" s="113"/>
      <c r="MCZ56" s="113"/>
      <c r="MDA56" s="113"/>
      <c r="MDB56" s="113"/>
      <c r="MDC56" s="113"/>
      <c r="MDD56" s="113"/>
      <c r="MDE56" s="113"/>
      <c r="MDF56" s="113"/>
      <c r="MDG56" s="113"/>
      <c r="MDH56" s="113"/>
      <c r="MDI56" s="113"/>
      <c r="MDJ56" s="113"/>
      <c r="MDK56" s="113"/>
      <c r="MDL56" s="113"/>
      <c r="MDM56" s="113"/>
      <c r="MDN56" s="113"/>
      <c r="MDO56" s="113"/>
      <c r="MDP56" s="113"/>
      <c r="MDQ56" s="113"/>
      <c r="MDR56" s="113"/>
      <c r="MDS56" s="113"/>
      <c r="MDT56" s="113"/>
      <c r="MDU56" s="113"/>
      <c r="MDV56" s="113"/>
      <c r="MDW56" s="113"/>
      <c r="MDX56" s="113"/>
      <c r="MDY56" s="113"/>
      <c r="MDZ56" s="113"/>
      <c r="MEA56" s="113"/>
      <c r="MEB56" s="113"/>
      <c r="MEC56" s="113"/>
      <c r="MED56" s="113"/>
      <c r="MEE56" s="113"/>
      <c r="MEF56" s="113"/>
      <c r="MEG56" s="113"/>
      <c r="MEH56" s="113"/>
      <c r="MEI56" s="113"/>
      <c r="MEJ56" s="113"/>
      <c r="MEK56" s="113"/>
      <c r="MEL56" s="113"/>
      <c r="MEM56" s="113"/>
      <c r="MEN56" s="113"/>
      <c r="MEO56" s="113"/>
      <c r="MEP56" s="113"/>
      <c r="MEQ56" s="113"/>
      <c r="MER56" s="113"/>
      <c r="MES56" s="113"/>
      <c r="MET56" s="113"/>
      <c r="MEU56" s="113"/>
      <c r="MEV56" s="113"/>
      <c r="MEW56" s="113"/>
      <c r="MEX56" s="113"/>
      <c r="MEY56" s="113"/>
      <c r="MEZ56" s="113"/>
      <c r="MFA56" s="113"/>
      <c r="MFB56" s="113"/>
      <c r="MFC56" s="113"/>
      <c r="MFD56" s="113"/>
      <c r="MFE56" s="113"/>
      <c r="MFF56" s="113"/>
      <c r="MFG56" s="113"/>
      <c r="MFH56" s="113"/>
      <c r="MFI56" s="113"/>
      <c r="MFJ56" s="113"/>
      <c r="MFK56" s="113"/>
      <c r="MFL56" s="113"/>
      <c r="MFM56" s="113"/>
      <c r="MFN56" s="113"/>
      <c r="MFO56" s="113"/>
      <c r="MFP56" s="113"/>
      <c r="MFQ56" s="113"/>
      <c r="MFR56" s="113"/>
      <c r="MFS56" s="113"/>
      <c r="MFT56" s="113"/>
      <c r="MFU56" s="113"/>
      <c r="MFV56" s="113"/>
      <c r="MFW56" s="113"/>
      <c r="MFX56" s="113"/>
      <c r="MFY56" s="113"/>
      <c r="MFZ56" s="113"/>
      <c r="MGA56" s="113"/>
      <c r="MGB56" s="113"/>
      <c r="MGC56" s="113"/>
      <c r="MGD56" s="113"/>
      <c r="MGE56" s="113"/>
      <c r="MGF56" s="113"/>
      <c r="MGG56" s="113"/>
      <c r="MGH56" s="113"/>
      <c r="MGI56" s="113"/>
      <c r="MGJ56" s="113"/>
      <c r="MGK56" s="113"/>
      <c r="MGL56" s="113"/>
      <c r="MGM56" s="113"/>
      <c r="MGN56" s="113"/>
      <c r="MGO56" s="113"/>
      <c r="MGP56" s="113"/>
      <c r="MGQ56" s="113"/>
      <c r="MGR56" s="113"/>
      <c r="MGS56" s="113"/>
      <c r="MGT56" s="113"/>
      <c r="MGU56" s="113"/>
      <c r="MGV56" s="113"/>
      <c r="MGW56" s="113"/>
      <c r="MGX56" s="113"/>
      <c r="MGY56" s="113"/>
      <c r="MGZ56" s="113"/>
      <c r="MHA56" s="113"/>
      <c r="MHB56" s="113"/>
      <c r="MHC56" s="113"/>
      <c r="MHD56" s="113"/>
      <c r="MHE56" s="113"/>
      <c r="MHF56" s="113"/>
      <c r="MHG56" s="113"/>
      <c r="MHH56" s="113"/>
      <c r="MHI56" s="113"/>
      <c r="MHJ56" s="113"/>
      <c r="MHK56" s="113"/>
      <c r="MHL56" s="113"/>
      <c r="MHM56" s="113"/>
      <c r="MHN56" s="113"/>
      <c r="MHO56" s="113"/>
      <c r="MHP56" s="113"/>
      <c r="MHQ56" s="113"/>
      <c r="MHR56" s="113"/>
      <c r="MHS56" s="113"/>
      <c r="MHT56" s="113"/>
      <c r="MHU56" s="113"/>
      <c r="MHV56" s="113"/>
      <c r="MHW56" s="113"/>
      <c r="MHX56" s="113"/>
      <c r="MHY56" s="113"/>
      <c r="MHZ56" s="113"/>
      <c r="MIA56" s="113"/>
      <c r="MIB56" s="113"/>
      <c r="MIC56" s="113"/>
      <c r="MID56" s="113"/>
      <c r="MIE56" s="113"/>
      <c r="MIF56" s="113"/>
      <c r="MIG56" s="113"/>
      <c r="MIH56" s="113"/>
      <c r="MII56" s="113"/>
      <c r="MIJ56" s="113"/>
      <c r="MIK56" s="113"/>
      <c r="MIL56" s="113"/>
      <c r="MIM56" s="113"/>
      <c r="MIN56" s="113"/>
      <c r="MIO56" s="113"/>
      <c r="MIP56" s="113"/>
      <c r="MIQ56" s="113"/>
      <c r="MIR56" s="113"/>
      <c r="MIS56" s="113"/>
      <c r="MIT56" s="113"/>
      <c r="MIU56" s="113"/>
      <c r="MIV56" s="113"/>
      <c r="MIW56" s="113"/>
      <c r="MIX56" s="113"/>
      <c r="MIY56" s="113"/>
      <c r="MIZ56" s="113"/>
      <c r="MJA56" s="113"/>
      <c r="MJB56" s="113"/>
      <c r="MJC56" s="113"/>
      <c r="MJD56" s="113"/>
      <c r="MJE56" s="113"/>
      <c r="MJF56" s="113"/>
      <c r="MJG56" s="113"/>
      <c r="MJH56" s="113"/>
      <c r="MJI56" s="113"/>
      <c r="MJJ56" s="113"/>
      <c r="MJK56" s="113"/>
      <c r="MJL56" s="113"/>
      <c r="MJM56" s="113"/>
      <c r="MJN56" s="113"/>
      <c r="MJO56" s="113"/>
      <c r="MJP56" s="113"/>
      <c r="MJQ56" s="113"/>
      <c r="MJR56" s="113"/>
      <c r="MJS56" s="113"/>
      <c r="MJT56" s="113"/>
      <c r="MJU56" s="113"/>
      <c r="MJV56" s="113"/>
      <c r="MJW56" s="113"/>
      <c r="MJX56" s="113"/>
      <c r="MJY56" s="113"/>
      <c r="MJZ56" s="113"/>
      <c r="MKA56" s="113"/>
      <c r="MKB56" s="113"/>
      <c r="MKC56" s="113"/>
      <c r="MKD56" s="113"/>
      <c r="MKE56" s="113"/>
      <c r="MKF56" s="113"/>
      <c r="MKG56" s="113"/>
      <c r="MKH56" s="113"/>
      <c r="MKI56" s="113"/>
      <c r="MKJ56" s="113"/>
      <c r="MKK56" s="113"/>
      <c r="MKL56" s="113"/>
      <c r="MKM56" s="113"/>
      <c r="MKN56" s="113"/>
      <c r="MKO56" s="113"/>
      <c r="MKP56" s="113"/>
      <c r="MKQ56" s="113"/>
      <c r="MKR56" s="113"/>
      <c r="MKS56" s="113"/>
      <c r="MKT56" s="113"/>
      <c r="MKU56" s="113"/>
      <c r="MKV56" s="113"/>
      <c r="MKW56" s="113"/>
      <c r="MKX56" s="113"/>
      <c r="MKY56" s="113"/>
      <c r="MKZ56" s="113"/>
      <c r="MLA56" s="113"/>
      <c r="MLB56" s="113"/>
      <c r="MLC56" s="113"/>
      <c r="MLD56" s="113"/>
      <c r="MLE56" s="113"/>
      <c r="MLF56" s="113"/>
      <c r="MLG56" s="113"/>
      <c r="MLH56" s="113"/>
      <c r="MLI56" s="113"/>
      <c r="MLJ56" s="113"/>
      <c r="MLK56" s="113"/>
      <c r="MLL56" s="113"/>
      <c r="MLM56" s="113"/>
      <c r="MLN56" s="113"/>
      <c r="MLO56" s="113"/>
      <c r="MLP56" s="113"/>
      <c r="MLQ56" s="113"/>
      <c r="MLR56" s="113"/>
      <c r="MLS56" s="113"/>
      <c r="MLT56" s="113"/>
      <c r="MLU56" s="113"/>
      <c r="MLV56" s="113"/>
      <c r="MLW56" s="113"/>
      <c r="MLX56" s="113"/>
      <c r="MLY56" s="113"/>
      <c r="MLZ56" s="113"/>
      <c r="MMA56" s="113"/>
      <c r="MMB56" s="113"/>
      <c r="MMC56" s="113"/>
      <c r="MMD56" s="113"/>
      <c r="MME56" s="113"/>
      <c r="MMF56" s="113"/>
      <c r="MMG56" s="113"/>
      <c r="MMH56" s="113"/>
      <c r="MMI56" s="113"/>
      <c r="MMJ56" s="113"/>
      <c r="MMK56" s="113"/>
      <c r="MML56" s="113"/>
      <c r="MMM56" s="113"/>
      <c r="MMN56" s="113"/>
      <c r="MMO56" s="113"/>
      <c r="MMP56" s="113"/>
      <c r="MMQ56" s="113"/>
      <c r="MMR56" s="113"/>
      <c r="MMS56" s="113"/>
      <c r="MMT56" s="113"/>
      <c r="MMU56" s="113"/>
      <c r="MMV56" s="113"/>
      <c r="MMW56" s="113"/>
      <c r="MMX56" s="113"/>
      <c r="MMY56" s="113"/>
      <c r="MMZ56" s="113"/>
      <c r="MNA56" s="113"/>
      <c r="MNB56" s="113"/>
      <c r="MNC56" s="113"/>
      <c r="MND56" s="113"/>
      <c r="MNE56" s="113"/>
      <c r="MNF56" s="113"/>
      <c r="MNG56" s="113"/>
      <c r="MNH56" s="113"/>
      <c r="MNI56" s="113"/>
      <c r="MNJ56" s="113"/>
      <c r="MNK56" s="113"/>
      <c r="MNL56" s="113"/>
      <c r="MNM56" s="113"/>
      <c r="MNN56" s="113"/>
      <c r="MNO56" s="113"/>
      <c r="MNP56" s="113"/>
      <c r="MNQ56" s="113"/>
      <c r="MNR56" s="113"/>
      <c r="MNS56" s="113"/>
      <c r="MNT56" s="113"/>
      <c r="MNU56" s="113"/>
      <c r="MNV56" s="113"/>
      <c r="MNW56" s="113"/>
      <c r="MNX56" s="113"/>
      <c r="MNY56" s="113"/>
      <c r="MNZ56" s="113"/>
      <c r="MOA56" s="113"/>
      <c r="MOB56" s="113"/>
      <c r="MOC56" s="113"/>
      <c r="MOD56" s="113"/>
      <c r="MOE56" s="113"/>
      <c r="MOF56" s="113"/>
      <c r="MOG56" s="113"/>
      <c r="MOH56" s="113"/>
      <c r="MOI56" s="113"/>
      <c r="MOJ56" s="113"/>
      <c r="MOK56" s="113"/>
      <c r="MOL56" s="113"/>
      <c r="MOM56" s="113"/>
      <c r="MON56" s="113"/>
      <c r="MOO56" s="113"/>
      <c r="MOP56" s="113"/>
      <c r="MOQ56" s="113"/>
      <c r="MOR56" s="113"/>
      <c r="MOS56" s="113"/>
      <c r="MOT56" s="113"/>
      <c r="MOU56" s="113"/>
      <c r="MOV56" s="113"/>
      <c r="MOW56" s="113"/>
      <c r="MOX56" s="113"/>
      <c r="MOY56" s="113"/>
      <c r="MOZ56" s="113"/>
      <c r="MPA56" s="113"/>
      <c r="MPB56" s="113"/>
      <c r="MPC56" s="113"/>
      <c r="MPD56" s="113"/>
      <c r="MPE56" s="113"/>
      <c r="MPF56" s="113"/>
      <c r="MPG56" s="113"/>
      <c r="MPH56" s="113"/>
      <c r="MPI56" s="113"/>
      <c r="MPJ56" s="113"/>
      <c r="MPK56" s="113"/>
      <c r="MPL56" s="113"/>
      <c r="MPM56" s="113"/>
      <c r="MPN56" s="113"/>
      <c r="MPO56" s="113"/>
      <c r="MPP56" s="113"/>
      <c r="MPQ56" s="113"/>
      <c r="MPR56" s="113"/>
      <c r="MPS56" s="113"/>
      <c r="MPT56" s="113"/>
      <c r="MPU56" s="113"/>
      <c r="MPV56" s="113"/>
      <c r="MPW56" s="113"/>
      <c r="MPX56" s="113"/>
      <c r="MPY56" s="113"/>
      <c r="MPZ56" s="113"/>
      <c r="MQA56" s="113"/>
      <c r="MQB56" s="113"/>
      <c r="MQC56" s="113"/>
      <c r="MQD56" s="113"/>
      <c r="MQE56" s="113"/>
      <c r="MQF56" s="113"/>
      <c r="MQG56" s="113"/>
      <c r="MQH56" s="113"/>
      <c r="MQI56" s="113"/>
      <c r="MQJ56" s="113"/>
      <c r="MQK56" s="113"/>
      <c r="MQL56" s="113"/>
      <c r="MQM56" s="113"/>
      <c r="MQN56" s="113"/>
      <c r="MQO56" s="113"/>
      <c r="MQP56" s="113"/>
      <c r="MQQ56" s="113"/>
      <c r="MQR56" s="113"/>
      <c r="MQS56" s="113"/>
      <c r="MQT56" s="113"/>
      <c r="MQU56" s="113"/>
      <c r="MQV56" s="113"/>
      <c r="MQW56" s="113"/>
      <c r="MQX56" s="113"/>
      <c r="MQY56" s="113"/>
      <c r="MQZ56" s="113"/>
      <c r="MRA56" s="113"/>
      <c r="MRB56" s="113"/>
      <c r="MRC56" s="113"/>
      <c r="MRD56" s="113"/>
      <c r="MRE56" s="113"/>
      <c r="MRF56" s="113"/>
      <c r="MRG56" s="113"/>
      <c r="MRH56" s="113"/>
      <c r="MRI56" s="113"/>
      <c r="MRJ56" s="113"/>
      <c r="MRK56" s="113"/>
      <c r="MRL56" s="113"/>
      <c r="MRM56" s="113"/>
      <c r="MRN56" s="113"/>
      <c r="MRO56" s="113"/>
      <c r="MRP56" s="113"/>
      <c r="MRQ56" s="113"/>
      <c r="MRR56" s="113"/>
      <c r="MRS56" s="113"/>
      <c r="MRT56" s="113"/>
      <c r="MRU56" s="113"/>
      <c r="MRV56" s="113"/>
      <c r="MRW56" s="113"/>
      <c r="MRX56" s="113"/>
      <c r="MRY56" s="113"/>
      <c r="MRZ56" s="113"/>
      <c r="MSA56" s="113"/>
      <c r="MSB56" s="113"/>
      <c r="MSC56" s="113"/>
      <c r="MSD56" s="113"/>
      <c r="MSE56" s="113"/>
      <c r="MSF56" s="113"/>
      <c r="MSG56" s="113"/>
      <c r="MSH56" s="113"/>
      <c r="MSI56" s="113"/>
      <c r="MSJ56" s="113"/>
      <c r="MSK56" s="113"/>
      <c r="MSL56" s="113"/>
      <c r="MSM56" s="113"/>
      <c r="MSN56" s="113"/>
      <c r="MSO56" s="113"/>
      <c r="MSP56" s="113"/>
      <c r="MSQ56" s="113"/>
      <c r="MSR56" s="113"/>
      <c r="MSS56" s="113"/>
      <c r="MST56" s="113"/>
      <c r="MSU56" s="113"/>
      <c r="MSV56" s="113"/>
      <c r="MSW56" s="113"/>
      <c r="MSX56" s="113"/>
      <c r="MSY56" s="113"/>
      <c r="MSZ56" s="113"/>
      <c r="MTA56" s="113"/>
      <c r="MTB56" s="113"/>
      <c r="MTC56" s="113"/>
      <c r="MTD56" s="113"/>
      <c r="MTE56" s="113"/>
      <c r="MTF56" s="113"/>
      <c r="MTG56" s="113"/>
      <c r="MTH56" s="113"/>
      <c r="MTI56" s="113"/>
      <c r="MTJ56" s="113"/>
      <c r="MTK56" s="113"/>
      <c r="MTL56" s="113"/>
      <c r="MTM56" s="113"/>
      <c r="MTN56" s="113"/>
      <c r="MTO56" s="113"/>
      <c r="MTP56" s="113"/>
      <c r="MTQ56" s="113"/>
      <c r="MTR56" s="113"/>
      <c r="MTS56" s="113"/>
      <c r="MTT56" s="113"/>
      <c r="MTU56" s="113"/>
      <c r="MTV56" s="113"/>
      <c r="MTW56" s="113"/>
      <c r="MTX56" s="113"/>
      <c r="MTY56" s="113"/>
      <c r="MTZ56" s="113"/>
      <c r="MUA56" s="113"/>
      <c r="MUB56" s="113"/>
      <c r="MUC56" s="113"/>
      <c r="MUD56" s="113"/>
      <c r="MUE56" s="113"/>
      <c r="MUF56" s="113"/>
      <c r="MUG56" s="113"/>
      <c r="MUH56" s="113"/>
      <c r="MUI56" s="113"/>
      <c r="MUJ56" s="113"/>
      <c r="MUK56" s="113"/>
      <c r="MUL56" s="113"/>
      <c r="MUM56" s="113"/>
      <c r="MUN56" s="113"/>
      <c r="MUO56" s="113"/>
      <c r="MUP56" s="113"/>
      <c r="MUQ56" s="113"/>
      <c r="MUR56" s="113"/>
      <c r="MUS56" s="113"/>
      <c r="MUT56" s="113"/>
      <c r="MUU56" s="113"/>
      <c r="MUV56" s="113"/>
      <c r="MUW56" s="113"/>
      <c r="MUX56" s="113"/>
      <c r="MUY56" s="113"/>
      <c r="MUZ56" s="113"/>
      <c r="MVA56" s="113"/>
      <c r="MVB56" s="113"/>
      <c r="MVC56" s="113"/>
      <c r="MVD56" s="113"/>
      <c r="MVE56" s="113"/>
      <c r="MVF56" s="113"/>
      <c r="MVG56" s="113"/>
      <c r="MVH56" s="113"/>
      <c r="MVI56" s="113"/>
      <c r="MVJ56" s="113"/>
      <c r="MVK56" s="113"/>
      <c r="MVL56" s="113"/>
      <c r="MVM56" s="113"/>
      <c r="MVN56" s="113"/>
      <c r="MVO56" s="113"/>
      <c r="MVP56" s="113"/>
      <c r="MVQ56" s="113"/>
      <c r="MVR56" s="113"/>
      <c r="MVS56" s="113"/>
      <c r="MVT56" s="113"/>
      <c r="MVU56" s="113"/>
      <c r="MVV56" s="113"/>
      <c r="MVW56" s="113"/>
      <c r="MVX56" s="113"/>
      <c r="MVY56" s="113"/>
      <c r="MVZ56" s="113"/>
      <c r="MWA56" s="113"/>
      <c r="MWB56" s="113"/>
      <c r="MWC56" s="113"/>
      <c r="MWD56" s="113"/>
      <c r="MWE56" s="113"/>
      <c r="MWF56" s="113"/>
      <c r="MWG56" s="113"/>
      <c r="MWH56" s="113"/>
      <c r="MWI56" s="113"/>
      <c r="MWJ56" s="113"/>
      <c r="MWK56" s="113"/>
      <c r="MWL56" s="113"/>
      <c r="MWM56" s="113"/>
      <c r="MWN56" s="113"/>
      <c r="MWO56" s="113"/>
      <c r="MWP56" s="113"/>
      <c r="MWQ56" s="113"/>
      <c r="MWR56" s="113"/>
      <c r="MWS56" s="113"/>
      <c r="MWT56" s="113"/>
      <c r="MWU56" s="113"/>
      <c r="MWV56" s="113"/>
      <c r="MWW56" s="113"/>
      <c r="MWX56" s="113"/>
      <c r="MWY56" s="113"/>
      <c r="MWZ56" s="113"/>
      <c r="MXA56" s="113"/>
      <c r="MXB56" s="113"/>
      <c r="MXC56" s="113"/>
      <c r="MXD56" s="113"/>
      <c r="MXE56" s="113"/>
      <c r="MXF56" s="113"/>
      <c r="MXG56" s="113"/>
      <c r="MXH56" s="113"/>
      <c r="MXI56" s="113"/>
      <c r="MXJ56" s="113"/>
      <c r="MXK56" s="113"/>
      <c r="MXL56" s="113"/>
      <c r="MXM56" s="113"/>
      <c r="MXN56" s="113"/>
      <c r="MXO56" s="113"/>
      <c r="MXP56" s="113"/>
      <c r="MXQ56" s="113"/>
      <c r="MXR56" s="113"/>
      <c r="MXS56" s="113"/>
      <c r="MXT56" s="113"/>
      <c r="MXU56" s="113"/>
      <c r="MXV56" s="113"/>
      <c r="MXW56" s="113"/>
      <c r="MXX56" s="113"/>
      <c r="MXY56" s="113"/>
      <c r="MXZ56" s="113"/>
      <c r="MYA56" s="113"/>
      <c r="MYB56" s="113"/>
      <c r="MYC56" s="113"/>
      <c r="MYD56" s="113"/>
      <c r="MYE56" s="113"/>
      <c r="MYF56" s="113"/>
      <c r="MYG56" s="113"/>
      <c r="MYH56" s="113"/>
      <c r="MYI56" s="113"/>
      <c r="MYJ56" s="113"/>
      <c r="MYK56" s="113"/>
      <c r="MYL56" s="113"/>
      <c r="MYM56" s="113"/>
      <c r="MYN56" s="113"/>
      <c r="MYO56" s="113"/>
      <c r="MYP56" s="113"/>
      <c r="MYQ56" s="113"/>
      <c r="MYR56" s="113"/>
      <c r="MYS56" s="113"/>
      <c r="MYT56" s="113"/>
      <c r="MYU56" s="113"/>
      <c r="MYV56" s="113"/>
      <c r="MYW56" s="113"/>
      <c r="MYX56" s="113"/>
      <c r="MYY56" s="113"/>
      <c r="MYZ56" s="113"/>
      <c r="MZA56" s="113"/>
      <c r="MZB56" s="113"/>
      <c r="MZC56" s="113"/>
      <c r="MZD56" s="113"/>
      <c r="MZE56" s="113"/>
      <c r="MZF56" s="113"/>
      <c r="MZG56" s="113"/>
      <c r="MZH56" s="113"/>
      <c r="MZI56" s="113"/>
      <c r="MZJ56" s="113"/>
      <c r="MZK56" s="113"/>
      <c r="MZL56" s="113"/>
      <c r="MZM56" s="113"/>
      <c r="MZN56" s="113"/>
      <c r="MZO56" s="113"/>
      <c r="MZP56" s="113"/>
      <c r="MZQ56" s="113"/>
      <c r="MZR56" s="113"/>
      <c r="MZS56" s="113"/>
      <c r="MZT56" s="113"/>
      <c r="MZU56" s="113"/>
      <c r="MZV56" s="113"/>
      <c r="MZW56" s="113"/>
      <c r="MZX56" s="113"/>
      <c r="MZY56" s="113"/>
      <c r="MZZ56" s="113"/>
      <c r="NAA56" s="113"/>
      <c r="NAB56" s="113"/>
      <c r="NAC56" s="113"/>
      <c r="NAD56" s="113"/>
      <c r="NAE56" s="113"/>
      <c r="NAF56" s="113"/>
      <c r="NAG56" s="113"/>
      <c r="NAH56" s="113"/>
      <c r="NAI56" s="113"/>
      <c r="NAJ56" s="113"/>
      <c r="NAK56" s="113"/>
      <c r="NAL56" s="113"/>
      <c r="NAM56" s="113"/>
      <c r="NAN56" s="113"/>
      <c r="NAO56" s="113"/>
      <c r="NAP56" s="113"/>
      <c r="NAQ56" s="113"/>
      <c r="NAR56" s="113"/>
      <c r="NAS56" s="113"/>
      <c r="NAT56" s="113"/>
      <c r="NAU56" s="113"/>
      <c r="NAV56" s="113"/>
      <c r="NAW56" s="113"/>
      <c r="NAX56" s="113"/>
      <c r="NAY56" s="113"/>
      <c r="NAZ56" s="113"/>
      <c r="NBA56" s="113"/>
      <c r="NBB56" s="113"/>
      <c r="NBC56" s="113"/>
      <c r="NBD56" s="113"/>
      <c r="NBE56" s="113"/>
      <c r="NBF56" s="113"/>
      <c r="NBG56" s="113"/>
      <c r="NBH56" s="113"/>
      <c r="NBI56" s="113"/>
      <c r="NBJ56" s="113"/>
      <c r="NBK56" s="113"/>
      <c r="NBL56" s="113"/>
      <c r="NBM56" s="113"/>
      <c r="NBN56" s="113"/>
      <c r="NBO56" s="113"/>
      <c r="NBP56" s="113"/>
      <c r="NBQ56" s="113"/>
      <c r="NBR56" s="113"/>
      <c r="NBS56" s="113"/>
      <c r="NBT56" s="113"/>
      <c r="NBU56" s="113"/>
      <c r="NBV56" s="113"/>
      <c r="NBW56" s="113"/>
      <c r="NBX56" s="113"/>
      <c r="NBY56" s="113"/>
      <c r="NBZ56" s="113"/>
      <c r="NCA56" s="113"/>
      <c r="NCB56" s="113"/>
      <c r="NCC56" s="113"/>
      <c r="NCD56" s="113"/>
      <c r="NCE56" s="113"/>
      <c r="NCF56" s="113"/>
      <c r="NCG56" s="113"/>
      <c r="NCH56" s="113"/>
      <c r="NCI56" s="113"/>
      <c r="NCJ56" s="113"/>
      <c r="NCK56" s="113"/>
      <c r="NCL56" s="113"/>
      <c r="NCM56" s="113"/>
      <c r="NCN56" s="113"/>
      <c r="NCO56" s="113"/>
      <c r="NCP56" s="113"/>
      <c r="NCQ56" s="113"/>
      <c r="NCR56" s="113"/>
      <c r="NCS56" s="113"/>
      <c r="NCT56" s="113"/>
      <c r="NCU56" s="113"/>
      <c r="NCV56" s="113"/>
      <c r="NCW56" s="113"/>
      <c r="NCX56" s="113"/>
      <c r="NCY56" s="113"/>
      <c r="NCZ56" s="113"/>
      <c r="NDA56" s="113"/>
      <c r="NDB56" s="113"/>
      <c r="NDC56" s="113"/>
      <c r="NDD56" s="113"/>
      <c r="NDE56" s="113"/>
      <c r="NDF56" s="113"/>
      <c r="NDG56" s="113"/>
      <c r="NDH56" s="113"/>
      <c r="NDI56" s="113"/>
      <c r="NDJ56" s="113"/>
      <c r="NDK56" s="113"/>
      <c r="NDL56" s="113"/>
      <c r="NDM56" s="113"/>
      <c r="NDN56" s="113"/>
      <c r="NDO56" s="113"/>
      <c r="NDP56" s="113"/>
      <c r="NDQ56" s="113"/>
      <c r="NDR56" s="113"/>
      <c r="NDS56" s="113"/>
      <c r="NDT56" s="113"/>
      <c r="NDU56" s="113"/>
      <c r="NDV56" s="113"/>
      <c r="NDW56" s="113"/>
      <c r="NDX56" s="113"/>
      <c r="NDY56" s="113"/>
      <c r="NDZ56" s="113"/>
      <c r="NEA56" s="113"/>
      <c r="NEB56" s="113"/>
      <c r="NEC56" s="113"/>
      <c r="NED56" s="113"/>
      <c r="NEE56" s="113"/>
      <c r="NEF56" s="113"/>
      <c r="NEG56" s="113"/>
      <c r="NEH56" s="113"/>
      <c r="NEI56" s="113"/>
      <c r="NEJ56" s="113"/>
      <c r="NEK56" s="113"/>
      <c r="NEL56" s="113"/>
      <c r="NEM56" s="113"/>
      <c r="NEN56" s="113"/>
      <c r="NEO56" s="113"/>
      <c r="NEP56" s="113"/>
      <c r="NEQ56" s="113"/>
      <c r="NER56" s="113"/>
      <c r="NES56" s="113"/>
      <c r="NET56" s="113"/>
      <c r="NEU56" s="113"/>
      <c r="NEV56" s="113"/>
      <c r="NEW56" s="113"/>
      <c r="NEX56" s="113"/>
      <c r="NEY56" s="113"/>
      <c r="NEZ56" s="113"/>
      <c r="NFA56" s="113"/>
      <c r="NFB56" s="113"/>
      <c r="NFC56" s="113"/>
      <c r="NFD56" s="113"/>
      <c r="NFE56" s="113"/>
      <c r="NFF56" s="113"/>
      <c r="NFG56" s="113"/>
      <c r="NFH56" s="113"/>
      <c r="NFI56" s="113"/>
      <c r="NFJ56" s="113"/>
      <c r="NFK56" s="113"/>
      <c r="NFL56" s="113"/>
      <c r="NFM56" s="113"/>
      <c r="NFN56" s="113"/>
      <c r="NFO56" s="113"/>
      <c r="NFP56" s="113"/>
      <c r="NFQ56" s="113"/>
      <c r="NFR56" s="113"/>
      <c r="NFS56" s="113"/>
      <c r="NFT56" s="113"/>
      <c r="NFU56" s="113"/>
      <c r="NFV56" s="113"/>
      <c r="NFW56" s="113"/>
      <c r="NFX56" s="113"/>
      <c r="NFY56" s="113"/>
      <c r="NFZ56" s="113"/>
      <c r="NGA56" s="113"/>
      <c r="NGB56" s="113"/>
      <c r="NGC56" s="113"/>
      <c r="NGD56" s="113"/>
      <c r="NGE56" s="113"/>
      <c r="NGF56" s="113"/>
      <c r="NGG56" s="113"/>
      <c r="NGH56" s="113"/>
      <c r="NGI56" s="113"/>
      <c r="NGJ56" s="113"/>
      <c r="NGK56" s="113"/>
      <c r="NGL56" s="113"/>
      <c r="NGM56" s="113"/>
      <c r="NGN56" s="113"/>
      <c r="NGO56" s="113"/>
      <c r="NGP56" s="113"/>
      <c r="NGQ56" s="113"/>
      <c r="NGR56" s="113"/>
      <c r="NGS56" s="113"/>
      <c r="NGT56" s="113"/>
      <c r="NGU56" s="113"/>
      <c r="NGV56" s="113"/>
      <c r="NGW56" s="113"/>
      <c r="NGX56" s="113"/>
      <c r="NGY56" s="113"/>
      <c r="NGZ56" s="113"/>
      <c r="NHA56" s="113"/>
      <c r="NHB56" s="113"/>
      <c r="NHC56" s="113"/>
      <c r="NHD56" s="113"/>
      <c r="NHE56" s="113"/>
      <c r="NHF56" s="113"/>
      <c r="NHG56" s="113"/>
      <c r="NHH56" s="113"/>
      <c r="NHI56" s="113"/>
      <c r="NHJ56" s="113"/>
      <c r="NHK56" s="113"/>
      <c r="NHL56" s="113"/>
      <c r="NHM56" s="113"/>
      <c r="NHN56" s="113"/>
      <c r="NHO56" s="113"/>
      <c r="NHP56" s="113"/>
      <c r="NHQ56" s="113"/>
      <c r="NHR56" s="113"/>
      <c r="NHS56" s="113"/>
      <c r="NHT56" s="113"/>
      <c r="NHU56" s="113"/>
      <c r="NHV56" s="113"/>
      <c r="NHW56" s="113"/>
      <c r="NHX56" s="113"/>
      <c r="NHY56" s="113"/>
      <c r="NHZ56" s="113"/>
      <c r="NIA56" s="113"/>
      <c r="NIB56" s="113"/>
      <c r="NIC56" s="113"/>
      <c r="NID56" s="113"/>
      <c r="NIE56" s="113"/>
      <c r="NIF56" s="113"/>
      <c r="NIG56" s="113"/>
      <c r="NIH56" s="113"/>
      <c r="NII56" s="113"/>
      <c r="NIJ56" s="113"/>
      <c r="NIK56" s="113"/>
      <c r="NIL56" s="113"/>
      <c r="NIM56" s="113"/>
      <c r="NIN56" s="113"/>
      <c r="NIO56" s="113"/>
      <c r="NIP56" s="113"/>
      <c r="NIQ56" s="113"/>
      <c r="NIR56" s="113"/>
      <c r="NIS56" s="113"/>
      <c r="NIT56" s="113"/>
      <c r="NIU56" s="113"/>
      <c r="NIV56" s="113"/>
      <c r="NIW56" s="113"/>
      <c r="NIX56" s="113"/>
      <c r="NIY56" s="113"/>
      <c r="NIZ56" s="113"/>
      <c r="NJA56" s="113"/>
      <c r="NJB56" s="113"/>
      <c r="NJC56" s="113"/>
      <c r="NJD56" s="113"/>
      <c r="NJE56" s="113"/>
      <c r="NJF56" s="113"/>
      <c r="NJG56" s="113"/>
      <c r="NJH56" s="113"/>
      <c r="NJI56" s="113"/>
      <c r="NJJ56" s="113"/>
      <c r="NJK56" s="113"/>
      <c r="NJL56" s="113"/>
      <c r="NJM56" s="113"/>
      <c r="NJN56" s="113"/>
      <c r="NJO56" s="113"/>
      <c r="NJP56" s="113"/>
      <c r="NJQ56" s="113"/>
      <c r="NJR56" s="113"/>
      <c r="NJS56" s="113"/>
      <c r="NJT56" s="113"/>
      <c r="NJU56" s="113"/>
      <c r="NJV56" s="113"/>
      <c r="NJW56" s="113"/>
      <c r="NJX56" s="113"/>
      <c r="NJY56" s="113"/>
      <c r="NJZ56" s="113"/>
      <c r="NKA56" s="113"/>
      <c r="NKB56" s="113"/>
      <c r="NKC56" s="113"/>
      <c r="NKD56" s="113"/>
      <c r="NKE56" s="113"/>
      <c r="NKF56" s="113"/>
      <c r="NKG56" s="113"/>
      <c r="NKH56" s="113"/>
      <c r="NKI56" s="113"/>
      <c r="NKJ56" s="113"/>
      <c r="NKK56" s="113"/>
      <c r="NKL56" s="113"/>
      <c r="NKM56" s="113"/>
      <c r="NKN56" s="113"/>
      <c r="NKO56" s="113"/>
      <c r="NKP56" s="113"/>
      <c r="NKQ56" s="113"/>
      <c r="NKR56" s="113"/>
      <c r="NKS56" s="113"/>
      <c r="NKT56" s="113"/>
      <c r="NKU56" s="113"/>
      <c r="NKV56" s="113"/>
      <c r="NKW56" s="113"/>
      <c r="NKX56" s="113"/>
      <c r="NKY56" s="113"/>
      <c r="NKZ56" s="113"/>
      <c r="NLA56" s="113"/>
      <c r="NLB56" s="113"/>
      <c r="NLC56" s="113"/>
      <c r="NLD56" s="113"/>
      <c r="NLE56" s="113"/>
      <c r="NLF56" s="113"/>
      <c r="NLG56" s="113"/>
      <c r="NLH56" s="113"/>
      <c r="NLI56" s="113"/>
      <c r="NLJ56" s="113"/>
      <c r="NLK56" s="113"/>
      <c r="NLL56" s="113"/>
      <c r="NLM56" s="113"/>
      <c r="NLN56" s="113"/>
      <c r="NLO56" s="113"/>
      <c r="NLP56" s="113"/>
      <c r="NLQ56" s="113"/>
      <c r="NLR56" s="113"/>
      <c r="NLS56" s="113"/>
      <c r="NLT56" s="113"/>
      <c r="NLU56" s="113"/>
      <c r="NLV56" s="113"/>
      <c r="NLW56" s="113"/>
      <c r="NLX56" s="113"/>
      <c r="NLY56" s="113"/>
      <c r="NLZ56" s="113"/>
      <c r="NMA56" s="113"/>
      <c r="NMB56" s="113"/>
      <c r="NMC56" s="113"/>
      <c r="NMD56" s="113"/>
      <c r="NME56" s="113"/>
      <c r="NMF56" s="113"/>
      <c r="NMG56" s="113"/>
      <c r="NMH56" s="113"/>
      <c r="NMI56" s="113"/>
      <c r="NMJ56" s="113"/>
      <c r="NMK56" s="113"/>
      <c r="NML56" s="113"/>
      <c r="NMM56" s="113"/>
      <c r="NMN56" s="113"/>
      <c r="NMO56" s="113"/>
      <c r="NMP56" s="113"/>
      <c r="NMQ56" s="113"/>
      <c r="NMR56" s="113"/>
      <c r="NMS56" s="113"/>
      <c r="NMT56" s="113"/>
      <c r="NMU56" s="113"/>
      <c r="NMV56" s="113"/>
      <c r="NMW56" s="113"/>
      <c r="NMX56" s="113"/>
      <c r="NMY56" s="113"/>
      <c r="NMZ56" s="113"/>
      <c r="NNA56" s="113"/>
      <c r="NNB56" s="113"/>
      <c r="NNC56" s="113"/>
      <c r="NND56" s="113"/>
      <c r="NNE56" s="113"/>
      <c r="NNF56" s="113"/>
      <c r="NNG56" s="113"/>
      <c r="NNH56" s="113"/>
      <c r="NNI56" s="113"/>
      <c r="NNJ56" s="113"/>
      <c r="NNK56" s="113"/>
      <c r="NNL56" s="113"/>
      <c r="NNM56" s="113"/>
      <c r="NNN56" s="113"/>
      <c r="NNO56" s="113"/>
      <c r="NNP56" s="113"/>
      <c r="NNQ56" s="113"/>
      <c r="NNR56" s="113"/>
      <c r="NNS56" s="113"/>
      <c r="NNT56" s="113"/>
      <c r="NNU56" s="113"/>
      <c r="NNV56" s="113"/>
      <c r="NNW56" s="113"/>
      <c r="NNX56" s="113"/>
      <c r="NNY56" s="113"/>
      <c r="NNZ56" s="113"/>
      <c r="NOA56" s="113"/>
      <c r="NOB56" s="113"/>
      <c r="NOC56" s="113"/>
      <c r="NOD56" s="113"/>
      <c r="NOE56" s="113"/>
      <c r="NOF56" s="113"/>
      <c r="NOG56" s="113"/>
      <c r="NOH56" s="113"/>
      <c r="NOI56" s="113"/>
      <c r="NOJ56" s="113"/>
      <c r="NOK56" s="113"/>
      <c r="NOL56" s="113"/>
      <c r="NOM56" s="113"/>
      <c r="NON56" s="113"/>
      <c r="NOO56" s="113"/>
      <c r="NOP56" s="113"/>
      <c r="NOQ56" s="113"/>
      <c r="NOR56" s="113"/>
      <c r="NOS56" s="113"/>
      <c r="NOT56" s="113"/>
      <c r="NOU56" s="113"/>
      <c r="NOV56" s="113"/>
      <c r="NOW56" s="113"/>
      <c r="NOX56" s="113"/>
      <c r="NOY56" s="113"/>
      <c r="NOZ56" s="113"/>
      <c r="NPA56" s="113"/>
      <c r="NPB56" s="113"/>
      <c r="NPC56" s="113"/>
      <c r="NPD56" s="113"/>
      <c r="NPE56" s="113"/>
      <c r="NPF56" s="113"/>
      <c r="NPG56" s="113"/>
      <c r="NPH56" s="113"/>
      <c r="NPI56" s="113"/>
      <c r="NPJ56" s="113"/>
      <c r="NPK56" s="113"/>
      <c r="NPL56" s="113"/>
      <c r="NPM56" s="113"/>
      <c r="NPN56" s="113"/>
      <c r="NPO56" s="113"/>
      <c r="NPP56" s="113"/>
      <c r="NPQ56" s="113"/>
      <c r="NPR56" s="113"/>
      <c r="NPS56" s="113"/>
      <c r="NPT56" s="113"/>
      <c r="NPU56" s="113"/>
      <c r="NPV56" s="113"/>
      <c r="NPW56" s="113"/>
      <c r="NPX56" s="113"/>
      <c r="NPY56" s="113"/>
      <c r="NPZ56" s="113"/>
      <c r="NQA56" s="113"/>
      <c r="NQB56" s="113"/>
      <c r="NQC56" s="113"/>
      <c r="NQD56" s="113"/>
      <c r="NQE56" s="113"/>
      <c r="NQF56" s="113"/>
      <c r="NQG56" s="113"/>
      <c r="NQH56" s="113"/>
      <c r="NQI56" s="113"/>
      <c r="NQJ56" s="113"/>
      <c r="NQK56" s="113"/>
      <c r="NQL56" s="113"/>
      <c r="NQM56" s="113"/>
      <c r="NQN56" s="113"/>
      <c r="NQO56" s="113"/>
      <c r="NQP56" s="113"/>
      <c r="NQQ56" s="113"/>
      <c r="NQR56" s="113"/>
      <c r="NQS56" s="113"/>
      <c r="NQT56" s="113"/>
      <c r="NQU56" s="113"/>
      <c r="NQV56" s="113"/>
      <c r="NQW56" s="113"/>
      <c r="NQX56" s="113"/>
      <c r="NQY56" s="113"/>
      <c r="NQZ56" s="113"/>
      <c r="NRA56" s="113"/>
      <c r="NRB56" s="113"/>
      <c r="NRC56" s="113"/>
      <c r="NRD56" s="113"/>
      <c r="NRE56" s="113"/>
      <c r="NRF56" s="113"/>
      <c r="NRG56" s="113"/>
      <c r="NRH56" s="113"/>
      <c r="NRI56" s="113"/>
      <c r="NRJ56" s="113"/>
      <c r="NRK56" s="113"/>
      <c r="NRL56" s="113"/>
      <c r="NRM56" s="113"/>
      <c r="NRN56" s="113"/>
      <c r="NRO56" s="113"/>
      <c r="NRP56" s="113"/>
      <c r="NRQ56" s="113"/>
      <c r="NRR56" s="113"/>
      <c r="NRS56" s="113"/>
      <c r="NRT56" s="113"/>
      <c r="NRU56" s="113"/>
      <c r="NRV56" s="113"/>
      <c r="NRW56" s="113"/>
      <c r="NRX56" s="113"/>
      <c r="NRY56" s="113"/>
      <c r="NRZ56" s="113"/>
      <c r="NSA56" s="113"/>
      <c r="NSB56" s="113"/>
      <c r="NSC56" s="113"/>
      <c r="NSD56" s="113"/>
      <c r="NSE56" s="113"/>
      <c r="NSF56" s="113"/>
      <c r="NSG56" s="113"/>
      <c r="NSH56" s="113"/>
      <c r="NSI56" s="113"/>
      <c r="NSJ56" s="113"/>
      <c r="NSK56" s="113"/>
      <c r="NSL56" s="113"/>
      <c r="NSM56" s="113"/>
      <c r="NSN56" s="113"/>
      <c r="NSO56" s="113"/>
      <c r="NSP56" s="113"/>
      <c r="NSQ56" s="113"/>
      <c r="NSR56" s="113"/>
      <c r="NSS56" s="113"/>
      <c r="NST56" s="113"/>
      <c r="NSU56" s="113"/>
      <c r="NSV56" s="113"/>
      <c r="NSW56" s="113"/>
      <c r="NSX56" s="113"/>
      <c r="NSY56" s="113"/>
      <c r="NSZ56" s="113"/>
      <c r="NTA56" s="113"/>
      <c r="NTB56" s="113"/>
      <c r="NTC56" s="113"/>
      <c r="NTD56" s="113"/>
      <c r="NTE56" s="113"/>
      <c r="NTF56" s="113"/>
      <c r="NTG56" s="113"/>
      <c r="NTH56" s="113"/>
      <c r="NTI56" s="113"/>
      <c r="NTJ56" s="113"/>
      <c r="NTK56" s="113"/>
      <c r="NTL56" s="113"/>
      <c r="NTM56" s="113"/>
      <c r="NTN56" s="113"/>
      <c r="NTO56" s="113"/>
      <c r="NTP56" s="113"/>
      <c r="NTQ56" s="113"/>
      <c r="NTR56" s="113"/>
      <c r="NTS56" s="113"/>
      <c r="NTT56" s="113"/>
      <c r="NTU56" s="113"/>
      <c r="NTV56" s="113"/>
      <c r="NTW56" s="113"/>
      <c r="NTX56" s="113"/>
      <c r="NTY56" s="113"/>
      <c r="NTZ56" s="113"/>
      <c r="NUA56" s="113"/>
      <c r="NUB56" s="113"/>
      <c r="NUC56" s="113"/>
      <c r="NUD56" s="113"/>
      <c r="NUE56" s="113"/>
      <c r="NUF56" s="113"/>
      <c r="NUG56" s="113"/>
      <c r="NUH56" s="113"/>
      <c r="NUI56" s="113"/>
      <c r="NUJ56" s="113"/>
      <c r="NUK56" s="113"/>
      <c r="NUL56" s="113"/>
      <c r="NUM56" s="113"/>
      <c r="NUN56" s="113"/>
      <c r="NUO56" s="113"/>
      <c r="NUP56" s="113"/>
      <c r="NUQ56" s="113"/>
      <c r="NUR56" s="113"/>
      <c r="NUS56" s="113"/>
      <c r="NUT56" s="113"/>
      <c r="NUU56" s="113"/>
      <c r="NUV56" s="113"/>
      <c r="NUW56" s="113"/>
      <c r="NUX56" s="113"/>
      <c r="NUY56" s="113"/>
      <c r="NUZ56" s="113"/>
      <c r="NVA56" s="113"/>
      <c r="NVB56" s="113"/>
      <c r="NVC56" s="113"/>
      <c r="NVD56" s="113"/>
      <c r="NVE56" s="113"/>
      <c r="NVF56" s="113"/>
      <c r="NVG56" s="113"/>
      <c r="NVH56" s="113"/>
      <c r="NVI56" s="113"/>
      <c r="NVJ56" s="113"/>
      <c r="NVK56" s="113"/>
      <c r="NVL56" s="113"/>
      <c r="NVM56" s="113"/>
      <c r="NVN56" s="113"/>
      <c r="NVO56" s="113"/>
      <c r="NVP56" s="113"/>
      <c r="NVQ56" s="113"/>
      <c r="NVR56" s="113"/>
      <c r="NVS56" s="113"/>
      <c r="NVT56" s="113"/>
      <c r="NVU56" s="113"/>
      <c r="NVV56" s="113"/>
      <c r="NVW56" s="113"/>
      <c r="NVX56" s="113"/>
      <c r="NVY56" s="113"/>
      <c r="NVZ56" s="113"/>
      <c r="NWA56" s="113"/>
      <c r="NWB56" s="113"/>
      <c r="NWC56" s="113"/>
      <c r="NWD56" s="113"/>
      <c r="NWE56" s="113"/>
      <c r="NWF56" s="113"/>
      <c r="NWG56" s="113"/>
      <c r="NWH56" s="113"/>
      <c r="NWI56" s="113"/>
      <c r="NWJ56" s="113"/>
      <c r="NWK56" s="113"/>
      <c r="NWL56" s="113"/>
      <c r="NWM56" s="113"/>
      <c r="NWN56" s="113"/>
      <c r="NWO56" s="113"/>
      <c r="NWP56" s="113"/>
      <c r="NWQ56" s="113"/>
      <c r="NWR56" s="113"/>
      <c r="NWS56" s="113"/>
      <c r="NWT56" s="113"/>
      <c r="NWU56" s="113"/>
      <c r="NWV56" s="113"/>
      <c r="NWW56" s="113"/>
      <c r="NWX56" s="113"/>
      <c r="NWY56" s="113"/>
      <c r="NWZ56" s="113"/>
      <c r="NXA56" s="113"/>
      <c r="NXB56" s="113"/>
      <c r="NXC56" s="113"/>
      <c r="NXD56" s="113"/>
      <c r="NXE56" s="113"/>
      <c r="NXF56" s="113"/>
      <c r="NXG56" s="113"/>
      <c r="NXH56" s="113"/>
      <c r="NXI56" s="113"/>
      <c r="NXJ56" s="113"/>
      <c r="NXK56" s="113"/>
      <c r="NXL56" s="113"/>
      <c r="NXM56" s="113"/>
      <c r="NXN56" s="113"/>
      <c r="NXO56" s="113"/>
      <c r="NXP56" s="113"/>
      <c r="NXQ56" s="113"/>
      <c r="NXR56" s="113"/>
      <c r="NXS56" s="113"/>
      <c r="NXT56" s="113"/>
      <c r="NXU56" s="113"/>
      <c r="NXV56" s="113"/>
      <c r="NXW56" s="113"/>
      <c r="NXX56" s="113"/>
      <c r="NXY56" s="113"/>
      <c r="NXZ56" s="113"/>
      <c r="NYA56" s="113"/>
      <c r="NYB56" s="113"/>
      <c r="NYC56" s="113"/>
      <c r="NYD56" s="113"/>
      <c r="NYE56" s="113"/>
      <c r="NYF56" s="113"/>
      <c r="NYG56" s="113"/>
      <c r="NYH56" s="113"/>
      <c r="NYI56" s="113"/>
      <c r="NYJ56" s="113"/>
      <c r="NYK56" s="113"/>
      <c r="NYL56" s="113"/>
      <c r="NYM56" s="113"/>
      <c r="NYN56" s="113"/>
      <c r="NYO56" s="113"/>
      <c r="NYP56" s="113"/>
      <c r="NYQ56" s="113"/>
      <c r="NYR56" s="113"/>
      <c r="NYS56" s="113"/>
      <c r="NYT56" s="113"/>
      <c r="NYU56" s="113"/>
      <c r="NYV56" s="113"/>
      <c r="NYW56" s="113"/>
      <c r="NYX56" s="113"/>
      <c r="NYY56" s="113"/>
      <c r="NYZ56" s="113"/>
      <c r="NZA56" s="113"/>
      <c r="NZB56" s="113"/>
      <c r="NZC56" s="113"/>
      <c r="NZD56" s="113"/>
      <c r="NZE56" s="113"/>
      <c r="NZF56" s="113"/>
      <c r="NZG56" s="113"/>
      <c r="NZH56" s="113"/>
      <c r="NZI56" s="113"/>
      <c r="NZJ56" s="113"/>
      <c r="NZK56" s="113"/>
      <c r="NZL56" s="113"/>
      <c r="NZM56" s="113"/>
      <c r="NZN56" s="113"/>
      <c r="NZO56" s="113"/>
      <c r="NZP56" s="113"/>
      <c r="NZQ56" s="113"/>
      <c r="NZR56" s="113"/>
      <c r="NZS56" s="113"/>
      <c r="NZT56" s="113"/>
      <c r="NZU56" s="113"/>
      <c r="NZV56" s="113"/>
      <c r="NZW56" s="113"/>
      <c r="NZX56" s="113"/>
      <c r="NZY56" s="113"/>
      <c r="NZZ56" s="113"/>
      <c r="OAA56" s="113"/>
      <c r="OAB56" s="113"/>
      <c r="OAC56" s="113"/>
      <c r="OAD56" s="113"/>
      <c r="OAE56" s="113"/>
      <c r="OAF56" s="113"/>
      <c r="OAG56" s="113"/>
      <c r="OAH56" s="113"/>
      <c r="OAI56" s="113"/>
      <c r="OAJ56" s="113"/>
      <c r="OAK56" s="113"/>
      <c r="OAL56" s="113"/>
      <c r="OAM56" s="113"/>
      <c r="OAN56" s="113"/>
      <c r="OAO56" s="113"/>
      <c r="OAP56" s="113"/>
      <c r="OAQ56" s="113"/>
      <c r="OAR56" s="113"/>
      <c r="OAS56" s="113"/>
      <c r="OAT56" s="113"/>
      <c r="OAU56" s="113"/>
      <c r="OAV56" s="113"/>
      <c r="OAW56" s="113"/>
      <c r="OAX56" s="113"/>
      <c r="OAY56" s="113"/>
      <c r="OAZ56" s="113"/>
      <c r="OBA56" s="113"/>
      <c r="OBB56" s="113"/>
      <c r="OBC56" s="113"/>
      <c r="OBD56" s="113"/>
      <c r="OBE56" s="113"/>
      <c r="OBF56" s="113"/>
      <c r="OBG56" s="113"/>
      <c r="OBH56" s="113"/>
      <c r="OBI56" s="113"/>
      <c r="OBJ56" s="113"/>
      <c r="OBK56" s="113"/>
      <c r="OBL56" s="113"/>
      <c r="OBM56" s="113"/>
      <c r="OBN56" s="113"/>
      <c r="OBO56" s="113"/>
      <c r="OBP56" s="113"/>
      <c r="OBQ56" s="113"/>
      <c r="OBR56" s="113"/>
      <c r="OBS56" s="113"/>
      <c r="OBT56" s="113"/>
      <c r="OBU56" s="113"/>
      <c r="OBV56" s="113"/>
      <c r="OBW56" s="113"/>
      <c r="OBX56" s="113"/>
      <c r="OBY56" s="113"/>
      <c r="OBZ56" s="113"/>
      <c r="OCA56" s="113"/>
      <c r="OCB56" s="113"/>
      <c r="OCC56" s="113"/>
      <c r="OCD56" s="113"/>
      <c r="OCE56" s="113"/>
      <c r="OCF56" s="113"/>
      <c r="OCG56" s="113"/>
      <c r="OCH56" s="113"/>
      <c r="OCI56" s="113"/>
      <c r="OCJ56" s="113"/>
      <c r="OCK56" s="113"/>
      <c r="OCL56" s="113"/>
      <c r="OCM56" s="113"/>
      <c r="OCN56" s="113"/>
      <c r="OCO56" s="113"/>
      <c r="OCP56" s="113"/>
      <c r="OCQ56" s="113"/>
      <c r="OCR56" s="113"/>
      <c r="OCS56" s="113"/>
      <c r="OCT56" s="113"/>
      <c r="OCU56" s="113"/>
      <c r="OCV56" s="113"/>
      <c r="OCW56" s="113"/>
      <c r="OCX56" s="113"/>
      <c r="OCY56" s="113"/>
      <c r="OCZ56" s="113"/>
      <c r="ODA56" s="113"/>
      <c r="ODB56" s="113"/>
      <c r="ODC56" s="113"/>
      <c r="ODD56" s="113"/>
      <c r="ODE56" s="113"/>
      <c r="ODF56" s="113"/>
      <c r="ODG56" s="113"/>
      <c r="ODH56" s="113"/>
      <c r="ODI56" s="113"/>
      <c r="ODJ56" s="113"/>
      <c r="ODK56" s="113"/>
      <c r="ODL56" s="113"/>
      <c r="ODM56" s="113"/>
      <c r="ODN56" s="113"/>
      <c r="ODO56" s="113"/>
      <c r="ODP56" s="113"/>
      <c r="ODQ56" s="113"/>
      <c r="ODR56" s="113"/>
      <c r="ODS56" s="113"/>
      <c r="ODT56" s="113"/>
      <c r="ODU56" s="113"/>
      <c r="ODV56" s="113"/>
      <c r="ODW56" s="113"/>
      <c r="ODX56" s="113"/>
      <c r="ODY56" s="113"/>
      <c r="ODZ56" s="113"/>
      <c r="OEA56" s="113"/>
      <c r="OEB56" s="113"/>
      <c r="OEC56" s="113"/>
      <c r="OED56" s="113"/>
      <c r="OEE56" s="113"/>
      <c r="OEF56" s="113"/>
      <c r="OEG56" s="113"/>
      <c r="OEH56" s="113"/>
      <c r="OEI56" s="113"/>
      <c r="OEJ56" s="113"/>
      <c r="OEK56" s="113"/>
      <c r="OEL56" s="113"/>
      <c r="OEM56" s="113"/>
      <c r="OEN56" s="113"/>
      <c r="OEO56" s="113"/>
      <c r="OEP56" s="113"/>
      <c r="OEQ56" s="113"/>
      <c r="OER56" s="113"/>
      <c r="OES56" s="113"/>
      <c r="OET56" s="113"/>
      <c r="OEU56" s="113"/>
      <c r="OEV56" s="113"/>
      <c r="OEW56" s="113"/>
      <c r="OEX56" s="113"/>
      <c r="OEY56" s="113"/>
      <c r="OEZ56" s="113"/>
      <c r="OFA56" s="113"/>
      <c r="OFB56" s="113"/>
      <c r="OFC56" s="113"/>
      <c r="OFD56" s="113"/>
      <c r="OFE56" s="113"/>
      <c r="OFF56" s="113"/>
      <c r="OFG56" s="113"/>
      <c r="OFH56" s="113"/>
      <c r="OFI56" s="113"/>
      <c r="OFJ56" s="113"/>
      <c r="OFK56" s="113"/>
      <c r="OFL56" s="113"/>
      <c r="OFM56" s="113"/>
      <c r="OFN56" s="113"/>
      <c r="OFO56" s="113"/>
      <c r="OFP56" s="113"/>
      <c r="OFQ56" s="113"/>
      <c r="OFR56" s="113"/>
      <c r="OFS56" s="113"/>
      <c r="OFT56" s="113"/>
      <c r="OFU56" s="113"/>
      <c r="OFV56" s="113"/>
      <c r="OFW56" s="113"/>
      <c r="OFX56" s="113"/>
      <c r="OFY56" s="113"/>
      <c r="OFZ56" s="113"/>
      <c r="OGA56" s="113"/>
      <c r="OGB56" s="113"/>
      <c r="OGC56" s="113"/>
      <c r="OGD56" s="113"/>
      <c r="OGE56" s="113"/>
      <c r="OGF56" s="113"/>
      <c r="OGG56" s="113"/>
      <c r="OGH56" s="113"/>
      <c r="OGI56" s="113"/>
      <c r="OGJ56" s="113"/>
      <c r="OGK56" s="113"/>
      <c r="OGL56" s="113"/>
      <c r="OGM56" s="113"/>
      <c r="OGN56" s="113"/>
      <c r="OGO56" s="113"/>
      <c r="OGP56" s="113"/>
      <c r="OGQ56" s="113"/>
      <c r="OGR56" s="113"/>
      <c r="OGS56" s="113"/>
      <c r="OGT56" s="113"/>
      <c r="OGU56" s="113"/>
      <c r="OGV56" s="113"/>
      <c r="OGW56" s="113"/>
      <c r="OGX56" s="113"/>
      <c r="OGY56" s="113"/>
      <c r="OGZ56" s="113"/>
      <c r="OHA56" s="113"/>
      <c r="OHB56" s="113"/>
      <c r="OHC56" s="113"/>
      <c r="OHD56" s="113"/>
      <c r="OHE56" s="113"/>
      <c r="OHF56" s="113"/>
      <c r="OHG56" s="113"/>
      <c r="OHH56" s="113"/>
      <c r="OHI56" s="113"/>
      <c r="OHJ56" s="113"/>
      <c r="OHK56" s="113"/>
      <c r="OHL56" s="113"/>
      <c r="OHM56" s="113"/>
      <c r="OHN56" s="113"/>
      <c r="OHO56" s="113"/>
      <c r="OHP56" s="113"/>
      <c r="OHQ56" s="113"/>
      <c r="OHR56" s="113"/>
      <c r="OHS56" s="113"/>
      <c r="OHT56" s="113"/>
      <c r="OHU56" s="113"/>
      <c r="OHV56" s="113"/>
      <c r="OHW56" s="113"/>
      <c r="OHX56" s="113"/>
      <c r="OHY56" s="113"/>
      <c r="OHZ56" s="113"/>
      <c r="OIA56" s="113"/>
      <c r="OIB56" s="113"/>
      <c r="OIC56" s="113"/>
      <c r="OID56" s="113"/>
      <c r="OIE56" s="113"/>
      <c r="OIF56" s="113"/>
      <c r="OIG56" s="113"/>
      <c r="OIH56" s="113"/>
      <c r="OII56" s="113"/>
      <c r="OIJ56" s="113"/>
      <c r="OIK56" s="113"/>
      <c r="OIL56" s="113"/>
      <c r="OIM56" s="113"/>
      <c r="OIN56" s="113"/>
      <c r="OIO56" s="113"/>
      <c r="OIP56" s="113"/>
      <c r="OIQ56" s="113"/>
      <c r="OIR56" s="113"/>
      <c r="OIS56" s="113"/>
      <c r="OIT56" s="113"/>
      <c r="OIU56" s="113"/>
      <c r="OIV56" s="113"/>
      <c r="OIW56" s="113"/>
      <c r="OIX56" s="113"/>
      <c r="OIY56" s="113"/>
      <c r="OIZ56" s="113"/>
      <c r="OJA56" s="113"/>
      <c r="OJB56" s="113"/>
      <c r="OJC56" s="113"/>
      <c r="OJD56" s="113"/>
      <c r="OJE56" s="113"/>
      <c r="OJF56" s="113"/>
      <c r="OJG56" s="113"/>
      <c r="OJH56" s="113"/>
      <c r="OJI56" s="113"/>
      <c r="OJJ56" s="113"/>
      <c r="OJK56" s="113"/>
      <c r="OJL56" s="113"/>
      <c r="OJM56" s="113"/>
      <c r="OJN56" s="113"/>
      <c r="OJO56" s="113"/>
      <c r="OJP56" s="113"/>
      <c r="OJQ56" s="113"/>
      <c r="OJR56" s="113"/>
      <c r="OJS56" s="113"/>
      <c r="OJT56" s="113"/>
      <c r="OJU56" s="113"/>
      <c r="OJV56" s="113"/>
      <c r="OJW56" s="113"/>
      <c r="OJX56" s="113"/>
      <c r="OJY56" s="113"/>
      <c r="OJZ56" s="113"/>
      <c r="OKA56" s="113"/>
      <c r="OKB56" s="113"/>
      <c r="OKC56" s="113"/>
      <c r="OKD56" s="113"/>
      <c r="OKE56" s="113"/>
      <c r="OKF56" s="113"/>
      <c r="OKG56" s="113"/>
      <c r="OKH56" s="113"/>
      <c r="OKI56" s="113"/>
      <c r="OKJ56" s="113"/>
      <c r="OKK56" s="113"/>
      <c r="OKL56" s="113"/>
      <c r="OKM56" s="113"/>
      <c r="OKN56" s="113"/>
      <c r="OKO56" s="113"/>
      <c r="OKP56" s="113"/>
      <c r="OKQ56" s="113"/>
      <c r="OKR56" s="113"/>
      <c r="OKS56" s="113"/>
      <c r="OKT56" s="113"/>
      <c r="OKU56" s="113"/>
      <c r="OKV56" s="113"/>
      <c r="OKW56" s="113"/>
      <c r="OKX56" s="113"/>
      <c r="OKY56" s="113"/>
      <c r="OKZ56" s="113"/>
      <c r="OLA56" s="113"/>
      <c r="OLB56" s="113"/>
      <c r="OLC56" s="113"/>
      <c r="OLD56" s="113"/>
      <c r="OLE56" s="113"/>
      <c r="OLF56" s="113"/>
      <c r="OLG56" s="113"/>
      <c r="OLH56" s="113"/>
      <c r="OLI56" s="113"/>
      <c r="OLJ56" s="113"/>
      <c r="OLK56" s="113"/>
      <c r="OLL56" s="113"/>
      <c r="OLM56" s="113"/>
      <c r="OLN56" s="113"/>
      <c r="OLO56" s="113"/>
      <c r="OLP56" s="113"/>
      <c r="OLQ56" s="113"/>
      <c r="OLR56" s="113"/>
      <c r="OLS56" s="113"/>
      <c r="OLT56" s="113"/>
      <c r="OLU56" s="113"/>
      <c r="OLV56" s="113"/>
      <c r="OLW56" s="113"/>
      <c r="OLX56" s="113"/>
      <c r="OLY56" s="113"/>
      <c r="OLZ56" s="113"/>
      <c r="OMA56" s="113"/>
      <c r="OMB56" s="113"/>
      <c r="OMC56" s="113"/>
      <c r="OMD56" s="113"/>
      <c r="OME56" s="113"/>
      <c r="OMF56" s="113"/>
      <c r="OMG56" s="113"/>
      <c r="OMH56" s="113"/>
      <c r="OMI56" s="113"/>
      <c r="OMJ56" s="113"/>
      <c r="OMK56" s="113"/>
      <c r="OML56" s="113"/>
      <c r="OMM56" s="113"/>
      <c r="OMN56" s="113"/>
      <c r="OMO56" s="113"/>
      <c r="OMP56" s="113"/>
      <c r="OMQ56" s="113"/>
      <c r="OMR56" s="113"/>
      <c r="OMS56" s="113"/>
      <c r="OMT56" s="113"/>
      <c r="OMU56" s="113"/>
      <c r="OMV56" s="113"/>
      <c r="OMW56" s="113"/>
      <c r="OMX56" s="113"/>
      <c r="OMY56" s="113"/>
      <c r="OMZ56" s="113"/>
      <c r="ONA56" s="113"/>
      <c r="ONB56" s="113"/>
      <c r="ONC56" s="113"/>
      <c r="OND56" s="113"/>
      <c r="ONE56" s="113"/>
      <c r="ONF56" s="113"/>
      <c r="ONG56" s="113"/>
      <c r="ONH56" s="113"/>
      <c r="ONI56" s="113"/>
      <c r="ONJ56" s="113"/>
      <c r="ONK56" s="113"/>
      <c r="ONL56" s="113"/>
      <c r="ONM56" s="113"/>
      <c r="ONN56" s="113"/>
      <c r="ONO56" s="113"/>
      <c r="ONP56" s="113"/>
      <c r="ONQ56" s="113"/>
      <c r="ONR56" s="113"/>
      <c r="ONS56" s="113"/>
      <c r="ONT56" s="113"/>
      <c r="ONU56" s="113"/>
      <c r="ONV56" s="113"/>
      <c r="ONW56" s="113"/>
      <c r="ONX56" s="113"/>
      <c r="ONY56" s="113"/>
      <c r="ONZ56" s="113"/>
      <c r="OOA56" s="113"/>
      <c r="OOB56" s="113"/>
      <c r="OOC56" s="113"/>
      <c r="OOD56" s="113"/>
      <c r="OOE56" s="113"/>
      <c r="OOF56" s="113"/>
      <c r="OOG56" s="113"/>
      <c r="OOH56" s="113"/>
      <c r="OOI56" s="113"/>
      <c r="OOJ56" s="113"/>
      <c r="OOK56" s="113"/>
      <c r="OOL56" s="113"/>
      <c r="OOM56" s="113"/>
      <c r="OON56" s="113"/>
      <c r="OOO56" s="113"/>
      <c r="OOP56" s="113"/>
      <c r="OOQ56" s="113"/>
      <c r="OOR56" s="113"/>
      <c r="OOS56" s="113"/>
      <c r="OOT56" s="113"/>
      <c r="OOU56" s="113"/>
      <c r="OOV56" s="113"/>
      <c r="OOW56" s="113"/>
      <c r="OOX56" s="113"/>
      <c r="OOY56" s="113"/>
      <c r="OOZ56" s="113"/>
      <c r="OPA56" s="113"/>
      <c r="OPB56" s="113"/>
      <c r="OPC56" s="113"/>
      <c r="OPD56" s="113"/>
      <c r="OPE56" s="113"/>
      <c r="OPF56" s="113"/>
      <c r="OPG56" s="113"/>
      <c r="OPH56" s="113"/>
      <c r="OPI56" s="113"/>
      <c r="OPJ56" s="113"/>
      <c r="OPK56" s="113"/>
      <c r="OPL56" s="113"/>
      <c r="OPM56" s="113"/>
      <c r="OPN56" s="113"/>
      <c r="OPO56" s="113"/>
      <c r="OPP56" s="113"/>
      <c r="OPQ56" s="113"/>
      <c r="OPR56" s="113"/>
      <c r="OPS56" s="113"/>
      <c r="OPT56" s="113"/>
      <c r="OPU56" s="113"/>
      <c r="OPV56" s="113"/>
      <c r="OPW56" s="113"/>
      <c r="OPX56" s="113"/>
      <c r="OPY56" s="113"/>
      <c r="OPZ56" s="113"/>
      <c r="OQA56" s="113"/>
      <c r="OQB56" s="113"/>
      <c r="OQC56" s="113"/>
      <c r="OQD56" s="113"/>
      <c r="OQE56" s="113"/>
      <c r="OQF56" s="113"/>
      <c r="OQG56" s="113"/>
      <c r="OQH56" s="113"/>
      <c r="OQI56" s="113"/>
      <c r="OQJ56" s="113"/>
      <c r="OQK56" s="113"/>
      <c r="OQL56" s="113"/>
      <c r="OQM56" s="113"/>
      <c r="OQN56" s="113"/>
      <c r="OQO56" s="113"/>
      <c r="OQP56" s="113"/>
      <c r="OQQ56" s="113"/>
      <c r="OQR56" s="113"/>
      <c r="OQS56" s="113"/>
      <c r="OQT56" s="113"/>
      <c r="OQU56" s="113"/>
      <c r="OQV56" s="113"/>
      <c r="OQW56" s="113"/>
      <c r="OQX56" s="113"/>
      <c r="OQY56" s="113"/>
      <c r="OQZ56" s="113"/>
      <c r="ORA56" s="113"/>
      <c r="ORB56" s="113"/>
      <c r="ORC56" s="113"/>
      <c r="ORD56" s="113"/>
      <c r="ORE56" s="113"/>
      <c r="ORF56" s="113"/>
      <c r="ORG56" s="113"/>
      <c r="ORH56" s="113"/>
      <c r="ORI56" s="113"/>
      <c r="ORJ56" s="113"/>
      <c r="ORK56" s="113"/>
      <c r="ORL56" s="113"/>
      <c r="ORM56" s="113"/>
      <c r="ORN56" s="113"/>
      <c r="ORO56" s="113"/>
      <c r="ORP56" s="113"/>
      <c r="ORQ56" s="113"/>
      <c r="ORR56" s="113"/>
      <c r="ORS56" s="113"/>
      <c r="ORT56" s="113"/>
      <c r="ORU56" s="113"/>
      <c r="ORV56" s="113"/>
      <c r="ORW56" s="113"/>
      <c r="ORX56" s="113"/>
      <c r="ORY56" s="113"/>
      <c r="ORZ56" s="113"/>
      <c r="OSA56" s="113"/>
      <c r="OSB56" s="113"/>
      <c r="OSC56" s="113"/>
      <c r="OSD56" s="113"/>
      <c r="OSE56" s="113"/>
      <c r="OSF56" s="113"/>
      <c r="OSG56" s="113"/>
      <c r="OSH56" s="113"/>
      <c r="OSI56" s="113"/>
      <c r="OSJ56" s="113"/>
      <c r="OSK56" s="113"/>
      <c r="OSL56" s="113"/>
      <c r="OSM56" s="113"/>
      <c r="OSN56" s="113"/>
      <c r="OSO56" s="113"/>
      <c r="OSP56" s="113"/>
      <c r="OSQ56" s="113"/>
      <c r="OSR56" s="113"/>
      <c r="OSS56" s="113"/>
      <c r="OST56" s="113"/>
      <c r="OSU56" s="113"/>
      <c r="OSV56" s="113"/>
      <c r="OSW56" s="113"/>
      <c r="OSX56" s="113"/>
      <c r="OSY56" s="113"/>
      <c r="OSZ56" s="113"/>
      <c r="OTA56" s="113"/>
      <c r="OTB56" s="113"/>
      <c r="OTC56" s="113"/>
      <c r="OTD56" s="113"/>
      <c r="OTE56" s="113"/>
      <c r="OTF56" s="113"/>
      <c r="OTG56" s="113"/>
      <c r="OTH56" s="113"/>
      <c r="OTI56" s="113"/>
      <c r="OTJ56" s="113"/>
      <c r="OTK56" s="113"/>
      <c r="OTL56" s="113"/>
      <c r="OTM56" s="113"/>
      <c r="OTN56" s="113"/>
      <c r="OTO56" s="113"/>
      <c r="OTP56" s="113"/>
      <c r="OTQ56" s="113"/>
      <c r="OTR56" s="113"/>
      <c r="OTS56" s="113"/>
      <c r="OTT56" s="113"/>
      <c r="OTU56" s="113"/>
      <c r="OTV56" s="113"/>
      <c r="OTW56" s="113"/>
      <c r="OTX56" s="113"/>
      <c r="OTY56" s="113"/>
      <c r="OTZ56" s="113"/>
      <c r="OUA56" s="113"/>
      <c r="OUB56" s="113"/>
      <c r="OUC56" s="113"/>
      <c r="OUD56" s="113"/>
      <c r="OUE56" s="113"/>
      <c r="OUF56" s="113"/>
      <c r="OUG56" s="113"/>
      <c r="OUH56" s="113"/>
      <c r="OUI56" s="113"/>
      <c r="OUJ56" s="113"/>
      <c r="OUK56" s="113"/>
      <c r="OUL56" s="113"/>
      <c r="OUM56" s="113"/>
      <c r="OUN56" s="113"/>
      <c r="OUO56" s="113"/>
      <c r="OUP56" s="113"/>
      <c r="OUQ56" s="113"/>
      <c r="OUR56" s="113"/>
      <c r="OUS56" s="113"/>
      <c r="OUT56" s="113"/>
      <c r="OUU56" s="113"/>
      <c r="OUV56" s="113"/>
      <c r="OUW56" s="113"/>
      <c r="OUX56" s="113"/>
      <c r="OUY56" s="113"/>
      <c r="OUZ56" s="113"/>
      <c r="OVA56" s="113"/>
      <c r="OVB56" s="113"/>
      <c r="OVC56" s="113"/>
      <c r="OVD56" s="113"/>
      <c r="OVE56" s="113"/>
      <c r="OVF56" s="113"/>
      <c r="OVG56" s="113"/>
      <c r="OVH56" s="113"/>
      <c r="OVI56" s="113"/>
      <c r="OVJ56" s="113"/>
      <c r="OVK56" s="113"/>
      <c r="OVL56" s="113"/>
      <c r="OVM56" s="113"/>
      <c r="OVN56" s="113"/>
      <c r="OVO56" s="113"/>
      <c r="OVP56" s="113"/>
      <c r="OVQ56" s="113"/>
      <c r="OVR56" s="113"/>
      <c r="OVS56" s="113"/>
      <c r="OVT56" s="113"/>
      <c r="OVU56" s="113"/>
      <c r="OVV56" s="113"/>
      <c r="OVW56" s="113"/>
      <c r="OVX56" s="113"/>
      <c r="OVY56" s="113"/>
      <c r="OVZ56" s="113"/>
      <c r="OWA56" s="113"/>
      <c r="OWB56" s="113"/>
      <c r="OWC56" s="113"/>
      <c r="OWD56" s="113"/>
      <c r="OWE56" s="113"/>
      <c r="OWF56" s="113"/>
      <c r="OWG56" s="113"/>
      <c r="OWH56" s="113"/>
      <c r="OWI56" s="113"/>
      <c r="OWJ56" s="113"/>
      <c r="OWK56" s="113"/>
      <c r="OWL56" s="113"/>
      <c r="OWM56" s="113"/>
      <c r="OWN56" s="113"/>
      <c r="OWO56" s="113"/>
      <c r="OWP56" s="113"/>
      <c r="OWQ56" s="113"/>
      <c r="OWR56" s="113"/>
      <c r="OWS56" s="113"/>
      <c r="OWT56" s="113"/>
      <c r="OWU56" s="113"/>
      <c r="OWV56" s="113"/>
      <c r="OWW56" s="113"/>
      <c r="OWX56" s="113"/>
      <c r="OWY56" s="113"/>
      <c r="OWZ56" s="113"/>
      <c r="OXA56" s="113"/>
      <c r="OXB56" s="113"/>
      <c r="OXC56" s="113"/>
      <c r="OXD56" s="113"/>
      <c r="OXE56" s="113"/>
      <c r="OXF56" s="113"/>
      <c r="OXG56" s="113"/>
      <c r="OXH56" s="113"/>
      <c r="OXI56" s="113"/>
      <c r="OXJ56" s="113"/>
      <c r="OXK56" s="113"/>
      <c r="OXL56" s="113"/>
      <c r="OXM56" s="113"/>
      <c r="OXN56" s="113"/>
      <c r="OXO56" s="113"/>
      <c r="OXP56" s="113"/>
      <c r="OXQ56" s="113"/>
      <c r="OXR56" s="113"/>
      <c r="OXS56" s="113"/>
      <c r="OXT56" s="113"/>
      <c r="OXU56" s="113"/>
      <c r="OXV56" s="113"/>
      <c r="OXW56" s="113"/>
      <c r="OXX56" s="113"/>
      <c r="OXY56" s="113"/>
      <c r="OXZ56" s="113"/>
      <c r="OYA56" s="113"/>
      <c r="OYB56" s="113"/>
      <c r="OYC56" s="113"/>
      <c r="OYD56" s="113"/>
      <c r="OYE56" s="113"/>
      <c r="OYF56" s="113"/>
      <c r="OYG56" s="113"/>
      <c r="OYH56" s="113"/>
      <c r="OYI56" s="113"/>
      <c r="OYJ56" s="113"/>
      <c r="OYK56" s="113"/>
      <c r="OYL56" s="113"/>
      <c r="OYM56" s="113"/>
      <c r="OYN56" s="113"/>
      <c r="OYO56" s="113"/>
      <c r="OYP56" s="113"/>
      <c r="OYQ56" s="113"/>
      <c r="OYR56" s="113"/>
      <c r="OYS56" s="113"/>
      <c r="OYT56" s="113"/>
      <c r="OYU56" s="113"/>
      <c r="OYV56" s="113"/>
      <c r="OYW56" s="113"/>
      <c r="OYX56" s="113"/>
      <c r="OYY56" s="113"/>
      <c r="OYZ56" s="113"/>
      <c r="OZA56" s="113"/>
      <c r="OZB56" s="113"/>
      <c r="OZC56" s="113"/>
      <c r="OZD56" s="113"/>
      <c r="OZE56" s="113"/>
      <c r="OZF56" s="113"/>
      <c r="OZG56" s="113"/>
      <c r="OZH56" s="113"/>
      <c r="OZI56" s="113"/>
      <c r="OZJ56" s="113"/>
      <c r="OZK56" s="113"/>
      <c r="OZL56" s="113"/>
      <c r="OZM56" s="113"/>
      <c r="OZN56" s="113"/>
      <c r="OZO56" s="113"/>
      <c r="OZP56" s="113"/>
      <c r="OZQ56" s="113"/>
      <c r="OZR56" s="113"/>
      <c r="OZS56" s="113"/>
      <c r="OZT56" s="113"/>
      <c r="OZU56" s="113"/>
      <c r="OZV56" s="113"/>
      <c r="OZW56" s="113"/>
      <c r="OZX56" s="113"/>
      <c r="OZY56" s="113"/>
      <c r="OZZ56" s="113"/>
      <c r="PAA56" s="113"/>
      <c r="PAB56" s="113"/>
      <c r="PAC56" s="113"/>
      <c r="PAD56" s="113"/>
      <c r="PAE56" s="113"/>
      <c r="PAF56" s="113"/>
      <c r="PAG56" s="113"/>
      <c r="PAH56" s="113"/>
      <c r="PAI56" s="113"/>
      <c r="PAJ56" s="113"/>
      <c r="PAK56" s="113"/>
      <c r="PAL56" s="113"/>
      <c r="PAM56" s="113"/>
      <c r="PAN56" s="113"/>
      <c r="PAO56" s="113"/>
      <c r="PAP56" s="113"/>
      <c r="PAQ56" s="113"/>
      <c r="PAR56" s="113"/>
      <c r="PAS56" s="113"/>
      <c r="PAT56" s="113"/>
      <c r="PAU56" s="113"/>
      <c r="PAV56" s="113"/>
      <c r="PAW56" s="113"/>
      <c r="PAX56" s="113"/>
      <c r="PAY56" s="113"/>
      <c r="PAZ56" s="113"/>
      <c r="PBA56" s="113"/>
      <c r="PBB56" s="113"/>
      <c r="PBC56" s="113"/>
      <c r="PBD56" s="113"/>
      <c r="PBE56" s="113"/>
      <c r="PBF56" s="113"/>
      <c r="PBG56" s="113"/>
      <c r="PBH56" s="113"/>
      <c r="PBI56" s="113"/>
      <c r="PBJ56" s="113"/>
      <c r="PBK56" s="113"/>
      <c r="PBL56" s="113"/>
      <c r="PBM56" s="113"/>
      <c r="PBN56" s="113"/>
      <c r="PBO56" s="113"/>
      <c r="PBP56" s="113"/>
      <c r="PBQ56" s="113"/>
      <c r="PBR56" s="113"/>
      <c r="PBS56" s="113"/>
      <c r="PBT56" s="113"/>
      <c r="PBU56" s="113"/>
      <c r="PBV56" s="113"/>
      <c r="PBW56" s="113"/>
      <c r="PBX56" s="113"/>
      <c r="PBY56" s="113"/>
      <c r="PBZ56" s="113"/>
      <c r="PCA56" s="113"/>
      <c r="PCB56" s="113"/>
      <c r="PCC56" s="113"/>
      <c r="PCD56" s="113"/>
      <c r="PCE56" s="113"/>
      <c r="PCF56" s="113"/>
      <c r="PCG56" s="113"/>
      <c r="PCH56" s="113"/>
      <c r="PCI56" s="113"/>
      <c r="PCJ56" s="113"/>
      <c r="PCK56" s="113"/>
      <c r="PCL56" s="113"/>
      <c r="PCM56" s="113"/>
      <c r="PCN56" s="113"/>
      <c r="PCO56" s="113"/>
      <c r="PCP56" s="113"/>
      <c r="PCQ56" s="113"/>
      <c r="PCR56" s="113"/>
      <c r="PCS56" s="113"/>
      <c r="PCT56" s="113"/>
      <c r="PCU56" s="113"/>
      <c r="PCV56" s="113"/>
      <c r="PCW56" s="113"/>
      <c r="PCX56" s="113"/>
      <c r="PCY56" s="113"/>
      <c r="PCZ56" s="113"/>
      <c r="PDA56" s="113"/>
      <c r="PDB56" s="113"/>
      <c r="PDC56" s="113"/>
      <c r="PDD56" s="113"/>
      <c r="PDE56" s="113"/>
      <c r="PDF56" s="113"/>
      <c r="PDG56" s="113"/>
      <c r="PDH56" s="113"/>
      <c r="PDI56" s="113"/>
      <c r="PDJ56" s="113"/>
      <c r="PDK56" s="113"/>
      <c r="PDL56" s="113"/>
      <c r="PDM56" s="113"/>
      <c r="PDN56" s="113"/>
      <c r="PDO56" s="113"/>
      <c r="PDP56" s="113"/>
      <c r="PDQ56" s="113"/>
      <c r="PDR56" s="113"/>
      <c r="PDS56" s="113"/>
      <c r="PDT56" s="113"/>
      <c r="PDU56" s="113"/>
      <c r="PDV56" s="113"/>
      <c r="PDW56" s="113"/>
      <c r="PDX56" s="113"/>
      <c r="PDY56" s="113"/>
      <c r="PDZ56" s="113"/>
      <c r="PEA56" s="113"/>
      <c r="PEB56" s="113"/>
      <c r="PEC56" s="113"/>
      <c r="PED56" s="113"/>
      <c r="PEE56" s="113"/>
      <c r="PEF56" s="113"/>
      <c r="PEG56" s="113"/>
      <c r="PEH56" s="113"/>
      <c r="PEI56" s="113"/>
      <c r="PEJ56" s="113"/>
      <c r="PEK56" s="113"/>
      <c r="PEL56" s="113"/>
      <c r="PEM56" s="113"/>
      <c r="PEN56" s="113"/>
      <c r="PEO56" s="113"/>
      <c r="PEP56" s="113"/>
      <c r="PEQ56" s="113"/>
      <c r="PER56" s="113"/>
      <c r="PES56" s="113"/>
      <c r="PET56" s="113"/>
      <c r="PEU56" s="113"/>
      <c r="PEV56" s="113"/>
      <c r="PEW56" s="113"/>
      <c r="PEX56" s="113"/>
      <c r="PEY56" s="113"/>
      <c r="PEZ56" s="113"/>
      <c r="PFA56" s="113"/>
      <c r="PFB56" s="113"/>
      <c r="PFC56" s="113"/>
      <c r="PFD56" s="113"/>
      <c r="PFE56" s="113"/>
      <c r="PFF56" s="113"/>
      <c r="PFG56" s="113"/>
      <c r="PFH56" s="113"/>
      <c r="PFI56" s="113"/>
      <c r="PFJ56" s="113"/>
      <c r="PFK56" s="113"/>
      <c r="PFL56" s="113"/>
      <c r="PFM56" s="113"/>
      <c r="PFN56" s="113"/>
      <c r="PFO56" s="113"/>
      <c r="PFP56" s="113"/>
      <c r="PFQ56" s="113"/>
      <c r="PFR56" s="113"/>
      <c r="PFS56" s="113"/>
      <c r="PFT56" s="113"/>
      <c r="PFU56" s="113"/>
      <c r="PFV56" s="113"/>
      <c r="PFW56" s="113"/>
      <c r="PFX56" s="113"/>
      <c r="PFY56" s="113"/>
      <c r="PFZ56" s="113"/>
      <c r="PGA56" s="113"/>
      <c r="PGB56" s="113"/>
      <c r="PGC56" s="113"/>
      <c r="PGD56" s="113"/>
      <c r="PGE56" s="113"/>
      <c r="PGF56" s="113"/>
      <c r="PGG56" s="113"/>
      <c r="PGH56" s="113"/>
      <c r="PGI56" s="113"/>
      <c r="PGJ56" s="113"/>
      <c r="PGK56" s="113"/>
      <c r="PGL56" s="113"/>
      <c r="PGM56" s="113"/>
      <c r="PGN56" s="113"/>
      <c r="PGO56" s="113"/>
      <c r="PGP56" s="113"/>
      <c r="PGQ56" s="113"/>
      <c r="PGR56" s="113"/>
      <c r="PGS56" s="113"/>
      <c r="PGT56" s="113"/>
      <c r="PGU56" s="113"/>
      <c r="PGV56" s="113"/>
      <c r="PGW56" s="113"/>
      <c r="PGX56" s="113"/>
      <c r="PGY56" s="113"/>
      <c r="PGZ56" s="113"/>
      <c r="PHA56" s="113"/>
      <c r="PHB56" s="113"/>
      <c r="PHC56" s="113"/>
      <c r="PHD56" s="113"/>
      <c r="PHE56" s="113"/>
      <c r="PHF56" s="113"/>
      <c r="PHG56" s="113"/>
      <c r="PHH56" s="113"/>
      <c r="PHI56" s="113"/>
      <c r="PHJ56" s="113"/>
      <c r="PHK56" s="113"/>
      <c r="PHL56" s="113"/>
      <c r="PHM56" s="113"/>
      <c r="PHN56" s="113"/>
      <c r="PHO56" s="113"/>
      <c r="PHP56" s="113"/>
      <c r="PHQ56" s="113"/>
      <c r="PHR56" s="113"/>
      <c r="PHS56" s="113"/>
      <c r="PHT56" s="113"/>
      <c r="PHU56" s="113"/>
      <c r="PHV56" s="113"/>
      <c r="PHW56" s="113"/>
      <c r="PHX56" s="113"/>
      <c r="PHY56" s="113"/>
      <c r="PHZ56" s="113"/>
      <c r="PIA56" s="113"/>
      <c r="PIB56" s="113"/>
      <c r="PIC56" s="113"/>
      <c r="PID56" s="113"/>
      <c r="PIE56" s="113"/>
      <c r="PIF56" s="113"/>
      <c r="PIG56" s="113"/>
      <c r="PIH56" s="113"/>
      <c r="PII56" s="113"/>
      <c r="PIJ56" s="113"/>
      <c r="PIK56" s="113"/>
      <c r="PIL56" s="113"/>
      <c r="PIM56" s="113"/>
      <c r="PIN56" s="113"/>
      <c r="PIO56" s="113"/>
      <c r="PIP56" s="113"/>
      <c r="PIQ56" s="113"/>
      <c r="PIR56" s="113"/>
      <c r="PIS56" s="113"/>
      <c r="PIT56" s="113"/>
      <c r="PIU56" s="113"/>
      <c r="PIV56" s="113"/>
      <c r="PIW56" s="113"/>
      <c r="PIX56" s="113"/>
      <c r="PIY56" s="113"/>
      <c r="PIZ56" s="113"/>
      <c r="PJA56" s="113"/>
      <c r="PJB56" s="113"/>
      <c r="PJC56" s="113"/>
      <c r="PJD56" s="113"/>
      <c r="PJE56" s="113"/>
      <c r="PJF56" s="113"/>
      <c r="PJG56" s="113"/>
      <c r="PJH56" s="113"/>
      <c r="PJI56" s="113"/>
      <c r="PJJ56" s="113"/>
      <c r="PJK56" s="113"/>
      <c r="PJL56" s="113"/>
      <c r="PJM56" s="113"/>
      <c r="PJN56" s="113"/>
      <c r="PJO56" s="113"/>
      <c r="PJP56" s="113"/>
      <c r="PJQ56" s="113"/>
      <c r="PJR56" s="113"/>
      <c r="PJS56" s="113"/>
      <c r="PJT56" s="113"/>
      <c r="PJU56" s="113"/>
      <c r="PJV56" s="113"/>
      <c r="PJW56" s="113"/>
      <c r="PJX56" s="113"/>
      <c r="PJY56" s="113"/>
      <c r="PJZ56" s="113"/>
      <c r="PKA56" s="113"/>
      <c r="PKB56" s="113"/>
      <c r="PKC56" s="113"/>
      <c r="PKD56" s="113"/>
      <c r="PKE56" s="113"/>
      <c r="PKF56" s="113"/>
      <c r="PKG56" s="113"/>
      <c r="PKH56" s="113"/>
      <c r="PKI56" s="113"/>
      <c r="PKJ56" s="113"/>
      <c r="PKK56" s="113"/>
      <c r="PKL56" s="113"/>
      <c r="PKM56" s="113"/>
      <c r="PKN56" s="113"/>
      <c r="PKO56" s="113"/>
      <c r="PKP56" s="113"/>
      <c r="PKQ56" s="113"/>
      <c r="PKR56" s="113"/>
      <c r="PKS56" s="113"/>
      <c r="PKT56" s="113"/>
      <c r="PKU56" s="113"/>
      <c r="PKV56" s="113"/>
      <c r="PKW56" s="113"/>
      <c r="PKX56" s="113"/>
      <c r="PKY56" s="113"/>
      <c r="PKZ56" s="113"/>
      <c r="PLA56" s="113"/>
      <c r="PLB56" s="113"/>
      <c r="PLC56" s="113"/>
      <c r="PLD56" s="113"/>
      <c r="PLE56" s="113"/>
      <c r="PLF56" s="113"/>
      <c r="PLG56" s="113"/>
      <c r="PLH56" s="113"/>
      <c r="PLI56" s="113"/>
      <c r="PLJ56" s="113"/>
      <c r="PLK56" s="113"/>
      <c r="PLL56" s="113"/>
      <c r="PLM56" s="113"/>
      <c r="PLN56" s="113"/>
      <c r="PLO56" s="113"/>
      <c r="PLP56" s="113"/>
      <c r="PLQ56" s="113"/>
      <c r="PLR56" s="113"/>
      <c r="PLS56" s="113"/>
      <c r="PLT56" s="113"/>
      <c r="PLU56" s="113"/>
      <c r="PLV56" s="113"/>
      <c r="PLW56" s="113"/>
      <c r="PLX56" s="113"/>
      <c r="PLY56" s="113"/>
      <c r="PLZ56" s="113"/>
      <c r="PMA56" s="113"/>
      <c r="PMB56" s="113"/>
      <c r="PMC56" s="113"/>
      <c r="PMD56" s="113"/>
      <c r="PME56" s="113"/>
      <c r="PMF56" s="113"/>
      <c r="PMG56" s="113"/>
      <c r="PMH56" s="113"/>
      <c r="PMI56" s="113"/>
      <c r="PMJ56" s="113"/>
      <c r="PMK56" s="113"/>
      <c r="PML56" s="113"/>
      <c r="PMM56" s="113"/>
      <c r="PMN56" s="113"/>
      <c r="PMO56" s="113"/>
      <c r="PMP56" s="113"/>
      <c r="PMQ56" s="113"/>
      <c r="PMR56" s="113"/>
      <c r="PMS56" s="113"/>
      <c r="PMT56" s="113"/>
      <c r="PMU56" s="113"/>
      <c r="PMV56" s="113"/>
      <c r="PMW56" s="113"/>
      <c r="PMX56" s="113"/>
      <c r="PMY56" s="113"/>
      <c r="PMZ56" s="113"/>
      <c r="PNA56" s="113"/>
      <c r="PNB56" s="113"/>
      <c r="PNC56" s="113"/>
      <c r="PND56" s="113"/>
      <c r="PNE56" s="113"/>
      <c r="PNF56" s="113"/>
      <c r="PNG56" s="113"/>
      <c r="PNH56" s="113"/>
      <c r="PNI56" s="113"/>
      <c r="PNJ56" s="113"/>
      <c r="PNK56" s="113"/>
      <c r="PNL56" s="113"/>
      <c r="PNM56" s="113"/>
      <c r="PNN56" s="113"/>
      <c r="PNO56" s="113"/>
      <c r="PNP56" s="113"/>
      <c r="PNQ56" s="113"/>
      <c r="PNR56" s="113"/>
      <c r="PNS56" s="113"/>
      <c r="PNT56" s="113"/>
      <c r="PNU56" s="113"/>
      <c r="PNV56" s="113"/>
      <c r="PNW56" s="113"/>
      <c r="PNX56" s="113"/>
      <c r="PNY56" s="113"/>
      <c r="PNZ56" s="113"/>
      <c r="POA56" s="113"/>
      <c r="POB56" s="113"/>
      <c r="POC56" s="113"/>
      <c r="POD56" s="113"/>
      <c r="POE56" s="113"/>
      <c r="POF56" s="113"/>
      <c r="POG56" s="113"/>
      <c r="POH56" s="113"/>
      <c r="POI56" s="113"/>
      <c r="POJ56" s="113"/>
      <c r="POK56" s="113"/>
      <c r="POL56" s="113"/>
      <c r="POM56" s="113"/>
      <c r="PON56" s="113"/>
      <c r="POO56" s="113"/>
      <c r="POP56" s="113"/>
      <c r="POQ56" s="113"/>
      <c r="POR56" s="113"/>
      <c r="POS56" s="113"/>
      <c r="POT56" s="113"/>
      <c r="POU56" s="113"/>
      <c r="POV56" s="113"/>
      <c r="POW56" s="113"/>
      <c r="POX56" s="113"/>
      <c r="POY56" s="113"/>
      <c r="POZ56" s="113"/>
      <c r="PPA56" s="113"/>
      <c r="PPB56" s="113"/>
      <c r="PPC56" s="113"/>
      <c r="PPD56" s="113"/>
      <c r="PPE56" s="113"/>
      <c r="PPF56" s="113"/>
      <c r="PPG56" s="113"/>
      <c r="PPH56" s="113"/>
      <c r="PPI56" s="113"/>
      <c r="PPJ56" s="113"/>
      <c r="PPK56" s="113"/>
      <c r="PPL56" s="113"/>
      <c r="PPM56" s="113"/>
      <c r="PPN56" s="113"/>
      <c r="PPO56" s="113"/>
      <c r="PPP56" s="113"/>
      <c r="PPQ56" s="113"/>
      <c r="PPR56" s="113"/>
      <c r="PPS56" s="113"/>
      <c r="PPT56" s="113"/>
      <c r="PPU56" s="113"/>
      <c r="PPV56" s="113"/>
      <c r="PPW56" s="113"/>
      <c r="PPX56" s="113"/>
      <c r="PPY56" s="113"/>
      <c r="PPZ56" s="113"/>
      <c r="PQA56" s="113"/>
      <c r="PQB56" s="113"/>
      <c r="PQC56" s="113"/>
      <c r="PQD56" s="113"/>
      <c r="PQE56" s="113"/>
      <c r="PQF56" s="113"/>
      <c r="PQG56" s="113"/>
      <c r="PQH56" s="113"/>
      <c r="PQI56" s="113"/>
      <c r="PQJ56" s="113"/>
      <c r="PQK56" s="113"/>
      <c r="PQL56" s="113"/>
      <c r="PQM56" s="113"/>
      <c r="PQN56" s="113"/>
      <c r="PQO56" s="113"/>
      <c r="PQP56" s="113"/>
      <c r="PQQ56" s="113"/>
      <c r="PQR56" s="113"/>
      <c r="PQS56" s="113"/>
      <c r="PQT56" s="113"/>
      <c r="PQU56" s="113"/>
      <c r="PQV56" s="113"/>
      <c r="PQW56" s="113"/>
      <c r="PQX56" s="113"/>
      <c r="PQY56" s="113"/>
      <c r="PQZ56" s="113"/>
      <c r="PRA56" s="113"/>
      <c r="PRB56" s="113"/>
      <c r="PRC56" s="113"/>
      <c r="PRD56" s="113"/>
      <c r="PRE56" s="113"/>
      <c r="PRF56" s="113"/>
      <c r="PRG56" s="113"/>
      <c r="PRH56" s="113"/>
      <c r="PRI56" s="113"/>
      <c r="PRJ56" s="113"/>
      <c r="PRK56" s="113"/>
      <c r="PRL56" s="113"/>
      <c r="PRM56" s="113"/>
      <c r="PRN56" s="113"/>
      <c r="PRO56" s="113"/>
      <c r="PRP56" s="113"/>
      <c r="PRQ56" s="113"/>
      <c r="PRR56" s="113"/>
      <c r="PRS56" s="113"/>
      <c r="PRT56" s="113"/>
      <c r="PRU56" s="113"/>
      <c r="PRV56" s="113"/>
      <c r="PRW56" s="113"/>
      <c r="PRX56" s="113"/>
      <c r="PRY56" s="113"/>
      <c r="PRZ56" s="113"/>
      <c r="PSA56" s="113"/>
      <c r="PSB56" s="113"/>
      <c r="PSC56" s="113"/>
      <c r="PSD56" s="113"/>
      <c r="PSE56" s="113"/>
      <c r="PSF56" s="113"/>
      <c r="PSG56" s="113"/>
      <c r="PSH56" s="113"/>
      <c r="PSI56" s="113"/>
      <c r="PSJ56" s="113"/>
      <c r="PSK56" s="113"/>
      <c r="PSL56" s="113"/>
      <c r="PSM56" s="113"/>
      <c r="PSN56" s="113"/>
      <c r="PSO56" s="113"/>
      <c r="PSP56" s="113"/>
      <c r="PSQ56" s="113"/>
      <c r="PSR56" s="113"/>
      <c r="PSS56" s="113"/>
      <c r="PST56" s="113"/>
      <c r="PSU56" s="113"/>
      <c r="PSV56" s="113"/>
      <c r="PSW56" s="113"/>
      <c r="PSX56" s="113"/>
      <c r="PSY56" s="113"/>
      <c r="PSZ56" s="113"/>
      <c r="PTA56" s="113"/>
      <c r="PTB56" s="113"/>
      <c r="PTC56" s="113"/>
      <c r="PTD56" s="113"/>
      <c r="PTE56" s="113"/>
      <c r="PTF56" s="113"/>
      <c r="PTG56" s="113"/>
      <c r="PTH56" s="113"/>
      <c r="PTI56" s="113"/>
      <c r="PTJ56" s="113"/>
      <c r="PTK56" s="113"/>
      <c r="PTL56" s="113"/>
      <c r="PTM56" s="113"/>
      <c r="PTN56" s="113"/>
      <c r="PTO56" s="113"/>
      <c r="PTP56" s="113"/>
      <c r="PTQ56" s="113"/>
      <c r="PTR56" s="113"/>
      <c r="PTS56" s="113"/>
      <c r="PTT56" s="113"/>
      <c r="PTU56" s="113"/>
      <c r="PTV56" s="113"/>
      <c r="PTW56" s="113"/>
      <c r="PTX56" s="113"/>
      <c r="PTY56" s="113"/>
      <c r="PTZ56" s="113"/>
      <c r="PUA56" s="113"/>
      <c r="PUB56" s="113"/>
      <c r="PUC56" s="113"/>
      <c r="PUD56" s="113"/>
      <c r="PUE56" s="113"/>
      <c r="PUF56" s="113"/>
      <c r="PUG56" s="113"/>
      <c r="PUH56" s="113"/>
      <c r="PUI56" s="113"/>
      <c r="PUJ56" s="113"/>
      <c r="PUK56" s="113"/>
      <c r="PUL56" s="113"/>
      <c r="PUM56" s="113"/>
      <c r="PUN56" s="113"/>
      <c r="PUO56" s="113"/>
      <c r="PUP56" s="113"/>
      <c r="PUQ56" s="113"/>
      <c r="PUR56" s="113"/>
      <c r="PUS56" s="113"/>
      <c r="PUT56" s="113"/>
      <c r="PUU56" s="113"/>
      <c r="PUV56" s="113"/>
      <c r="PUW56" s="113"/>
      <c r="PUX56" s="113"/>
      <c r="PUY56" s="113"/>
      <c r="PUZ56" s="113"/>
      <c r="PVA56" s="113"/>
      <c r="PVB56" s="113"/>
      <c r="PVC56" s="113"/>
      <c r="PVD56" s="113"/>
      <c r="PVE56" s="113"/>
      <c r="PVF56" s="113"/>
      <c r="PVG56" s="113"/>
      <c r="PVH56" s="113"/>
      <c r="PVI56" s="113"/>
      <c r="PVJ56" s="113"/>
      <c r="PVK56" s="113"/>
      <c r="PVL56" s="113"/>
      <c r="PVM56" s="113"/>
      <c r="PVN56" s="113"/>
      <c r="PVO56" s="113"/>
      <c r="PVP56" s="113"/>
      <c r="PVQ56" s="113"/>
      <c r="PVR56" s="113"/>
      <c r="PVS56" s="113"/>
      <c r="PVT56" s="113"/>
      <c r="PVU56" s="113"/>
      <c r="PVV56" s="113"/>
      <c r="PVW56" s="113"/>
      <c r="PVX56" s="113"/>
      <c r="PVY56" s="113"/>
      <c r="PVZ56" s="113"/>
      <c r="PWA56" s="113"/>
      <c r="PWB56" s="113"/>
      <c r="PWC56" s="113"/>
      <c r="PWD56" s="113"/>
      <c r="PWE56" s="113"/>
      <c r="PWF56" s="113"/>
      <c r="PWG56" s="113"/>
      <c r="PWH56" s="113"/>
      <c r="PWI56" s="113"/>
      <c r="PWJ56" s="113"/>
      <c r="PWK56" s="113"/>
      <c r="PWL56" s="113"/>
      <c r="PWM56" s="113"/>
      <c r="PWN56" s="113"/>
      <c r="PWO56" s="113"/>
      <c r="PWP56" s="113"/>
      <c r="PWQ56" s="113"/>
      <c r="PWR56" s="113"/>
      <c r="PWS56" s="113"/>
      <c r="PWT56" s="113"/>
      <c r="PWU56" s="113"/>
      <c r="PWV56" s="113"/>
      <c r="PWW56" s="113"/>
      <c r="PWX56" s="113"/>
      <c r="PWY56" s="113"/>
      <c r="PWZ56" s="113"/>
      <c r="PXA56" s="113"/>
      <c r="PXB56" s="113"/>
      <c r="PXC56" s="113"/>
      <c r="PXD56" s="113"/>
      <c r="PXE56" s="113"/>
      <c r="PXF56" s="113"/>
      <c r="PXG56" s="113"/>
      <c r="PXH56" s="113"/>
      <c r="PXI56" s="113"/>
      <c r="PXJ56" s="113"/>
      <c r="PXK56" s="113"/>
      <c r="PXL56" s="113"/>
      <c r="PXM56" s="113"/>
      <c r="PXN56" s="113"/>
      <c r="PXO56" s="113"/>
      <c r="PXP56" s="113"/>
      <c r="PXQ56" s="113"/>
      <c r="PXR56" s="113"/>
      <c r="PXS56" s="113"/>
      <c r="PXT56" s="113"/>
      <c r="PXU56" s="113"/>
      <c r="PXV56" s="113"/>
      <c r="PXW56" s="113"/>
      <c r="PXX56" s="113"/>
      <c r="PXY56" s="113"/>
      <c r="PXZ56" s="113"/>
      <c r="PYA56" s="113"/>
      <c r="PYB56" s="113"/>
      <c r="PYC56" s="113"/>
      <c r="PYD56" s="113"/>
      <c r="PYE56" s="113"/>
      <c r="PYF56" s="113"/>
      <c r="PYG56" s="113"/>
      <c r="PYH56" s="113"/>
      <c r="PYI56" s="113"/>
      <c r="PYJ56" s="113"/>
      <c r="PYK56" s="113"/>
      <c r="PYL56" s="113"/>
      <c r="PYM56" s="113"/>
      <c r="PYN56" s="113"/>
      <c r="PYO56" s="113"/>
      <c r="PYP56" s="113"/>
      <c r="PYQ56" s="113"/>
      <c r="PYR56" s="113"/>
      <c r="PYS56" s="113"/>
      <c r="PYT56" s="113"/>
      <c r="PYU56" s="113"/>
      <c r="PYV56" s="113"/>
      <c r="PYW56" s="113"/>
      <c r="PYX56" s="113"/>
      <c r="PYY56" s="113"/>
      <c r="PYZ56" s="113"/>
      <c r="PZA56" s="113"/>
      <c r="PZB56" s="113"/>
      <c r="PZC56" s="113"/>
      <c r="PZD56" s="113"/>
      <c r="PZE56" s="113"/>
      <c r="PZF56" s="113"/>
      <c r="PZG56" s="113"/>
      <c r="PZH56" s="113"/>
      <c r="PZI56" s="113"/>
      <c r="PZJ56" s="113"/>
      <c r="PZK56" s="113"/>
      <c r="PZL56" s="113"/>
      <c r="PZM56" s="113"/>
      <c r="PZN56" s="113"/>
      <c r="PZO56" s="113"/>
      <c r="PZP56" s="113"/>
      <c r="PZQ56" s="113"/>
      <c r="PZR56" s="113"/>
      <c r="PZS56" s="113"/>
      <c r="PZT56" s="113"/>
      <c r="PZU56" s="113"/>
      <c r="PZV56" s="113"/>
      <c r="PZW56" s="113"/>
      <c r="PZX56" s="113"/>
      <c r="PZY56" s="113"/>
      <c r="PZZ56" s="113"/>
      <c r="QAA56" s="113"/>
      <c r="QAB56" s="113"/>
      <c r="QAC56" s="113"/>
      <c r="QAD56" s="113"/>
      <c r="QAE56" s="113"/>
      <c r="QAF56" s="113"/>
      <c r="QAG56" s="113"/>
      <c r="QAH56" s="113"/>
      <c r="QAI56" s="113"/>
      <c r="QAJ56" s="113"/>
      <c r="QAK56" s="113"/>
      <c r="QAL56" s="113"/>
      <c r="QAM56" s="113"/>
      <c r="QAN56" s="113"/>
      <c r="QAO56" s="113"/>
      <c r="QAP56" s="113"/>
      <c r="QAQ56" s="113"/>
      <c r="QAR56" s="113"/>
      <c r="QAS56" s="113"/>
      <c r="QAT56" s="113"/>
      <c r="QAU56" s="113"/>
      <c r="QAV56" s="113"/>
      <c r="QAW56" s="113"/>
      <c r="QAX56" s="113"/>
      <c r="QAY56" s="113"/>
      <c r="QAZ56" s="113"/>
      <c r="QBA56" s="113"/>
      <c r="QBB56" s="113"/>
      <c r="QBC56" s="113"/>
      <c r="QBD56" s="113"/>
      <c r="QBE56" s="113"/>
      <c r="QBF56" s="113"/>
      <c r="QBG56" s="113"/>
      <c r="QBH56" s="113"/>
      <c r="QBI56" s="113"/>
      <c r="QBJ56" s="113"/>
      <c r="QBK56" s="113"/>
      <c r="QBL56" s="113"/>
      <c r="QBM56" s="113"/>
      <c r="QBN56" s="113"/>
      <c r="QBO56" s="113"/>
      <c r="QBP56" s="113"/>
      <c r="QBQ56" s="113"/>
      <c r="QBR56" s="113"/>
      <c r="QBS56" s="113"/>
      <c r="QBT56" s="113"/>
      <c r="QBU56" s="113"/>
      <c r="QBV56" s="113"/>
      <c r="QBW56" s="113"/>
      <c r="QBX56" s="113"/>
      <c r="QBY56" s="113"/>
      <c r="QBZ56" s="113"/>
      <c r="QCA56" s="113"/>
      <c r="QCB56" s="113"/>
      <c r="QCC56" s="113"/>
      <c r="QCD56" s="113"/>
      <c r="QCE56" s="113"/>
      <c r="QCF56" s="113"/>
      <c r="QCG56" s="113"/>
      <c r="QCH56" s="113"/>
      <c r="QCI56" s="113"/>
      <c r="QCJ56" s="113"/>
      <c r="QCK56" s="113"/>
      <c r="QCL56" s="113"/>
      <c r="QCM56" s="113"/>
      <c r="QCN56" s="113"/>
      <c r="QCO56" s="113"/>
      <c r="QCP56" s="113"/>
      <c r="QCQ56" s="113"/>
      <c r="QCR56" s="113"/>
      <c r="QCS56" s="113"/>
      <c r="QCT56" s="113"/>
      <c r="QCU56" s="113"/>
      <c r="QCV56" s="113"/>
      <c r="QCW56" s="113"/>
      <c r="QCX56" s="113"/>
      <c r="QCY56" s="113"/>
      <c r="QCZ56" s="113"/>
      <c r="QDA56" s="113"/>
      <c r="QDB56" s="113"/>
      <c r="QDC56" s="113"/>
      <c r="QDD56" s="113"/>
      <c r="QDE56" s="113"/>
      <c r="QDF56" s="113"/>
      <c r="QDG56" s="113"/>
      <c r="QDH56" s="113"/>
      <c r="QDI56" s="113"/>
      <c r="QDJ56" s="113"/>
      <c r="QDK56" s="113"/>
      <c r="QDL56" s="113"/>
      <c r="QDM56" s="113"/>
      <c r="QDN56" s="113"/>
      <c r="QDO56" s="113"/>
      <c r="QDP56" s="113"/>
      <c r="QDQ56" s="113"/>
      <c r="QDR56" s="113"/>
      <c r="QDS56" s="113"/>
      <c r="QDT56" s="113"/>
      <c r="QDU56" s="113"/>
      <c r="QDV56" s="113"/>
      <c r="QDW56" s="113"/>
      <c r="QDX56" s="113"/>
      <c r="QDY56" s="113"/>
      <c r="QDZ56" s="113"/>
      <c r="QEA56" s="113"/>
      <c r="QEB56" s="113"/>
      <c r="QEC56" s="113"/>
      <c r="QED56" s="113"/>
      <c r="QEE56" s="113"/>
      <c r="QEF56" s="113"/>
      <c r="QEG56" s="113"/>
      <c r="QEH56" s="113"/>
      <c r="QEI56" s="113"/>
      <c r="QEJ56" s="113"/>
      <c r="QEK56" s="113"/>
      <c r="QEL56" s="113"/>
      <c r="QEM56" s="113"/>
      <c r="QEN56" s="113"/>
      <c r="QEO56" s="113"/>
      <c r="QEP56" s="113"/>
      <c r="QEQ56" s="113"/>
      <c r="QER56" s="113"/>
      <c r="QES56" s="113"/>
      <c r="QET56" s="113"/>
      <c r="QEU56" s="113"/>
      <c r="QEV56" s="113"/>
      <c r="QEW56" s="113"/>
      <c r="QEX56" s="113"/>
      <c r="QEY56" s="113"/>
      <c r="QEZ56" s="113"/>
      <c r="QFA56" s="113"/>
      <c r="QFB56" s="113"/>
      <c r="QFC56" s="113"/>
      <c r="QFD56" s="113"/>
      <c r="QFE56" s="113"/>
      <c r="QFF56" s="113"/>
      <c r="QFG56" s="113"/>
      <c r="QFH56" s="113"/>
      <c r="QFI56" s="113"/>
      <c r="QFJ56" s="113"/>
      <c r="QFK56" s="113"/>
      <c r="QFL56" s="113"/>
      <c r="QFM56" s="113"/>
      <c r="QFN56" s="113"/>
      <c r="QFO56" s="113"/>
      <c r="QFP56" s="113"/>
      <c r="QFQ56" s="113"/>
      <c r="QFR56" s="113"/>
      <c r="QFS56" s="113"/>
      <c r="QFT56" s="113"/>
      <c r="QFU56" s="113"/>
      <c r="QFV56" s="113"/>
      <c r="QFW56" s="113"/>
      <c r="QFX56" s="113"/>
      <c r="QFY56" s="113"/>
      <c r="QFZ56" s="113"/>
      <c r="QGA56" s="113"/>
      <c r="QGB56" s="113"/>
      <c r="QGC56" s="113"/>
      <c r="QGD56" s="113"/>
      <c r="QGE56" s="113"/>
      <c r="QGF56" s="113"/>
      <c r="QGG56" s="113"/>
      <c r="QGH56" s="113"/>
      <c r="QGI56" s="113"/>
      <c r="QGJ56" s="113"/>
      <c r="QGK56" s="113"/>
      <c r="QGL56" s="113"/>
      <c r="QGM56" s="113"/>
      <c r="QGN56" s="113"/>
      <c r="QGO56" s="113"/>
      <c r="QGP56" s="113"/>
      <c r="QGQ56" s="113"/>
      <c r="QGR56" s="113"/>
      <c r="QGS56" s="113"/>
      <c r="QGT56" s="113"/>
      <c r="QGU56" s="113"/>
      <c r="QGV56" s="113"/>
      <c r="QGW56" s="113"/>
      <c r="QGX56" s="113"/>
      <c r="QGY56" s="113"/>
      <c r="QGZ56" s="113"/>
      <c r="QHA56" s="113"/>
      <c r="QHB56" s="113"/>
      <c r="QHC56" s="113"/>
      <c r="QHD56" s="113"/>
      <c r="QHE56" s="113"/>
      <c r="QHF56" s="113"/>
      <c r="QHG56" s="113"/>
      <c r="QHH56" s="113"/>
      <c r="QHI56" s="113"/>
      <c r="QHJ56" s="113"/>
      <c r="QHK56" s="113"/>
      <c r="QHL56" s="113"/>
      <c r="QHM56" s="113"/>
      <c r="QHN56" s="113"/>
      <c r="QHO56" s="113"/>
      <c r="QHP56" s="113"/>
      <c r="QHQ56" s="113"/>
      <c r="QHR56" s="113"/>
      <c r="QHS56" s="113"/>
      <c r="QHT56" s="113"/>
      <c r="QHU56" s="113"/>
      <c r="QHV56" s="113"/>
      <c r="QHW56" s="113"/>
      <c r="QHX56" s="113"/>
      <c r="QHY56" s="113"/>
      <c r="QHZ56" s="113"/>
      <c r="QIA56" s="113"/>
      <c r="QIB56" s="113"/>
      <c r="QIC56" s="113"/>
      <c r="QID56" s="113"/>
      <c r="QIE56" s="113"/>
      <c r="QIF56" s="113"/>
      <c r="QIG56" s="113"/>
      <c r="QIH56" s="113"/>
      <c r="QII56" s="113"/>
      <c r="QIJ56" s="113"/>
      <c r="QIK56" s="113"/>
      <c r="QIL56" s="113"/>
      <c r="QIM56" s="113"/>
      <c r="QIN56" s="113"/>
      <c r="QIO56" s="113"/>
      <c r="QIP56" s="113"/>
      <c r="QIQ56" s="113"/>
      <c r="QIR56" s="113"/>
      <c r="QIS56" s="113"/>
      <c r="QIT56" s="113"/>
      <c r="QIU56" s="113"/>
      <c r="QIV56" s="113"/>
      <c r="QIW56" s="113"/>
      <c r="QIX56" s="113"/>
      <c r="QIY56" s="113"/>
      <c r="QIZ56" s="113"/>
      <c r="QJA56" s="113"/>
      <c r="QJB56" s="113"/>
      <c r="QJC56" s="113"/>
      <c r="QJD56" s="113"/>
      <c r="QJE56" s="113"/>
      <c r="QJF56" s="113"/>
      <c r="QJG56" s="113"/>
      <c r="QJH56" s="113"/>
      <c r="QJI56" s="113"/>
      <c r="QJJ56" s="113"/>
      <c r="QJK56" s="113"/>
      <c r="QJL56" s="113"/>
      <c r="QJM56" s="113"/>
      <c r="QJN56" s="113"/>
      <c r="QJO56" s="113"/>
      <c r="QJP56" s="113"/>
      <c r="QJQ56" s="113"/>
      <c r="QJR56" s="113"/>
      <c r="QJS56" s="113"/>
      <c r="QJT56" s="113"/>
      <c r="QJU56" s="113"/>
      <c r="QJV56" s="113"/>
      <c r="QJW56" s="113"/>
      <c r="QJX56" s="113"/>
      <c r="QJY56" s="113"/>
      <c r="QJZ56" s="113"/>
      <c r="QKA56" s="113"/>
      <c r="QKB56" s="113"/>
      <c r="QKC56" s="113"/>
      <c r="QKD56" s="113"/>
      <c r="QKE56" s="113"/>
      <c r="QKF56" s="113"/>
      <c r="QKG56" s="113"/>
      <c r="QKH56" s="113"/>
      <c r="QKI56" s="113"/>
      <c r="QKJ56" s="113"/>
      <c r="QKK56" s="113"/>
      <c r="QKL56" s="113"/>
      <c r="QKM56" s="113"/>
      <c r="QKN56" s="113"/>
      <c r="QKO56" s="113"/>
      <c r="QKP56" s="113"/>
      <c r="QKQ56" s="113"/>
      <c r="QKR56" s="113"/>
      <c r="QKS56" s="113"/>
      <c r="QKT56" s="113"/>
      <c r="QKU56" s="113"/>
      <c r="QKV56" s="113"/>
      <c r="QKW56" s="113"/>
      <c r="QKX56" s="113"/>
      <c r="QKY56" s="113"/>
      <c r="QKZ56" s="113"/>
      <c r="QLA56" s="113"/>
      <c r="QLB56" s="113"/>
      <c r="QLC56" s="113"/>
      <c r="QLD56" s="113"/>
      <c r="QLE56" s="113"/>
      <c r="QLF56" s="113"/>
      <c r="QLG56" s="113"/>
      <c r="QLH56" s="113"/>
      <c r="QLI56" s="113"/>
      <c r="QLJ56" s="113"/>
      <c r="QLK56" s="113"/>
      <c r="QLL56" s="113"/>
      <c r="QLM56" s="113"/>
      <c r="QLN56" s="113"/>
      <c r="QLO56" s="113"/>
      <c r="QLP56" s="113"/>
      <c r="QLQ56" s="113"/>
      <c r="QLR56" s="113"/>
      <c r="QLS56" s="113"/>
      <c r="QLT56" s="113"/>
      <c r="QLU56" s="113"/>
      <c r="QLV56" s="113"/>
      <c r="QLW56" s="113"/>
      <c r="QLX56" s="113"/>
      <c r="QLY56" s="113"/>
      <c r="QLZ56" s="113"/>
      <c r="QMA56" s="113"/>
      <c r="QMB56" s="113"/>
      <c r="QMC56" s="113"/>
      <c r="QMD56" s="113"/>
      <c r="QME56" s="113"/>
      <c r="QMF56" s="113"/>
      <c r="QMG56" s="113"/>
      <c r="QMH56" s="113"/>
      <c r="QMI56" s="113"/>
      <c r="QMJ56" s="113"/>
      <c r="QMK56" s="113"/>
      <c r="QML56" s="113"/>
      <c r="QMM56" s="113"/>
      <c r="QMN56" s="113"/>
      <c r="QMO56" s="113"/>
      <c r="QMP56" s="113"/>
      <c r="QMQ56" s="113"/>
      <c r="QMR56" s="113"/>
      <c r="QMS56" s="113"/>
      <c r="QMT56" s="113"/>
      <c r="QMU56" s="113"/>
      <c r="QMV56" s="113"/>
      <c r="QMW56" s="113"/>
      <c r="QMX56" s="113"/>
      <c r="QMY56" s="113"/>
      <c r="QMZ56" s="113"/>
      <c r="QNA56" s="113"/>
      <c r="QNB56" s="113"/>
      <c r="QNC56" s="113"/>
      <c r="QND56" s="113"/>
      <c r="QNE56" s="113"/>
      <c r="QNF56" s="113"/>
      <c r="QNG56" s="113"/>
      <c r="QNH56" s="113"/>
      <c r="QNI56" s="113"/>
      <c r="QNJ56" s="113"/>
      <c r="QNK56" s="113"/>
      <c r="QNL56" s="113"/>
      <c r="QNM56" s="113"/>
      <c r="QNN56" s="113"/>
      <c r="QNO56" s="113"/>
      <c r="QNP56" s="113"/>
      <c r="QNQ56" s="113"/>
      <c r="QNR56" s="113"/>
      <c r="QNS56" s="113"/>
      <c r="QNT56" s="113"/>
      <c r="QNU56" s="113"/>
      <c r="QNV56" s="113"/>
      <c r="QNW56" s="113"/>
      <c r="QNX56" s="113"/>
      <c r="QNY56" s="113"/>
      <c r="QNZ56" s="113"/>
      <c r="QOA56" s="113"/>
      <c r="QOB56" s="113"/>
      <c r="QOC56" s="113"/>
      <c r="QOD56" s="113"/>
      <c r="QOE56" s="113"/>
      <c r="QOF56" s="113"/>
      <c r="QOG56" s="113"/>
      <c r="QOH56" s="113"/>
      <c r="QOI56" s="113"/>
      <c r="QOJ56" s="113"/>
      <c r="QOK56" s="113"/>
      <c r="QOL56" s="113"/>
      <c r="QOM56" s="113"/>
      <c r="QON56" s="113"/>
      <c r="QOO56" s="113"/>
      <c r="QOP56" s="113"/>
      <c r="QOQ56" s="113"/>
      <c r="QOR56" s="113"/>
      <c r="QOS56" s="113"/>
      <c r="QOT56" s="113"/>
      <c r="QOU56" s="113"/>
      <c r="QOV56" s="113"/>
      <c r="QOW56" s="113"/>
      <c r="QOX56" s="113"/>
      <c r="QOY56" s="113"/>
      <c r="QOZ56" s="113"/>
      <c r="QPA56" s="113"/>
      <c r="QPB56" s="113"/>
      <c r="QPC56" s="113"/>
      <c r="QPD56" s="113"/>
      <c r="QPE56" s="113"/>
      <c r="QPF56" s="113"/>
      <c r="QPG56" s="113"/>
      <c r="QPH56" s="113"/>
      <c r="QPI56" s="113"/>
      <c r="QPJ56" s="113"/>
      <c r="QPK56" s="113"/>
      <c r="QPL56" s="113"/>
      <c r="QPM56" s="113"/>
      <c r="QPN56" s="113"/>
      <c r="QPO56" s="113"/>
      <c r="QPP56" s="113"/>
      <c r="QPQ56" s="113"/>
      <c r="QPR56" s="113"/>
      <c r="QPS56" s="113"/>
      <c r="QPT56" s="113"/>
      <c r="QPU56" s="113"/>
      <c r="QPV56" s="113"/>
      <c r="QPW56" s="113"/>
      <c r="QPX56" s="113"/>
      <c r="QPY56" s="113"/>
      <c r="QPZ56" s="113"/>
      <c r="QQA56" s="113"/>
      <c r="QQB56" s="113"/>
      <c r="QQC56" s="113"/>
      <c r="QQD56" s="113"/>
      <c r="QQE56" s="113"/>
      <c r="QQF56" s="113"/>
      <c r="QQG56" s="113"/>
      <c r="QQH56" s="113"/>
      <c r="QQI56" s="113"/>
      <c r="QQJ56" s="113"/>
      <c r="QQK56" s="113"/>
      <c r="QQL56" s="113"/>
      <c r="QQM56" s="113"/>
      <c r="QQN56" s="113"/>
      <c r="QQO56" s="113"/>
      <c r="QQP56" s="113"/>
      <c r="QQQ56" s="113"/>
      <c r="QQR56" s="113"/>
      <c r="QQS56" s="113"/>
      <c r="QQT56" s="113"/>
      <c r="QQU56" s="113"/>
      <c r="QQV56" s="113"/>
      <c r="QQW56" s="113"/>
      <c r="QQX56" s="113"/>
      <c r="QQY56" s="113"/>
      <c r="QQZ56" s="113"/>
      <c r="QRA56" s="113"/>
      <c r="QRB56" s="113"/>
      <c r="QRC56" s="113"/>
      <c r="QRD56" s="113"/>
      <c r="QRE56" s="113"/>
      <c r="QRF56" s="113"/>
      <c r="QRG56" s="113"/>
      <c r="QRH56" s="113"/>
      <c r="QRI56" s="113"/>
      <c r="QRJ56" s="113"/>
      <c r="QRK56" s="113"/>
      <c r="QRL56" s="113"/>
      <c r="QRM56" s="113"/>
      <c r="QRN56" s="113"/>
      <c r="QRO56" s="113"/>
      <c r="QRP56" s="113"/>
      <c r="QRQ56" s="113"/>
      <c r="QRR56" s="113"/>
      <c r="QRS56" s="113"/>
      <c r="QRT56" s="113"/>
      <c r="QRU56" s="113"/>
      <c r="QRV56" s="113"/>
      <c r="QRW56" s="113"/>
      <c r="QRX56" s="113"/>
      <c r="QRY56" s="113"/>
      <c r="QRZ56" s="113"/>
      <c r="QSA56" s="113"/>
      <c r="QSB56" s="113"/>
      <c r="QSC56" s="113"/>
      <c r="QSD56" s="113"/>
      <c r="QSE56" s="113"/>
      <c r="QSF56" s="113"/>
      <c r="QSG56" s="113"/>
      <c r="QSH56" s="113"/>
      <c r="QSI56" s="113"/>
      <c r="QSJ56" s="113"/>
      <c r="QSK56" s="113"/>
      <c r="QSL56" s="113"/>
      <c r="QSM56" s="113"/>
      <c r="QSN56" s="113"/>
      <c r="QSO56" s="113"/>
      <c r="QSP56" s="113"/>
      <c r="QSQ56" s="113"/>
      <c r="QSR56" s="113"/>
      <c r="QSS56" s="113"/>
      <c r="QST56" s="113"/>
      <c r="QSU56" s="113"/>
      <c r="QSV56" s="113"/>
      <c r="QSW56" s="113"/>
      <c r="QSX56" s="113"/>
      <c r="QSY56" s="113"/>
      <c r="QSZ56" s="113"/>
      <c r="QTA56" s="113"/>
      <c r="QTB56" s="113"/>
      <c r="QTC56" s="113"/>
      <c r="QTD56" s="113"/>
      <c r="QTE56" s="113"/>
      <c r="QTF56" s="113"/>
      <c r="QTG56" s="113"/>
      <c r="QTH56" s="113"/>
      <c r="QTI56" s="113"/>
      <c r="QTJ56" s="113"/>
      <c r="QTK56" s="113"/>
      <c r="QTL56" s="113"/>
      <c r="QTM56" s="113"/>
      <c r="QTN56" s="113"/>
      <c r="QTO56" s="113"/>
      <c r="QTP56" s="113"/>
      <c r="QTQ56" s="113"/>
      <c r="QTR56" s="113"/>
      <c r="QTS56" s="113"/>
      <c r="QTT56" s="113"/>
      <c r="QTU56" s="113"/>
      <c r="QTV56" s="113"/>
      <c r="QTW56" s="113"/>
      <c r="QTX56" s="113"/>
      <c r="QTY56" s="113"/>
      <c r="QTZ56" s="113"/>
      <c r="QUA56" s="113"/>
      <c r="QUB56" s="113"/>
      <c r="QUC56" s="113"/>
      <c r="QUD56" s="113"/>
      <c r="QUE56" s="113"/>
      <c r="QUF56" s="113"/>
      <c r="QUG56" s="113"/>
      <c r="QUH56" s="113"/>
      <c r="QUI56" s="113"/>
      <c r="QUJ56" s="113"/>
      <c r="QUK56" s="113"/>
      <c r="QUL56" s="113"/>
      <c r="QUM56" s="113"/>
      <c r="QUN56" s="113"/>
      <c r="QUO56" s="113"/>
      <c r="QUP56" s="113"/>
      <c r="QUQ56" s="113"/>
      <c r="QUR56" s="113"/>
      <c r="QUS56" s="113"/>
      <c r="QUT56" s="113"/>
      <c r="QUU56" s="113"/>
      <c r="QUV56" s="113"/>
      <c r="QUW56" s="113"/>
      <c r="QUX56" s="113"/>
      <c r="QUY56" s="113"/>
      <c r="QUZ56" s="113"/>
      <c r="QVA56" s="113"/>
      <c r="QVB56" s="113"/>
      <c r="QVC56" s="113"/>
      <c r="QVD56" s="113"/>
      <c r="QVE56" s="113"/>
      <c r="QVF56" s="113"/>
      <c r="QVG56" s="113"/>
      <c r="QVH56" s="113"/>
      <c r="QVI56" s="113"/>
      <c r="QVJ56" s="113"/>
      <c r="QVK56" s="113"/>
      <c r="QVL56" s="113"/>
      <c r="QVM56" s="113"/>
      <c r="QVN56" s="113"/>
      <c r="QVO56" s="113"/>
      <c r="QVP56" s="113"/>
      <c r="QVQ56" s="113"/>
      <c r="QVR56" s="113"/>
      <c r="QVS56" s="113"/>
      <c r="QVT56" s="113"/>
      <c r="QVU56" s="113"/>
      <c r="QVV56" s="113"/>
      <c r="QVW56" s="113"/>
      <c r="QVX56" s="113"/>
      <c r="QVY56" s="113"/>
      <c r="QVZ56" s="113"/>
      <c r="QWA56" s="113"/>
      <c r="QWB56" s="113"/>
      <c r="QWC56" s="113"/>
      <c r="QWD56" s="113"/>
      <c r="QWE56" s="113"/>
      <c r="QWF56" s="113"/>
      <c r="QWG56" s="113"/>
      <c r="QWH56" s="113"/>
      <c r="QWI56" s="113"/>
      <c r="QWJ56" s="113"/>
      <c r="QWK56" s="113"/>
      <c r="QWL56" s="113"/>
      <c r="QWM56" s="113"/>
      <c r="QWN56" s="113"/>
      <c r="QWO56" s="113"/>
      <c r="QWP56" s="113"/>
      <c r="QWQ56" s="113"/>
      <c r="QWR56" s="113"/>
      <c r="QWS56" s="113"/>
      <c r="QWT56" s="113"/>
      <c r="QWU56" s="113"/>
      <c r="QWV56" s="113"/>
      <c r="QWW56" s="113"/>
      <c r="QWX56" s="113"/>
      <c r="QWY56" s="113"/>
      <c r="QWZ56" s="113"/>
      <c r="QXA56" s="113"/>
      <c r="QXB56" s="113"/>
      <c r="QXC56" s="113"/>
      <c r="QXD56" s="113"/>
      <c r="QXE56" s="113"/>
      <c r="QXF56" s="113"/>
      <c r="QXG56" s="113"/>
      <c r="QXH56" s="113"/>
      <c r="QXI56" s="113"/>
      <c r="QXJ56" s="113"/>
      <c r="QXK56" s="113"/>
      <c r="QXL56" s="113"/>
      <c r="QXM56" s="113"/>
      <c r="QXN56" s="113"/>
      <c r="QXO56" s="113"/>
      <c r="QXP56" s="113"/>
      <c r="QXQ56" s="113"/>
      <c r="QXR56" s="113"/>
      <c r="QXS56" s="113"/>
      <c r="QXT56" s="113"/>
      <c r="QXU56" s="113"/>
      <c r="QXV56" s="113"/>
      <c r="QXW56" s="113"/>
      <c r="QXX56" s="113"/>
      <c r="QXY56" s="113"/>
      <c r="QXZ56" s="113"/>
      <c r="QYA56" s="113"/>
      <c r="QYB56" s="113"/>
      <c r="QYC56" s="113"/>
      <c r="QYD56" s="113"/>
      <c r="QYE56" s="113"/>
      <c r="QYF56" s="113"/>
      <c r="QYG56" s="113"/>
      <c r="QYH56" s="113"/>
      <c r="QYI56" s="113"/>
      <c r="QYJ56" s="113"/>
      <c r="QYK56" s="113"/>
      <c r="QYL56" s="113"/>
      <c r="QYM56" s="113"/>
      <c r="QYN56" s="113"/>
      <c r="QYO56" s="113"/>
      <c r="QYP56" s="113"/>
      <c r="QYQ56" s="113"/>
      <c r="QYR56" s="113"/>
      <c r="QYS56" s="113"/>
      <c r="QYT56" s="113"/>
      <c r="QYU56" s="113"/>
      <c r="QYV56" s="113"/>
      <c r="QYW56" s="113"/>
      <c r="QYX56" s="113"/>
      <c r="QYY56" s="113"/>
      <c r="QYZ56" s="113"/>
      <c r="QZA56" s="113"/>
      <c r="QZB56" s="113"/>
      <c r="QZC56" s="113"/>
      <c r="QZD56" s="113"/>
      <c r="QZE56" s="113"/>
      <c r="QZF56" s="113"/>
      <c r="QZG56" s="113"/>
      <c r="QZH56" s="113"/>
      <c r="QZI56" s="113"/>
      <c r="QZJ56" s="113"/>
      <c r="QZK56" s="113"/>
      <c r="QZL56" s="113"/>
      <c r="QZM56" s="113"/>
      <c r="QZN56" s="113"/>
      <c r="QZO56" s="113"/>
      <c r="QZP56" s="113"/>
      <c r="QZQ56" s="113"/>
      <c r="QZR56" s="113"/>
      <c r="QZS56" s="113"/>
      <c r="QZT56" s="113"/>
      <c r="QZU56" s="113"/>
      <c r="QZV56" s="113"/>
      <c r="QZW56" s="113"/>
      <c r="QZX56" s="113"/>
      <c r="QZY56" s="113"/>
      <c r="QZZ56" s="113"/>
      <c r="RAA56" s="113"/>
      <c r="RAB56" s="113"/>
      <c r="RAC56" s="113"/>
      <c r="RAD56" s="113"/>
      <c r="RAE56" s="113"/>
      <c r="RAF56" s="113"/>
      <c r="RAG56" s="113"/>
      <c r="RAH56" s="113"/>
      <c r="RAI56" s="113"/>
      <c r="RAJ56" s="113"/>
      <c r="RAK56" s="113"/>
      <c r="RAL56" s="113"/>
      <c r="RAM56" s="113"/>
      <c r="RAN56" s="113"/>
      <c r="RAO56" s="113"/>
      <c r="RAP56" s="113"/>
      <c r="RAQ56" s="113"/>
      <c r="RAR56" s="113"/>
      <c r="RAS56" s="113"/>
      <c r="RAT56" s="113"/>
      <c r="RAU56" s="113"/>
      <c r="RAV56" s="113"/>
      <c r="RAW56" s="113"/>
      <c r="RAX56" s="113"/>
      <c r="RAY56" s="113"/>
      <c r="RAZ56" s="113"/>
      <c r="RBA56" s="113"/>
      <c r="RBB56" s="113"/>
      <c r="RBC56" s="113"/>
      <c r="RBD56" s="113"/>
      <c r="RBE56" s="113"/>
      <c r="RBF56" s="113"/>
      <c r="RBG56" s="113"/>
      <c r="RBH56" s="113"/>
      <c r="RBI56" s="113"/>
      <c r="RBJ56" s="113"/>
      <c r="RBK56" s="113"/>
      <c r="RBL56" s="113"/>
      <c r="RBM56" s="113"/>
      <c r="RBN56" s="113"/>
      <c r="RBO56" s="113"/>
      <c r="RBP56" s="113"/>
      <c r="RBQ56" s="113"/>
      <c r="RBR56" s="113"/>
      <c r="RBS56" s="113"/>
      <c r="RBT56" s="113"/>
      <c r="RBU56" s="113"/>
      <c r="RBV56" s="113"/>
      <c r="RBW56" s="113"/>
      <c r="RBX56" s="113"/>
      <c r="RBY56" s="113"/>
      <c r="RBZ56" s="113"/>
      <c r="RCA56" s="113"/>
      <c r="RCB56" s="113"/>
      <c r="RCC56" s="113"/>
      <c r="RCD56" s="113"/>
      <c r="RCE56" s="113"/>
      <c r="RCF56" s="113"/>
      <c r="RCG56" s="113"/>
      <c r="RCH56" s="113"/>
      <c r="RCI56" s="113"/>
      <c r="RCJ56" s="113"/>
      <c r="RCK56" s="113"/>
      <c r="RCL56" s="113"/>
      <c r="RCM56" s="113"/>
      <c r="RCN56" s="113"/>
      <c r="RCO56" s="113"/>
      <c r="RCP56" s="113"/>
      <c r="RCQ56" s="113"/>
      <c r="RCR56" s="113"/>
      <c r="RCS56" s="113"/>
      <c r="RCT56" s="113"/>
      <c r="RCU56" s="113"/>
      <c r="RCV56" s="113"/>
      <c r="RCW56" s="113"/>
      <c r="RCX56" s="113"/>
      <c r="RCY56" s="113"/>
      <c r="RCZ56" s="113"/>
      <c r="RDA56" s="113"/>
      <c r="RDB56" s="113"/>
      <c r="RDC56" s="113"/>
      <c r="RDD56" s="113"/>
      <c r="RDE56" s="113"/>
      <c r="RDF56" s="113"/>
      <c r="RDG56" s="113"/>
      <c r="RDH56" s="113"/>
      <c r="RDI56" s="113"/>
      <c r="RDJ56" s="113"/>
      <c r="RDK56" s="113"/>
      <c r="RDL56" s="113"/>
      <c r="RDM56" s="113"/>
      <c r="RDN56" s="113"/>
      <c r="RDO56" s="113"/>
      <c r="RDP56" s="113"/>
      <c r="RDQ56" s="113"/>
      <c r="RDR56" s="113"/>
      <c r="RDS56" s="113"/>
      <c r="RDT56" s="113"/>
      <c r="RDU56" s="113"/>
      <c r="RDV56" s="113"/>
      <c r="RDW56" s="113"/>
      <c r="RDX56" s="113"/>
      <c r="RDY56" s="113"/>
      <c r="RDZ56" s="113"/>
      <c r="REA56" s="113"/>
      <c r="REB56" s="113"/>
      <c r="REC56" s="113"/>
      <c r="RED56" s="113"/>
      <c r="REE56" s="113"/>
      <c r="REF56" s="113"/>
      <c r="REG56" s="113"/>
      <c r="REH56" s="113"/>
      <c r="REI56" s="113"/>
      <c r="REJ56" s="113"/>
      <c r="REK56" s="113"/>
      <c r="REL56" s="113"/>
      <c r="REM56" s="113"/>
      <c r="REN56" s="113"/>
      <c r="REO56" s="113"/>
      <c r="REP56" s="113"/>
      <c r="REQ56" s="113"/>
      <c r="RER56" s="113"/>
      <c r="RES56" s="113"/>
      <c r="RET56" s="113"/>
      <c r="REU56" s="113"/>
      <c r="REV56" s="113"/>
      <c r="REW56" s="113"/>
      <c r="REX56" s="113"/>
      <c r="REY56" s="113"/>
      <c r="REZ56" s="113"/>
      <c r="RFA56" s="113"/>
      <c r="RFB56" s="113"/>
      <c r="RFC56" s="113"/>
      <c r="RFD56" s="113"/>
      <c r="RFE56" s="113"/>
      <c r="RFF56" s="113"/>
      <c r="RFG56" s="113"/>
      <c r="RFH56" s="113"/>
      <c r="RFI56" s="113"/>
      <c r="RFJ56" s="113"/>
      <c r="RFK56" s="113"/>
      <c r="RFL56" s="113"/>
      <c r="RFM56" s="113"/>
      <c r="RFN56" s="113"/>
      <c r="RFO56" s="113"/>
      <c r="RFP56" s="113"/>
      <c r="RFQ56" s="113"/>
      <c r="RFR56" s="113"/>
      <c r="RFS56" s="113"/>
      <c r="RFT56" s="113"/>
      <c r="RFU56" s="113"/>
      <c r="RFV56" s="113"/>
      <c r="RFW56" s="113"/>
      <c r="RFX56" s="113"/>
      <c r="RFY56" s="113"/>
      <c r="RFZ56" s="113"/>
      <c r="RGA56" s="113"/>
      <c r="RGB56" s="113"/>
      <c r="RGC56" s="113"/>
      <c r="RGD56" s="113"/>
      <c r="RGE56" s="113"/>
      <c r="RGF56" s="113"/>
      <c r="RGG56" s="113"/>
      <c r="RGH56" s="113"/>
      <c r="RGI56" s="113"/>
      <c r="RGJ56" s="113"/>
      <c r="RGK56" s="113"/>
      <c r="RGL56" s="113"/>
      <c r="RGM56" s="113"/>
      <c r="RGN56" s="113"/>
      <c r="RGO56" s="113"/>
      <c r="RGP56" s="113"/>
      <c r="RGQ56" s="113"/>
      <c r="RGR56" s="113"/>
      <c r="RGS56" s="113"/>
      <c r="RGT56" s="113"/>
      <c r="RGU56" s="113"/>
      <c r="RGV56" s="113"/>
      <c r="RGW56" s="113"/>
      <c r="RGX56" s="113"/>
      <c r="RGY56" s="113"/>
      <c r="RGZ56" s="113"/>
      <c r="RHA56" s="113"/>
      <c r="RHB56" s="113"/>
      <c r="RHC56" s="113"/>
      <c r="RHD56" s="113"/>
      <c r="RHE56" s="113"/>
      <c r="RHF56" s="113"/>
      <c r="RHG56" s="113"/>
      <c r="RHH56" s="113"/>
      <c r="RHI56" s="113"/>
      <c r="RHJ56" s="113"/>
      <c r="RHK56" s="113"/>
      <c r="RHL56" s="113"/>
      <c r="RHM56" s="113"/>
      <c r="RHN56" s="113"/>
      <c r="RHO56" s="113"/>
      <c r="RHP56" s="113"/>
      <c r="RHQ56" s="113"/>
      <c r="RHR56" s="113"/>
      <c r="RHS56" s="113"/>
      <c r="RHT56" s="113"/>
      <c r="RHU56" s="113"/>
      <c r="RHV56" s="113"/>
      <c r="RHW56" s="113"/>
      <c r="RHX56" s="113"/>
      <c r="RHY56" s="113"/>
      <c r="RHZ56" s="113"/>
      <c r="RIA56" s="113"/>
      <c r="RIB56" s="113"/>
      <c r="RIC56" s="113"/>
      <c r="RID56" s="113"/>
      <c r="RIE56" s="113"/>
      <c r="RIF56" s="113"/>
      <c r="RIG56" s="113"/>
      <c r="RIH56" s="113"/>
      <c r="RII56" s="113"/>
      <c r="RIJ56" s="113"/>
      <c r="RIK56" s="113"/>
      <c r="RIL56" s="113"/>
      <c r="RIM56" s="113"/>
      <c r="RIN56" s="113"/>
      <c r="RIO56" s="113"/>
      <c r="RIP56" s="113"/>
      <c r="RIQ56" s="113"/>
      <c r="RIR56" s="113"/>
      <c r="RIS56" s="113"/>
      <c r="RIT56" s="113"/>
      <c r="RIU56" s="113"/>
      <c r="RIV56" s="113"/>
      <c r="RIW56" s="113"/>
      <c r="RIX56" s="113"/>
      <c r="RIY56" s="113"/>
      <c r="RIZ56" s="113"/>
      <c r="RJA56" s="113"/>
      <c r="RJB56" s="113"/>
      <c r="RJC56" s="113"/>
      <c r="RJD56" s="113"/>
      <c r="RJE56" s="113"/>
      <c r="RJF56" s="113"/>
      <c r="RJG56" s="113"/>
      <c r="RJH56" s="113"/>
      <c r="RJI56" s="113"/>
      <c r="RJJ56" s="113"/>
      <c r="RJK56" s="113"/>
      <c r="RJL56" s="113"/>
      <c r="RJM56" s="113"/>
      <c r="RJN56" s="113"/>
      <c r="RJO56" s="113"/>
      <c r="RJP56" s="113"/>
      <c r="RJQ56" s="113"/>
      <c r="RJR56" s="113"/>
      <c r="RJS56" s="113"/>
      <c r="RJT56" s="113"/>
      <c r="RJU56" s="113"/>
      <c r="RJV56" s="113"/>
      <c r="RJW56" s="113"/>
      <c r="RJX56" s="113"/>
      <c r="RJY56" s="113"/>
      <c r="RJZ56" s="113"/>
      <c r="RKA56" s="113"/>
      <c r="RKB56" s="113"/>
      <c r="RKC56" s="113"/>
      <c r="RKD56" s="113"/>
      <c r="RKE56" s="113"/>
      <c r="RKF56" s="113"/>
      <c r="RKG56" s="113"/>
      <c r="RKH56" s="113"/>
      <c r="RKI56" s="113"/>
      <c r="RKJ56" s="113"/>
      <c r="RKK56" s="113"/>
      <c r="RKL56" s="113"/>
      <c r="RKM56" s="113"/>
      <c r="RKN56" s="113"/>
      <c r="RKO56" s="113"/>
      <c r="RKP56" s="113"/>
      <c r="RKQ56" s="113"/>
      <c r="RKR56" s="113"/>
      <c r="RKS56" s="113"/>
      <c r="RKT56" s="113"/>
      <c r="RKU56" s="113"/>
      <c r="RKV56" s="113"/>
      <c r="RKW56" s="113"/>
      <c r="RKX56" s="113"/>
      <c r="RKY56" s="113"/>
      <c r="RKZ56" s="113"/>
      <c r="RLA56" s="113"/>
      <c r="RLB56" s="113"/>
      <c r="RLC56" s="113"/>
      <c r="RLD56" s="113"/>
      <c r="RLE56" s="113"/>
      <c r="RLF56" s="113"/>
      <c r="RLG56" s="113"/>
      <c r="RLH56" s="113"/>
      <c r="RLI56" s="113"/>
      <c r="RLJ56" s="113"/>
      <c r="RLK56" s="113"/>
      <c r="RLL56" s="113"/>
      <c r="RLM56" s="113"/>
      <c r="RLN56" s="113"/>
      <c r="RLO56" s="113"/>
      <c r="RLP56" s="113"/>
      <c r="RLQ56" s="113"/>
      <c r="RLR56" s="113"/>
      <c r="RLS56" s="113"/>
      <c r="RLT56" s="113"/>
      <c r="RLU56" s="113"/>
      <c r="RLV56" s="113"/>
      <c r="RLW56" s="113"/>
      <c r="RLX56" s="113"/>
      <c r="RLY56" s="113"/>
      <c r="RLZ56" s="113"/>
      <c r="RMA56" s="113"/>
      <c r="RMB56" s="113"/>
      <c r="RMC56" s="113"/>
      <c r="RMD56" s="113"/>
      <c r="RME56" s="113"/>
      <c r="RMF56" s="113"/>
      <c r="RMG56" s="113"/>
      <c r="RMH56" s="113"/>
      <c r="RMI56" s="113"/>
      <c r="RMJ56" s="113"/>
      <c r="RMK56" s="113"/>
      <c r="RML56" s="113"/>
      <c r="RMM56" s="113"/>
      <c r="RMN56" s="113"/>
      <c r="RMO56" s="113"/>
      <c r="RMP56" s="113"/>
      <c r="RMQ56" s="113"/>
      <c r="RMR56" s="113"/>
      <c r="RMS56" s="113"/>
      <c r="RMT56" s="113"/>
      <c r="RMU56" s="113"/>
      <c r="RMV56" s="113"/>
      <c r="RMW56" s="113"/>
      <c r="RMX56" s="113"/>
      <c r="RMY56" s="113"/>
      <c r="RMZ56" s="113"/>
      <c r="RNA56" s="113"/>
      <c r="RNB56" s="113"/>
      <c r="RNC56" s="113"/>
      <c r="RND56" s="113"/>
      <c r="RNE56" s="113"/>
      <c r="RNF56" s="113"/>
      <c r="RNG56" s="113"/>
      <c r="RNH56" s="113"/>
      <c r="RNI56" s="113"/>
      <c r="RNJ56" s="113"/>
      <c r="RNK56" s="113"/>
      <c r="RNL56" s="113"/>
      <c r="RNM56" s="113"/>
      <c r="RNN56" s="113"/>
      <c r="RNO56" s="113"/>
      <c r="RNP56" s="113"/>
      <c r="RNQ56" s="113"/>
      <c r="RNR56" s="113"/>
      <c r="RNS56" s="113"/>
      <c r="RNT56" s="113"/>
      <c r="RNU56" s="113"/>
      <c r="RNV56" s="113"/>
      <c r="RNW56" s="113"/>
      <c r="RNX56" s="113"/>
      <c r="RNY56" s="113"/>
      <c r="RNZ56" s="113"/>
      <c r="ROA56" s="113"/>
      <c r="ROB56" s="113"/>
      <c r="ROC56" s="113"/>
      <c r="ROD56" s="113"/>
      <c r="ROE56" s="113"/>
      <c r="ROF56" s="113"/>
      <c r="ROG56" s="113"/>
      <c r="ROH56" s="113"/>
      <c r="ROI56" s="113"/>
      <c r="ROJ56" s="113"/>
      <c r="ROK56" s="113"/>
      <c r="ROL56" s="113"/>
      <c r="ROM56" s="113"/>
      <c r="RON56" s="113"/>
      <c r="ROO56" s="113"/>
      <c r="ROP56" s="113"/>
      <c r="ROQ56" s="113"/>
      <c r="ROR56" s="113"/>
      <c r="ROS56" s="113"/>
      <c r="ROT56" s="113"/>
      <c r="ROU56" s="113"/>
      <c r="ROV56" s="113"/>
      <c r="ROW56" s="113"/>
      <c r="ROX56" s="113"/>
      <c r="ROY56" s="113"/>
      <c r="ROZ56" s="113"/>
      <c r="RPA56" s="113"/>
      <c r="RPB56" s="113"/>
      <c r="RPC56" s="113"/>
      <c r="RPD56" s="113"/>
      <c r="RPE56" s="113"/>
      <c r="RPF56" s="113"/>
      <c r="RPG56" s="113"/>
      <c r="RPH56" s="113"/>
      <c r="RPI56" s="113"/>
      <c r="RPJ56" s="113"/>
      <c r="RPK56" s="113"/>
      <c r="RPL56" s="113"/>
      <c r="RPM56" s="113"/>
      <c r="RPN56" s="113"/>
      <c r="RPO56" s="113"/>
      <c r="RPP56" s="113"/>
      <c r="RPQ56" s="113"/>
      <c r="RPR56" s="113"/>
      <c r="RPS56" s="113"/>
      <c r="RPT56" s="113"/>
      <c r="RPU56" s="113"/>
      <c r="RPV56" s="113"/>
      <c r="RPW56" s="113"/>
      <c r="RPX56" s="113"/>
      <c r="RPY56" s="113"/>
      <c r="RPZ56" s="113"/>
      <c r="RQA56" s="113"/>
      <c r="RQB56" s="113"/>
      <c r="RQC56" s="113"/>
      <c r="RQD56" s="113"/>
      <c r="RQE56" s="113"/>
      <c r="RQF56" s="113"/>
      <c r="RQG56" s="113"/>
      <c r="RQH56" s="113"/>
      <c r="RQI56" s="113"/>
      <c r="RQJ56" s="113"/>
      <c r="RQK56" s="113"/>
      <c r="RQL56" s="113"/>
      <c r="RQM56" s="113"/>
      <c r="RQN56" s="113"/>
      <c r="RQO56" s="113"/>
      <c r="RQP56" s="113"/>
      <c r="RQQ56" s="113"/>
      <c r="RQR56" s="113"/>
      <c r="RQS56" s="113"/>
      <c r="RQT56" s="113"/>
      <c r="RQU56" s="113"/>
      <c r="RQV56" s="113"/>
      <c r="RQW56" s="113"/>
      <c r="RQX56" s="113"/>
      <c r="RQY56" s="113"/>
      <c r="RQZ56" s="113"/>
      <c r="RRA56" s="113"/>
      <c r="RRB56" s="113"/>
      <c r="RRC56" s="113"/>
      <c r="RRD56" s="113"/>
      <c r="RRE56" s="113"/>
      <c r="RRF56" s="113"/>
      <c r="RRG56" s="113"/>
      <c r="RRH56" s="113"/>
      <c r="RRI56" s="113"/>
      <c r="RRJ56" s="113"/>
      <c r="RRK56" s="113"/>
      <c r="RRL56" s="113"/>
      <c r="RRM56" s="113"/>
      <c r="RRN56" s="113"/>
      <c r="RRO56" s="113"/>
      <c r="RRP56" s="113"/>
      <c r="RRQ56" s="113"/>
      <c r="RRR56" s="113"/>
      <c r="RRS56" s="113"/>
      <c r="RRT56" s="113"/>
      <c r="RRU56" s="113"/>
      <c r="RRV56" s="113"/>
      <c r="RRW56" s="113"/>
      <c r="RRX56" s="113"/>
      <c r="RRY56" s="113"/>
      <c r="RRZ56" s="113"/>
      <c r="RSA56" s="113"/>
      <c r="RSB56" s="113"/>
      <c r="RSC56" s="113"/>
      <c r="RSD56" s="113"/>
      <c r="RSE56" s="113"/>
      <c r="RSF56" s="113"/>
      <c r="RSG56" s="113"/>
      <c r="RSH56" s="113"/>
      <c r="RSI56" s="113"/>
      <c r="RSJ56" s="113"/>
      <c r="RSK56" s="113"/>
      <c r="RSL56" s="113"/>
      <c r="RSM56" s="113"/>
      <c r="RSN56" s="113"/>
      <c r="RSO56" s="113"/>
      <c r="RSP56" s="113"/>
      <c r="RSQ56" s="113"/>
      <c r="RSR56" s="113"/>
      <c r="RSS56" s="113"/>
      <c r="RST56" s="113"/>
      <c r="RSU56" s="113"/>
      <c r="RSV56" s="113"/>
      <c r="RSW56" s="113"/>
      <c r="RSX56" s="113"/>
      <c r="RSY56" s="113"/>
      <c r="RSZ56" s="113"/>
      <c r="RTA56" s="113"/>
      <c r="RTB56" s="113"/>
      <c r="RTC56" s="113"/>
      <c r="RTD56" s="113"/>
      <c r="RTE56" s="113"/>
      <c r="RTF56" s="113"/>
      <c r="RTG56" s="113"/>
      <c r="RTH56" s="113"/>
      <c r="RTI56" s="113"/>
      <c r="RTJ56" s="113"/>
      <c r="RTK56" s="113"/>
      <c r="RTL56" s="113"/>
      <c r="RTM56" s="113"/>
      <c r="RTN56" s="113"/>
      <c r="RTO56" s="113"/>
      <c r="RTP56" s="113"/>
      <c r="RTQ56" s="113"/>
      <c r="RTR56" s="113"/>
      <c r="RTS56" s="113"/>
      <c r="RTT56" s="113"/>
      <c r="RTU56" s="113"/>
      <c r="RTV56" s="113"/>
      <c r="RTW56" s="113"/>
      <c r="RTX56" s="113"/>
      <c r="RTY56" s="113"/>
      <c r="RTZ56" s="113"/>
      <c r="RUA56" s="113"/>
      <c r="RUB56" s="113"/>
      <c r="RUC56" s="113"/>
      <c r="RUD56" s="113"/>
      <c r="RUE56" s="113"/>
      <c r="RUF56" s="113"/>
      <c r="RUG56" s="113"/>
      <c r="RUH56" s="113"/>
      <c r="RUI56" s="113"/>
      <c r="RUJ56" s="113"/>
      <c r="RUK56" s="113"/>
      <c r="RUL56" s="113"/>
      <c r="RUM56" s="113"/>
      <c r="RUN56" s="113"/>
      <c r="RUO56" s="113"/>
      <c r="RUP56" s="113"/>
      <c r="RUQ56" s="113"/>
      <c r="RUR56" s="113"/>
      <c r="RUS56" s="113"/>
      <c r="RUT56" s="113"/>
      <c r="RUU56" s="113"/>
      <c r="RUV56" s="113"/>
      <c r="RUW56" s="113"/>
      <c r="RUX56" s="113"/>
      <c r="RUY56" s="113"/>
      <c r="RUZ56" s="113"/>
      <c r="RVA56" s="113"/>
      <c r="RVB56" s="113"/>
      <c r="RVC56" s="113"/>
      <c r="RVD56" s="113"/>
      <c r="RVE56" s="113"/>
      <c r="RVF56" s="113"/>
      <c r="RVG56" s="113"/>
      <c r="RVH56" s="113"/>
      <c r="RVI56" s="113"/>
      <c r="RVJ56" s="113"/>
      <c r="RVK56" s="113"/>
      <c r="RVL56" s="113"/>
      <c r="RVM56" s="113"/>
      <c r="RVN56" s="113"/>
      <c r="RVO56" s="113"/>
      <c r="RVP56" s="113"/>
      <c r="RVQ56" s="113"/>
      <c r="RVR56" s="113"/>
      <c r="RVS56" s="113"/>
      <c r="RVT56" s="113"/>
      <c r="RVU56" s="113"/>
      <c r="RVV56" s="113"/>
      <c r="RVW56" s="113"/>
      <c r="RVX56" s="113"/>
      <c r="RVY56" s="113"/>
      <c r="RVZ56" s="113"/>
      <c r="RWA56" s="113"/>
      <c r="RWB56" s="113"/>
      <c r="RWC56" s="113"/>
      <c r="RWD56" s="113"/>
      <c r="RWE56" s="113"/>
      <c r="RWF56" s="113"/>
      <c r="RWG56" s="113"/>
      <c r="RWH56" s="113"/>
      <c r="RWI56" s="113"/>
      <c r="RWJ56" s="113"/>
      <c r="RWK56" s="113"/>
      <c r="RWL56" s="113"/>
      <c r="RWM56" s="113"/>
      <c r="RWN56" s="113"/>
      <c r="RWO56" s="113"/>
      <c r="RWP56" s="113"/>
      <c r="RWQ56" s="113"/>
      <c r="RWR56" s="113"/>
      <c r="RWS56" s="113"/>
      <c r="RWT56" s="113"/>
      <c r="RWU56" s="113"/>
      <c r="RWV56" s="113"/>
      <c r="RWW56" s="113"/>
      <c r="RWX56" s="113"/>
      <c r="RWY56" s="113"/>
      <c r="RWZ56" s="113"/>
      <c r="RXA56" s="113"/>
      <c r="RXB56" s="113"/>
      <c r="RXC56" s="113"/>
      <c r="RXD56" s="113"/>
      <c r="RXE56" s="113"/>
      <c r="RXF56" s="113"/>
      <c r="RXG56" s="113"/>
      <c r="RXH56" s="113"/>
      <c r="RXI56" s="113"/>
      <c r="RXJ56" s="113"/>
      <c r="RXK56" s="113"/>
      <c r="RXL56" s="113"/>
      <c r="RXM56" s="113"/>
      <c r="RXN56" s="113"/>
      <c r="RXO56" s="113"/>
      <c r="RXP56" s="113"/>
      <c r="RXQ56" s="113"/>
      <c r="RXR56" s="113"/>
      <c r="RXS56" s="113"/>
      <c r="RXT56" s="113"/>
      <c r="RXU56" s="113"/>
      <c r="RXV56" s="113"/>
      <c r="RXW56" s="113"/>
      <c r="RXX56" s="113"/>
      <c r="RXY56" s="113"/>
      <c r="RXZ56" s="113"/>
      <c r="RYA56" s="113"/>
      <c r="RYB56" s="113"/>
      <c r="RYC56" s="113"/>
      <c r="RYD56" s="113"/>
      <c r="RYE56" s="113"/>
      <c r="RYF56" s="113"/>
      <c r="RYG56" s="113"/>
      <c r="RYH56" s="113"/>
      <c r="RYI56" s="113"/>
      <c r="RYJ56" s="113"/>
      <c r="RYK56" s="113"/>
      <c r="RYL56" s="113"/>
      <c r="RYM56" s="113"/>
      <c r="RYN56" s="113"/>
      <c r="RYO56" s="113"/>
      <c r="RYP56" s="113"/>
      <c r="RYQ56" s="113"/>
      <c r="RYR56" s="113"/>
      <c r="RYS56" s="113"/>
      <c r="RYT56" s="113"/>
      <c r="RYU56" s="113"/>
      <c r="RYV56" s="113"/>
      <c r="RYW56" s="113"/>
      <c r="RYX56" s="113"/>
      <c r="RYY56" s="113"/>
      <c r="RYZ56" s="113"/>
      <c r="RZA56" s="113"/>
      <c r="RZB56" s="113"/>
      <c r="RZC56" s="113"/>
      <c r="RZD56" s="113"/>
      <c r="RZE56" s="113"/>
      <c r="RZF56" s="113"/>
      <c r="RZG56" s="113"/>
      <c r="RZH56" s="113"/>
      <c r="RZI56" s="113"/>
      <c r="RZJ56" s="113"/>
      <c r="RZK56" s="113"/>
      <c r="RZL56" s="113"/>
      <c r="RZM56" s="113"/>
      <c r="RZN56" s="113"/>
      <c r="RZO56" s="113"/>
      <c r="RZP56" s="113"/>
      <c r="RZQ56" s="113"/>
      <c r="RZR56" s="113"/>
      <c r="RZS56" s="113"/>
      <c r="RZT56" s="113"/>
      <c r="RZU56" s="113"/>
      <c r="RZV56" s="113"/>
      <c r="RZW56" s="113"/>
      <c r="RZX56" s="113"/>
      <c r="RZY56" s="113"/>
      <c r="RZZ56" s="113"/>
      <c r="SAA56" s="113"/>
      <c r="SAB56" s="113"/>
      <c r="SAC56" s="113"/>
      <c r="SAD56" s="113"/>
      <c r="SAE56" s="113"/>
      <c r="SAF56" s="113"/>
      <c r="SAG56" s="113"/>
      <c r="SAH56" s="113"/>
      <c r="SAI56" s="113"/>
      <c r="SAJ56" s="113"/>
      <c r="SAK56" s="113"/>
      <c r="SAL56" s="113"/>
      <c r="SAM56" s="113"/>
      <c r="SAN56" s="113"/>
      <c r="SAO56" s="113"/>
      <c r="SAP56" s="113"/>
      <c r="SAQ56" s="113"/>
      <c r="SAR56" s="113"/>
      <c r="SAS56" s="113"/>
      <c r="SAT56" s="113"/>
      <c r="SAU56" s="113"/>
      <c r="SAV56" s="113"/>
      <c r="SAW56" s="113"/>
      <c r="SAX56" s="113"/>
      <c r="SAY56" s="113"/>
      <c r="SAZ56" s="113"/>
      <c r="SBA56" s="113"/>
      <c r="SBB56" s="113"/>
      <c r="SBC56" s="113"/>
      <c r="SBD56" s="113"/>
      <c r="SBE56" s="113"/>
      <c r="SBF56" s="113"/>
      <c r="SBG56" s="113"/>
      <c r="SBH56" s="113"/>
      <c r="SBI56" s="113"/>
      <c r="SBJ56" s="113"/>
      <c r="SBK56" s="113"/>
      <c r="SBL56" s="113"/>
      <c r="SBM56" s="113"/>
      <c r="SBN56" s="113"/>
      <c r="SBO56" s="113"/>
      <c r="SBP56" s="113"/>
      <c r="SBQ56" s="113"/>
      <c r="SBR56" s="113"/>
      <c r="SBS56" s="113"/>
      <c r="SBT56" s="113"/>
      <c r="SBU56" s="113"/>
      <c r="SBV56" s="113"/>
      <c r="SBW56" s="113"/>
      <c r="SBX56" s="113"/>
      <c r="SBY56" s="113"/>
      <c r="SBZ56" s="113"/>
      <c r="SCA56" s="113"/>
      <c r="SCB56" s="113"/>
      <c r="SCC56" s="113"/>
      <c r="SCD56" s="113"/>
      <c r="SCE56" s="113"/>
      <c r="SCF56" s="113"/>
      <c r="SCG56" s="113"/>
      <c r="SCH56" s="113"/>
      <c r="SCI56" s="113"/>
      <c r="SCJ56" s="113"/>
      <c r="SCK56" s="113"/>
      <c r="SCL56" s="113"/>
      <c r="SCM56" s="113"/>
      <c r="SCN56" s="113"/>
      <c r="SCO56" s="113"/>
      <c r="SCP56" s="113"/>
      <c r="SCQ56" s="113"/>
      <c r="SCR56" s="113"/>
      <c r="SCS56" s="113"/>
      <c r="SCT56" s="113"/>
      <c r="SCU56" s="113"/>
      <c r="SCV56" s="113"/>
      <c r="SCW56" s="113"/>
      <c r="SCX56" s="113"/>
      <c r="SCY56" s="113"/>
      <c r="SCZ56" s="113"/>
      <c r="SDA56" s="113"/>
      <c r="SDB56" s="113"/>
      <c r="SDC56" s="113"/>
      <c r="SDD56" s="113"/>
      <c r="SDE56" s="113"/>
      <c r="SDF56" s="113"/>
      <c r="SDG56" s="113"/>
      <c r="SDH56" s="113"/>
      <c r="SDI56" s="113"/>
      <c r="SDJ56" s="113"/>
      <c r="SDK56" s="113"/>
      <c r="SDL56" s="113"/>
      <c r="SDM56" s="113"/>
      <c r="SDN56" s="113"/>
      <c r="SDO56" s="113"/>
      <c r="SDP56" s="113"/>
      <c r="SDQ56" s="113"/>
      <c r="SDR56" s="113"/>
      <c r="SDS56" s="113"/>
      <c r="SDT56" s="113"/>
      <c r="SDU56" s="113"/>
      <c r="SDV56" s="113"/>
      <c r="SDW56" s="113"/>
      <c r="SDX56" s="113"/>
      <c r="SDY56" s="113"/>
      <c r="SDZ56" s="113"/>
      <c r="SEA56" s="113"/>
      <c r="SEB56" s="113"/>
      <c r="SEC56" s="113"/>
      <c r="SED56" s="113"/>
      <c r="SEE56" s="113"/>
      <c r="SEF56" s="113"/>
      <c r="SEG56" s="113"/>
      <c r="SEH56" s="113"/>
      <c r="SEI56" s="113"/>
      <c r="SEJ56" s="113"/>
      <c r="SEK56" s="113"/>
      <c r="SEL56" s="113"/>
      <c r="SEM56" s="113"/>
      <c r="SEN56" s="113"/>
      <c r="SEO56" s="113"/>
      <c r="SEP56" s="113"/>
      <c r="SEQ56" s="113"/>
      <c r="SER56" s="113"/>
      <c r="SES56" s="113"/>
      <c r="SET56" s="113"/>
      <c r="SEU56" s="113"/>
      <c r="SEV56" s="113"/>
      <c r="SEW56" s="113"/>
      <c r="SEX56" s="113"/>
      <c r="SEY56" s="113"/>
      <c r="SEZ56" s="113"/>
      <c r="SFA56" s="113"/>
      <c r="SFB56" s="113"/>
      <c r="SFC56" s="113"/>
      <c r="SFD56" s="113"/>
      <c r="SFE56" s="113"/>
      <c r="SFF56" s="113"/>
      <c r="SFG56" s="113"/>
      <c r="SFH56" s="113"/>
      <c r="SFI56" s="113"/>
      <c r="SFJ56" s="113"/>
      <c r="SFK56" s="113"/>
      <c r="SFL56" s="113"/>
      <c r="SFM56" s="113"/>
      <c r="SFN56" s="113"/>
      <c r="SFO56" s="113"/>
      <c r="SFP56" s="113"/>
      <c r="SFQ56" s="113"/>
      <c r="SFR56" s="113"/>
      <c r="SFS56" s="113"/>
      <c r="SFT56" s="113"/>
      <c r="SFU56" s="113"/>
      <c r="SFV56" s="113"/>
      <c r="SFW56" s="113"/>
      <c r="SFX56" s="113"/>
      <c r="SFY56" s="113"/>
      <c r="SFZ56" s="113"/>
      <c r="SGA56" s="113"/>
      <c r="SGB56" s="113"/>
      <c r="SGC56" s="113"/>
      <c r="SGD56" s="113"/>
      <c r="SGE56" s="113"/>
      <c r="SGF56" s="113"/>
      <c r="SGG56" s="113"/>
      <c r="SGH56" s="113"/>
      <c r="SGI56" s="113"/>
      <c r="SGJ56" s="113"/>
      <c r="SGK56" s="113"/>
      <c r="SGL56" s="113"/>
      <c r="SGM56" s="113"/>
      <c r="SGN56" s="113"/>
      <c r="SGO56" s="113"/>
      <c r="SGP56" s="113"/>
      <c r="SGQ56" s="113"/>
      <c r="SGR56" s="113"/>
      <c r="SGS56" s="113"/>
      <c r="SGT56" s="113"/>
      <c r="SGU56" s="113"/>
      <c r="SGV56" s="113"/>
      <c r="SGW56" s="113"/>
      <c r="SGX56" s="113"/>
      <c r="SGY56" s="113"/>
      <c r="SGZ56" s="113"/>
      <c r="SHA56" s="113"/>
      <c r="SHB56" s="113"/>
      <c r="SHC56" s="113"/>
      <c r="SHD56" s="113"/>
      <c r="SHE56" s="113"/>
      <c r="SHF56" s="113"/>
      <c r="SHG56" s="113"/>
      <c r="SHH56" s="113"/>
      <c r="SHI56" s="113"/>
      <c r="SHJ56" s="113"/>
      <c r="SHK56" s="113"/>
      <c r="SHL56" s="113"/>
      <c r="SHM56" s="113"/>
      <c r="SHN56" s="113"/>
      <c r="SHO56" s="113"/>
      <c r="SHP56" s="113"/>
      <c r="SHQ56" s="113"/>
      <c r="SHR56" s="113"/>
      <c r="SHS56" s="113"/>
      <c r="SHT56" s="113"/>
      <c r="SHU56" s="113"/>
      <c r="SHV56" s="113"/>
      <c r="SHW56" s="113"/>
      <c r="SHX56" s="113"/>
      <c r="SHY56" s="113"/>
      <c r="SHZ56" s="113"/>
      <c r="SIA56" s="113"/>
      <c r="SIB56" s="113"/>
      <c r="SIC56" s="113"/>
      <c r="SID56" s="113"/>
      <c r="SIE56" s="113"/>
      <c r="SIF56" s="113"/>
      <c r="SIG56" s="113"/>
      <c r="SIH56" s="113"/>
      <c r="SII56" s="113"/>
      <c r="SIJ56" s="113"/>
      <c r="SIK56" s="113"/>
      <c r="SIL56" s="113"/>
      <c r="SIM56" s="113"/>
      <c r="SIN56" s="113"/>
      <c r="SIO56" s="113"/>
      <c r="SIP56" s="113"/>
      <c r="SIQ56" s="113"/>
      <c r="SIR56" s="113"/>
      <c r="SIS56" s="113"/>
      <c r="SIT56" s="113"/>
      <c r="SIU56" s="113"/>
      <c r="SIV56" s="113"/>
      <c r="SIW56" s="113"/>
      <c r="SIX56" s="113"/>
      <c r="SIY56" s="113"/>
      <c r="SIZ56" s="113"/>
      <c r="SJA56" s="113"/>
      <c r="SJB56" s="113"/>
      <c r="SJC56" s="113"/>
      <c r="SJD56" s="113"/>
      <c r="SJE56" s="113"/>
      <c r="SJF56" s="113"/>
      <c r="SJG56" s="113"/>
      <c r="SJH56" s="113"/>
      <c r="SJI56" s="113"/>
      <c r="SJJ56" s="113"/>
      <c r="SJK56" s="113"/>
      <c r="SJL56" s="113"/>
      <c r="SJM56" s="113"/>
      <c r="SJN56" s="113"/>
      <c r="SJO56" s="113"/>
      <c r="SJP56" s="113"/>
      <c r="SJQ56" s="113"/>
      <c r="SJR56" s="113"/>
      <c r="SJS56" s="113"/>
      <c r="SJT56" s="113"/>
      <c r="SJU56" s="113"/>
      <c r="SJV56" s="113"/>
      <c r="SJW56" s="113"/>
      <c r="SJX56" s="113"/>
      <c r="SJY56" s="113"/>
      <c r="SJZ56" s="113"/>
      <c r="SKA56" s="113"/>
      <c r="SKB56" s="113"/>
      <c r="SKC56" s="113"/>
      <c r="SKD56" s="113"/>
      <c r="SKE56" s="113"/>
      <c r="SKF56" s="113"/>
      <c r="SKG56" s="113"/>
      <c r="SKH56" s="113"/>
      <c r="SKI56" s="113"/>
      <c r="SKJ56" s="113"/>
      <c r="SKK56" s="113"/>
      <c r="SKL56" s="113"/>
      <c r="SKM56" s="113"/>
      <c r="SKN56" s="113"/>
      <c r="SKO56" s="113"/>
      <c r="SKP56" s="113"/>
      <c r="SKQ56" s="113"/>
      <c r="SKR56" s="113"/>
      <c r="SKS56" s="113"/>
      <c r="SKT56" s="113"/>
      <c r="SKU56" s="113"/>
      <c r="SKV56" s="113"/>
      <c r="SKW56" s="113"/>
      <c r="SKX56" s="113"/>
      <c r="SKY56" s="113"/>
      <c r="SKZ56" s="113"/>
      <c r="SLA56" s="113"/>
      <c r="SLB56" s="113"/>
      <c r="SLC56" s="113"/>
      <c r="SLD56" s="113"/>
      <c r="SLE56" s="113"/>
      <c r="SLF56" s="113"/>
      <c r="SLG56" s="113"/>
      <c r="SLH56" s="113"/>
      <c r="SLI56" s="113"/>
      <c r="SLJ56" s="113"/>
      <c r="SLK56" s="113"/>
      <c r="SLL56" s="113"/>
      <c r="SLM56" s="113"/>
      <c r="SLN56" s="113"/>
      <c r="SLO56" s="113"/>
      <c r="SLP56" s="113"/>
      <c r="SLQ56" s="113"/>
      <c r="SLR56" s="113"/>
      <c r="SLS56" s="113"/>
      <c r="SLT56" s="113"/>
      <c r="SLU56" s="113"/>
      <c r="SLV56" s="113"/>
      <c r="SLW56" s="113"/>
      <c r="SLX56" s="113"/>
      <c r="SLY56" s="113"/>
      <c r="SLZ56" s="113"/>
      <c r="SMA56" s="113"/>
      <c r="SMB56" s="113"/>
      <c r="SMC56" s="113"/>
      <c r="SMD56" s="113"/>
      <c r="SME56" s="113"/>
      <c r="SMF56" s="113"/>
      <c r="SMG56" s="113"/>
      <c r="SMH56" s="113"/>
      <c r="SMI56" s="113"/>
      <c r="SMJ56" s="113"/>
      <c r="SMK56" s="113"/>
      <c r="SML56" s="113"/>
      <c r="SMM56" s="113"/>
      <c r="SMN56" s="113"/>
      <c r="SMO56" s="113"/>
      <c r="SMP56" s="113"/>
      <c r="SMQ56" s="113"/>
      <c r="SMR56" s="113"/>
      <c r="SMS56" s="113"/>
      <c r="SMT56" s="113"/>
      <c r="SMU56" s="113"/>
      <c r="SMV56" s="113"/>
      <c r="SMW56" s="113"/>
      <c r="SMX56" s="113"/>
      <c r="SMY56" s="113"/>
      <c r="SMZ56" s="113"/>
      <c r="SNA56" s="113"/>
      <c r="SNB56" s="113"/>
      <c r="SNC56" s="113"/>
      <c r="SND56" s="113"/>
      <c r="SNE56" s="113"/>
      <c r="SNF56" s="113"/>
      <c r="SNG56" s="113"/>
      <c r="SNH56" s="113"/>
      <c r="SNI56" s="113"/>
      <c r="SNJ56" s="113"/>
      <c r="SNK56" s="113"/>
      <c r="SNL56" s="113"/>
      <c r="SNM56" s="113"/>
      <c r="SNN56" s="113"/>
      <c r="SNO56" s="113"/>
      <c r="SNP56" s="113"/>
      <c r="SNQ56" s="113"/>
      <c r="SNR56" s="113"/>
      <c r="SNS56" s="113"/>
      <c r="SNT56" s="113"/>
      <c r="SNU56" s="113"/>
      <c r="SNV56" s="113"/>
      <c r="SNW56" s="113"/>
      <c r="SNX56" s="113"/>
      <c r="SNY56" s="113"/>
      <c r="SNZ56" s="113"/>
      <c r="SOA56" s="113"/>
      <c r="SOB56" s="113"/>
      <c r="SOC56" s="113"/>
      <c r="SOD56" s="113"/>
      <c r="SOE56" s="113"/>
      <c r="SOF56" s="113"/>
      <c r="SOG56" s="113"/>
      <c r="SOH56" s="113"/>
      <c r="SOI56" s="113"/>
      <c r="SOJ56" s="113"/>
      <c r="SOK56" s="113"/>
      <c r="SOL56" s="113"/>
      <c r="SOM56" s="113"/>
      <c r="SON56" s="113"/>
      <c r="SOO56" s="113"/>
      <c r="SOP56" s="113"/>
      <c r="SOQ56" s="113"/>
      <c r="SOR56" s="113"/>
      <c r="SOS56" s="113"/>
      <c r="SOT56" s="113"/>
      <c r="SOU56" s="113"/>
      <c r="SOV56" s="113"/>
      <c r="SOW56" s="113"/>
      <c r="SOX56" s="113"/>
      <c r="SOY56" s="113"/>
      <c r="SOZ56" s="113"/>
      <c r="SPA56" s="113"/>
      <c r="SPB56" s="113"/>
      <c r="SPC56" s="113"/>
      <c r="SPD56" s="113"/>
      <c r="SPE56" s="113"/>
      <c r="SPF56" s="113"/>
      <c r="SPG56" s="113"/>
      <c r="SPH56" s="113"/>
      <c r="SPI56" s="113"/>
      <c r="SPJ56" s="113"/>
      <c r="SPK56" s="113"/>
      <c r="SPL56" s="113"/>
      <c r="SPM56" s="113"/>
      <c r="SPN56" s="113"/>
      <c r="SPO56" s="113"/>
      <c r="SPP56" s="113"/>
      <c r="SPQ56" s="113"/>
      <c r="SPR56" s="113"/>
      <c r="SPS56" s="113"/>
      <c r="SPT56" s="113"/>
      <c r="SPU56" s="113"/>
      <c r="SPV56" s="113"/>
      <c r="SPW56" s="113"/>
      <c r="SPX56" s="113"/>
      <c r="SPY56" s="113"/>
      <c r="SPZ56" s="113"/>
      <c r="SQA56" s="113"/>
      <c r="SQB56" s="113"/>
      <c r="SQC56" s="113"/>
      <c r="SQD56" s="113"/>
      <c r="SQE56" s="113"/>
      <c r="SQF56" s="113"/>
      <c r="SQG56" s="113"/>
      <c r="SQH56" s="113"/>
      <c r="SQI56" s="113"/>
      <c r="SQJ56" s="113"/>
      <c r="SQK56" s="113"/>
      <c r="SQL56" s="113"/>
      <c r="SQM56" s="113"/>
      <c r="SQN56" s="113"/>
      <c r="SQO56" s="113"/>
      <c r="SQP56" s="113"/>
      <c r="SQQ56" s="113"/>
      <c r="SQR56" s="113"/>
      <c r="SQS56" s="113"/>
      <c r="SQT56" s="113"/>
      <c r="SQU56" s="113"/>
      <c r="SQV56" s="113"/>
      <c r="SQW56" s="113"/>
      <c r="SQX56" s="113"/>
      <c r="SQY56" s="113"/>
      <c r="SQZ56" s="113"/>
      <c r="SRA56" s="113"/>
      <c r="SRB56" s="113"/>
      <c r="SRC56" s="113"/>
      <c r="SRD56" s="113"/>
      <c r="SRE56" s="113"/>
      <c r="SRF56" s="113"/>
      <c r="SRG56" s="113"/>
      <c r="SRH56" s="113"/>
      <c r="SRI56" s="113"/>
      <c r="SRJ56" s="113"/>
      <c r="SRK56" s="113"/>
      <c r="SRL56" s="113"/>
      <c r="SRM56" s="113"/>
      <c r="SRN56" s="113"/>
      <c r="SRO56" s="113"/>
      <c r="SRP56" s="113"/>
      <c r="SRQ56" s="113"/>
      <c r="SRR56" s="113"/>
      <c r="SRS56" s="113"/>
      <c r="SRT56" s="113"/>
      <c r="SRU56" s="113"/>
      <c r="SRV56" s="113"/>
      <c r="SRW56" s="113"/>
      <c r="SRX56" s="113"/>
      <c r="SRY56" s="113"/>
      <c r="SRZ56" s="113"/>
      <c r="SSA56" s="113"/>
      <c r="SSB56" s="113"/>
      <c r="SSC56" s="113"/>
      <c r="SSD56" s="113"/>
      <c r="SSE56" s="113"/>
      <c r="SSF56" s="113"/>
      <c r="SSG56" s="113"/>
      <c r="SSH56" s="113"/>
      <c r="SSI56" s="113"/>
      <c r="SSJ56" s="113"/>
      <c r="SSK56" s="113"/>
      <c r="SSL56" s="113"/>
      <c r="SSM56" s="113"/>
      <c r="SSN56" s="113"/>
      <c r="SSO56" s="113"/>
      <c r="SSP56" s="113"/>
      <c r="SSQ56" s="113"/>
      <c r="SSR56" s="113"/>
      <c r="SSS56" s="113"/>
      <c r="SST56" s="113"/>
      <c r="SSU56" s="113"/>
      <c r="SSV56" s="113"/>
      <c r="SSW56" s="113"/>
      <c r="SSX56" s="113"/>
      <c r="SSY56" s="113"/>
      <c r="SSZ56" s="113"/>
      <c r="STA56" s="113"/>
      <c r="STB56" s="113"/>
      <c r="STC56" s="113"/>
      <c r="STD56" s="113"/>
      <c r="STE56" s="113"/>
      <c r="STF56" s="113"/>
      <c r="STG56" s="113"/>
      <c r="STH56" s="113"/>
      <c r="STI56" s="113"/>
      <c r="STJ56" s="113"/>
      <c r="STK56" s="113"/>
      <c r="STL56" s="113"/>
      <c r="STM56" s="113"/>
      <c r="STN56" s="113"/>
      <c r="STO56" s="113"/>
      <c r="STP56" s="113"/>
      <c r="STQ56" s="113"/>
      <c r="STR56" s="113"/>
      <c r="STS56" s="113"/>
      <c r="STT56" s="113"/>
      <c r="STU56" s="113"/>
      <c r="STV56" s="113"/>
      <c r="STW56" s="113"/>
      <c r="STX56" s="113"/>
      <c r="STY56" s="113"/>
      <c r="STZ56" s="113"/>
      <c r="SUA56" s="113"/>
      <c r="SUB56" s="113"/>
      <c r="SUC56" s="113"/>
      <c r="SUD56" s="113"/>
      <c r="SUE56" s="113"/>
      <c r="SUF56" s="113"/>
      <c r="SUG56" s="113"/>
      <c r="SUH56" s="113"/>
      <c r="SUI56" s="113"/>
      <c r="SUJ56" s="113"/>
      <c r="SUK56" s="113"/>
      <c r="SUL56" s="113"/>
      <c r="SUM56" s="113"/>
      <c r="SUN56" s="113"/>
      <c r="SUO56" s="113"/>
      <c r="SUP56" s="113"/>
      <c r="SUQ56" s="113"/>
      <c r="SUR56" s="113"/>
      <c r="SUS56" s="113"/>
      <c r="SUT56" s="113"/>
      <c r="SUU56" s="113"/>
      <c r="SUV56" s="113"/>
      <c r="SUW56" s="113"/>
      <c r="SUX56" s="113"/>
      <c r="SUY56" s="113"/>
      <c r="SUZ56" s="113"/>
      <c r="SVA56" s="113"/>
      <c r="SVB56" s="113"/>
      <c r="SVC56" s="113"/>
      <c r="SVD56" s="113"/>
      <c r="SVE56" s="113"/>
      <c r="SVF56" s="113"/>
      <c r="SVG56" s="113"/>
      <c r="SVH56" s="113"/>
      <c r="SVI56" s="113"/>
      <c r="SVJ56" s="113"/>
      <c r="SVK56" s="113"/>
      <c r="SVL56" s="113"/>
      <c r="SVM56" s="113"/>
      <c r="SVN56" s="113"/>
      <c r="SVO56" s="113"/>
      <c r="SVP56" s="113"/>
      <c r="SVQ56" s="113"/>
      <c r="SVR56" s="113"/>
      <c r="SVS56" s="113"/>
      <c r="SVT56" s="113"/>
      <c r="SVU56" s="113"/>
      <c r="SVV56" s="113"/>
      <c r="SVW56" s="113"/>
      <c r="SVX56" s="113"/>
      <c r="SVY56" s="113"/>
      <c r="SVZ56" s="113"/>
      <c r="SWA56" s="113"/>
      <c r="SWB56" s="113"/>
      <c r="SWC56" s="113"/>
      <c r="SWD56" s="113"/>
      <c r="SWE56" s="113"/>
      <c r="SWF56" s="113"/>
      <c r="SWG56" s="113"/>
      <c r="SWH56" s="113"/>
      <c r="SWI56" s="113"/>
      <c r="SWJ56" s="113"/>
      <c r="SWK56" s="113"/>
      <c r="SWL56" s="113"/>
      <c r="SWM56" s="113"/>
      <c r="SWN56" s="113"/>
      <c r="SWO56" s="113"/>
      <c r="SWP56" s="113"/>
      <c r="SWQ56" s="113"/>
      <c r="SWR56" s="113"/>
      <c r="SWS56" s="113"/>
      <c r="SWT56" s="113"/>
      <c r="SWU56" s="113"/>
      <c r="SWV56" s="113"/>
      <c r="SWW56" s="113"/>
      <c r="SWX56" s="113"/>
      <c r="SWY56" s="113"/>
      <c r="SWZ56" s="113"/>
      <c r="SXA56" s="113"/>
      <c r="SXB56" s="113"/>
      <c r="SXC56" s="113"/>
      <c r="SXD56" s="113"/>
      <c r="SXE56" s="113"/>
      <c r="SXF56" s="113"/>
      <c r="SXG56" s="113"/>
      <c r="SXH56" s="113"/>
      <c r="SXI56" s="113"/>
      <c r="SXJ56" s="113"/>
      <c r="SXK56" s="113"/>
      <c r="SXL56" s="113"/>
      <c r="SXM56" s="113"/>
      <c r="SXN56" s="113"/>
      <c r="SXO56" s="113"/>
      <c r="SXP56" s="113"/>
      <c r="SXQ56" s="113"/>
      <c r="SXR56" s="113"/>
      <c r="SXS56" s="113"/>
      <c r="SXT56" s="113"/>
      <c r="SXU56" s="113"/>
      <c r="SXV56" s="113"/>
      <c r="SXW56" s="113"/>
      <c r="SXX56" s="113"/>
      <c r="SXY56" s="113"/>
      <c r="SXZ56" s="113"/>
      <c r="SYA56" s="113"/>
      <c r="SYB56" s="113"/>
      <c r="SYC56" s="113"/>
      <c r="SYD56" s="113"/>
      <c r="SYE56" s="113"/>
      <c r="SYF56" s="113"/>
      <c r="SYG56" s="113"/>
      <c r="SYH56" s="113"/>
      <c r="SYI56" s="113"/>
      <c r="SYJ56" s="113"/>
      <c r="SYK56" s="113"/>
      <c r="SYL56" s="113"/>
      <c r="SYM56" s="113"/>
      <c r="SYN56" s="113"/>
      <c r="SYO56" s="113"/>
      <c r="SYP56" s="113"/>
      <c r="SYQ56" s="113"/>
      <c r="SYR56" s="113"/>
      <c r="SYS56" s="113"/>
      <c r="SYT56" s="113"/>
      <c r="SYU56" s="113"/>
      <c r="SYV56" s="113"/>
      <c r="SYW56" s="113"/>
      <c r="SYX56" s="113"/>
      <c r="SYY56" s="113"/>
      <c r="SYZ56" s="113"/>
      <c r="SZA56" s="113"/>
      <c r="SZB56" s="113"/>
      <c r="SZC56" s="113"/>
      <c r="SZD56" s="113"/>
      <c r="SZE56" s="113"/>
      <c r="SZF56" s="113"/>
      <c r="SZG56" s="113"/>
      <c r="SZH56" s="113"/>
      <c r="SZI56" s="113"/>
      <c r="SZJ56" s="113"/>
      <c r="SZK56" s="113"/>
      <c r="SZL56" s="113"/>
      <c r="SZM56" s="113"/>
      <c r="SZN56" s="113"/>
      <c r="SZO56" s="113"/>
      <c r="SZP56" s="113"/>
      <c r="SZQ56" s="113"/>
      <c r="SZR56" s="113"/>
      <c r="SZS56" s="113"/>
      <c r="SZT56" s="113"/>
      <c r="SZU56" s="113"/>
      <c r="SZV56" s="113"/>
      <c r="SZW56" s="113"/>
      <c r="SZX56" s="113"/>
      <c r="SZY56" s="113"/>
      <c r="SZZ56" s="113"/>
      <c r="TAA56" s="113"/>
      <c r="TAB56" s="113"/>
      <c r="TAC56" s="113"/>
      <c r="TAD56" s="113"/>
      <c r="TAE56" s="113"/>
      <c r="TAF56" s="113"/>
      <c r="TAG56" s="113"/>
      <c r="TAH56" s="113"/>
      <c r="TAI56" s="113"/>
      <c r="TAJ56" s="113"/>
      <c r="TAK56" s="113"/>
      <c r="TAL56" s="113"/>
      <c r="TAM56" s="113"/>
      <c r="TAN56" s="113"/>
      <c r="TAO56" s="113"/>
      <c r="TAP56" s="113"/>
      <c r="TAQ56" s="113"/>
      <c r="TAR56" s="113"/>
      <c r="TAS56" s="113"/>
      <c r="TAT56" s="113"/>
      <c r="TAU56" s="113"/>
      <c r="TAV56" s="113"/>
      <c r="TAW56" s="113"/>
      <c r="TAX56" s="113"/>
      <c r="TAY56" s="113"/>
      <c r="TAZ56" s="113"/>
      <c r="TBA56" s="113"/>
      <c r="TBB56" s="113"/>
      <c r="TBC56" s="113"/>
      <c r="TBD56" s="113"/>
      <c r="TBE56" s="113"/>
      <c r="TBF56" s="113"/>
      <c r="TBG56" s="113"/>
      <c r="TBH56" s="113"/>
      <c r="TBI56" s="113"/>
      <c r="TBJ56" s="113"/>
      <c r="TBK56" s="113"/>
      <c r="TBL56" s="113"/>
      <c r="TBM56" s="113"/>
      <c r="TBN56" s="113"/>
      <c r="TBO56" s="113"/>
      <c r="TBP56" s="113"/>
      <c r="TBQ56" s="113"/>
      <c r="TBR56" s="113"/>
      <c r="TBS56" s="113"/>
      <c r="TBT56" s="113"/>
      <c r="TBU56" s="113"/>
      <c r="TBV56" s="113"/>
      <c r="TBW56" s="113"/>
      <c r="TBX56" s="113"/>
      <c r="TBY56" s="113"/>
      <c r="TBZ56" s="113"/>
      <c r="TCA56" s="113"/>
      <c r="TCB56" s="113"/>
      <c r="TCC56" s="113"/>
      <c r="TCD56" s="113"/>
      <c r="TCE56" s="113"/>
      <c r="TCF56" s="113"/>
      <c r="TCG56" s="113"/>
      <c r="TCH56" s="113"/>
      <c r="TCI56" s="113"/>
      <c r="TCJ56" s="113"/>
      <c r="TCK56" s="113"/>
      <c r="TCL56" s="113"/>
      <c r="TCM56" s="113"/>
      <c r="TCN56" s="113"/>
      <c r="TCO56" s="113"/>
      <c r="TCP56" s="113"/>
      <c r="TCQ56" s="113"/>
      <c r="TCR56" s="113"/>
      <c r="TCS56" s="113"/>
      <c r="TCT56" s="113"/>
      <c r="TCU56" s="113"/>
      <c r="TCV56" s="113"/>
      <c r="TCW56" s="113"/>
      <c r="TCX56" s="113"/>
      <c r="TCY56" s="113"/>
      <c r="TCZ56" s="113"/>
      <c r="TDA56" s="113"/>
      <c r="TDB56" s="113"/>
      <c r="TDC56" s="113"/>
      <c r="TDD56" s="113"/>
      <c r="TDE56" s="113"/>
      <c r="TDF56" s="113"/>
      <c r="TDG56" s="113"/>
      <c r="TDH56" s="113"/>
      <c r="TDI56" s="113"/>
      <c r="TDJ56" s="113"/>
      <c r="TDK56" s="113"/>
      <c r="TDL56" s="113"/>
      <c r="TDM56" s="113"/>
      <c r="TDN56" s="113"/>
      <c r="TDO56" s="113"/>
      <c r="TDP56" s="113"/>
      <c r="TDQ56" s="113"/>
      <c r="TDR56" s="113"/>
      <c r="TDS56" s="113"/>
      <c r="TDT56" s="113"/>
      <c r="TDU56" s="113"/>
      <c r="TDV56" s="113"/>
      <c r="TDW56" s="113"/>
      <c r="TDX56" s="113"/>
      <c r="TDY56" s="113"/>
      <c r="TDZ56" s="113"/>
      <c r="TEA56" s="113"/>
      <c r="TEB56" s="113"/>
      <c r="TEC56" s="113"/>
      <c r="TED56" s="113"/>
      <c r="TEE56" s="113"/>
      <c r="TEF56" s="113"/>
      <c r="TEG56" s="113"/>
      <c r="TEH56" s="113"/>
      <c r="TEI56" s="113"/>
      <c r="TEJ56" s="113"/>
      <c r="TEK56" s="113"/>
      <c r="TEL56" s="113"/>
      <c r="TEM56" s="113"/>
      <c r="TEN56" s="113"/>
      <c r="TEO56" s="113"/>
      <c r="TEP56" s="113"/>
      <c r="TEQ56" s="113"/>
      <c r="TER56" s="113"/>
      <c r="TES56" s="113"/>
      <c r="TET56" s="113"/>
      <c r="TEU56" s="113"/>
      <c r="TEV56" s="113"/>
      <c r="TEW56" s="113"/>
      <c r="TEX56" s="113"/>
      <c r="TEY56" s="113"/>
      <c r="TEZ56" s="113"/>
      <c r="TFA56" s="113"/>
      <c r="TFB56" s="113"/>
      <c r="TFC56" s="113"/>
      <c r="TFD56" s="113"/>
      <c r="TFE56" s="113"/>
      <c r="TFF56" s="113"/>
      <c r="TFG56" s="113"/>
      <c r="TFH56" s="113"/>
      <c r="TFI56" s="113"/>
      <c r="TFJ56" s="113"/>
      <c r="TFK56" s="113"/>
      <c r="TFL56" s="113"/>
      <c r="TFM56" s="113"/>
      <c r="TFN56" s="113"/>
      <c r="TFO56" s="113"/>
      <c r="TFP56" s="113"/>
      <c r="TFQ56" s="113"/>
      <c r="TFR56" s="113"/>
      <c r="TFS56" s="113"/>
      <c r="TFT56" s="113"/>
      <c r="TFU56" s="113"/>
      <c r="TFV56" s="113"/>
      <c r="TFW56" s="113"/>
      <c r="TFX56" s="113"/>
      <c r="TFY56" s="113"/>
      <c r="TFZ56" s="113"/>
      <c r="TGA56" s="113"/>
      <c r="TGB56" s="113"/>
      <c r="TGC56" s="113"/>
      <c r="TGD56" s="113"/>
      <c r="TGE56" s="113"/>
      <c r="TGF56" s="113"/>
      <c r="TGG56" s="113"/>
      <c r="TGH56" s="113"/>
      <c r="TGI56" s="113"/>
      <c r="TGJ56" s="113"/>
      <c r="TGK56" s="113"/>
      <c r="TGL56" s="113"/>
      <c r="TGM56" s="113"/>
      <c r="TGN56" s="113"/>
      <c r="TGO56" s="113"/>
      <c r="TGP56" s="113"/>
      <c r="TGQ56" s="113"/>
      <c r="TGR56" s="113"/>
      <c r="TGS56" s="113"/>
      <c r="TGT56" s="113"/>
      <c r="TGU56" s="113"/>
      <c r="TGV56" s="113"/>
      <c r="TGW56" s="113"/>
      <c r="TGX56" s="113"/>
      <c r="TGY56" s="113"/>
      <c r="TGZ56" s="113"/>
      <c r="THA56" s="113"/>
      <c r="THB56" s="113"/>
      <c r="THC56" s="113"/>
      <c r="THD56" s="113"/>
      <c r="THE56" s="113"/>
      <c r="THF56" s="113"/>
      <c r="THG56" s="113"/>
      <c r="THH56" s="113"/>
      <c r="THI56" s="113"/>
      <c r="THJ56" s="113"/>
      <c r="THK56" s="113"/>
      <c r="THL56" s="113"/>
      <c r="THM56" s="113"/>
      <c r="THN56" s="113"/>
      <c r="THO56" s="113"/>
      <c r="THP56" s="113"/>
      <c r="THQ56" s="113"/>
      <c r="THR56" s="113"/>
      <c r="THS56" s="113"/>
      <c r="THT56" s="113"/>
      <c r="THU56" s="113"/>
      <c r="THV56" s="113"/>
      <c r="THW56" s="113"/>
      <c r="THX56" s="113"/>
      <c r="THY56" s="113"/>
      <c r="THZ56" s="113"/>
      <c r="TIA56" s="113"/>
      <c r="TIB56" s="113"/>
      <c r="TIC56" s="113"/>
      <c r="TID56" s="113"/>
      <c r="TIE56" s="113"/>
      <c r="TIF56" s="113"/>
      <c r="TIG56" s="113"/>
      <c r="TIH56" s="113"/>
      <c r="TII56" s="113"/>
      <c r="TIJ56" s="113"/>
      <c r="TIK56" s="113"/>
      <c r="TIL56" s="113"/>
      <c r="TIM56" s="113"/>
      <c r="TIN56" s="113"/>
      <c r="TIO56" s="113"/>
      <c r="TIP56" s="113"/>
      <c r="TIQ56" s="113"/>
      <c r="TIR56" s="113"/>
      <c r="TIS56" s="113"/>
      <c r="TIT56" s="113"/>
      <c r="TIU56" s="113"/>
      <c r="TIV56" s="113"/>
      <c r="TIW56" s="113"/>
      <c r="TIX56" s="113"/>
      <c r="TIY56" s="113"/>
      <c r="TIZ56" s="113"/>
      <c r="TJA56" s="113"/>
      <c r="TJB56" s="113"/>
      <c r="TJC56" s="113"/>
      <c r="TJD56" s="113"/>
      <c r="TJE56" s="113"/>
      <c r="TJF56" s="113"/>
      <c r="TJG56" s="113"/>
      <c r="TJH56" s="113"/>
      <c r="TJI56" s="113"/>
      <c r="TJJ56" s="113"/>
      <c r="TJK56" s="113"/>
      <c r="TJL56" s="113"/>
      <c r="TJM56" s="113"/>
      <c r="TJN56" s="113"/>
      <c r="TJO56" s="113"/>
      <c r="TJP56" s="113"/>
      <c r="TJQ56" s="113"/>
      <c r="TJR56" s="113"/>
      <c r="TJS56" s="113"/>
      <c r="TJT56" s="113"/>
      <c r="TJU56" s="113"/>
      <c r="TJV56" s="113"/>
      <c r="TJW56" s="113"/>
      <c r="TJX56" s="113"/>
      <c r="TJY56" s="113"/>
      <c r="TJZ56" s="113"/>
      <c r="TKA56" s="113"/>
      <c r="TKB56" s="113"/>
      <c r="TKC56" s="113"/>
      <c r="TKD56" s="113"/>
      <c r="TKE56" s="113"/>
      <c r="TKF56" s="113"/>
      <c r="TKG56" s="113"/>
      <c r="TKH56" s="113"/>
      <c r="TKI56" s="113"/>
      <c r="TKJ56" s="113"/>
      <c r="TKK56" s="113"/>
      <c r="TKL56" s="113"/>
      <c r="TKM56" s="113"/>
      <c r="TKN56" s="113"/>
      <c r="TKO56" s="113"/>
      <c r="TKP56" s="113"/>
      <c r="TKQ56" s="113"/>
      <c r="TKR56" s="113"/>
      <c r="TKS56" s="113"/>
      <c r="TKT56" s="113"/>
      <c r="TKU56" s="113"/>
      <c r="TKV56" s="113"/>
      <c r="TKW56" s="113"/>
      <c r="TKX56" s="113"/>
      <c r="TKY56" s="113"/>
      <c r="TKZ56" s="113"/>
      <c r="TLA56" s="113"/>
      <c r="TLB56" s="113"/>
      <c r="TLC56" s="113"/>
      <c r="TLD56" s="113"/>
      <c r="TLE56" s="113"/>
      <c r="TLF56" s="113"/>
      <c r="TLG56" s="113"/>
      <c r="TLH56" s="113"/>
      <c r="TLI56" s="113"/>
      <c r="TLJ56" s="113"/>
      <c r="TLK56" s="113"/>
      <c r="TLL56" s="113"/>
      <c r="TLM56" s="113"/>
      <c r="TLN56" s="113"/>
      <c r="TLO56" s="113"/>
      <c r="TLP56" s="113"/>
      <c r="TLQ56" s="113"/>
      <c r="TLR56" s="113"/>
      <c r="TLS56" s="113"/>
      <c r="TLT56" s="113"/>
      <c r="TLU56" s="113"/>
      <c r="TLV56" s="113"/>
      <c r="TLW56" s="113"/>
      <c r="TLX56" s="113"/>
      <c r="TLY56" s="113"/>
      <c r="TLZ56" s="113"/>
      <c r="TMA56" s="113"/>
      <c r="TMB56" s="113"/>
      <c r="TMC56" s="113"/>
      <c r="TMD56" s="113"/>
      <c r="TME56" s="113"/>
      <c r="TMF56" s="113"/>
      <c r="TMG56" s="113"/>
      <c r="TMH56" s="113"/>
      <c r="TMI56" s="113"/>
      <c r="TMJ56" s="113"/>
      <c r="TMK56" s="113"/>
      <c r="TML56" s="113"/>
      <c r="TMM56" s="113"/>
      <c r="TMN56" s="113"/>
      <c r="TMO56" s="113"/>
      <c r="TMP56" s="113"/>
      <c r="TMQ56" s="113"/>
      <c r="TMR56" s="113"/>
      <c r="TMS56" s="113"/>
      <c r="TMT56" s="113"/>
      <c r="TMU56" s="113"/>
      <c r="TMV56" s="113"/>
      <c r="TMW56" s="113"/>
      <c r="TMX56" s="113"/>
      <c r="TMY56" s="113"/>
      <c r="TMZ56" s="113"/>
      <c r="TNA56" s="113"/>
      <c r="TNB56" s="113"/>
      <c r="TNC56" s="113"/>
      <c r="TND56" s="113"/>
      <c r="TNE56" s="113"/>
      <c r="TNF56" s="113"/>
      <c r="TNG56" s="113"/>
      <c r="TNH56" s="113"/>
      <c r="TNI56" s="113"/>
      <c r="TNJ56" s="113"/>
      <c r="TNK56" s="113"/>
      <c r="TNL56" s="113"/>
      <c r="TNM56" s="113"/>
      <c r="TNN56" s="113"/>
      <c r="TNO56" s="113"/>
      <c r="TNP56" s="113"/>
      <c r="TNQ56" s="113"/>
      <c r="TNR56" s="113"/>
      <c r="TNS56" s="113"/>
      <c r="TNT56" s="113"/>
      <c r="TNU56" s="113"/>
      <c r="TNV56" s="113"/>
      <c r="TNW56" s="113"/>
      <c r="TNX56" s="113"/>
      <c r="TNY56" s="113"/>
      <c r="TNZ56" s="113"/>
      <c r="TOA56" s="113"/>
      <c r="TOB56" s="113"/>
      <c r="TOC56" s="113"/>
      <c r="TOD56" s="113"/>
      <c r="TOE56" s="113"/>
      <c r="TOF56" s="113"/>
      <c r="TOG56" s="113"/>
      <c r="TOH56" s="113"/>
      <c r="TOI56" s="113"/>
      <c r="TOJ56" s="113"/>
      <c r="TOK56" s="113"/>
      <c r="TOL56" s="113"/>
      <c r="TOM56" s="113"/>
      <c r="TON56" s="113"/>
      <c r="TOO56" s="113"/>
      <c r="TOP56" s="113"/>
      <c r="TOQ56" s="113"/>
      <c r="TOR56" s="113"/>
      <c r="TOS56" s="113"/>
      <c r="TOT56" s="113"/>
      <c r="TOU56" s="113"/>
      <c r="TOV56" s="113"/>
      <c r="TOW56" s="113"/>
      <c r="TOX56" s="113"/>
      <c r="TOY56" s="113"/>
      <c r="TOZ56" s="113"/>
      <c r="TPA56" s="113"/>
      <c r="TPB56" s="113"/>
      <c r="TPC56" s="113"/>
      <c r="TPD56" s="113"/>
      <c r="TPE56" s="113"/>
      <c r="TPF56" s="113"/>
      <c r="TPG56" s="113"/>
      <c r="TPH56" s="113"/>
      <c r="TPI56" s="113"/>
      <c r="TPJ56" s="113"/>
      <c r="TPK56" s="113"/>
      <c r="TPL56" s="113"/>
      <c r="TPM56" s="113"/>
      <c r="TPN56" s="113"/>
      <c r="TPO56" s="113"/>
      <c r="TPP56" s="113"/>
      <c r="TPQ56" s="113"/>
      <c r="TPR56" s="113"/>
      <c r="TPS56" s="113"/>
      <c r="TPT56" s="113"/>
      <c r="TPU56" s="113"/>
      <c r="TPV56" s="113"/>
      <c r="TPW56" s="113"/>
      <c r="TPX56" s="113"/>
      <c r="TPY56" s="113"/>
      <c r="TPZ56" s="113"/>
      <c r="TQA56" s="113"/>
      <c r="TQB56" s="113"/>
      <c r="TQC56" s="113"/>
      <c r="TQD56" s="113"/>
      <c r="TQE56" s="113"/>
      <c r="TQF56" s="113"/>
      <c r="TQG56" s="113"/>
      <c r="TQH56" s="113"/>
      <c r="TQI56" s="113"/>
      <c r="TQJ56" s="113"/>
      <c r="TQK56" s="113"/>
      <c r="TQL56" s="113"/>
      <c r="TQM56" s="113"/>
      <c r="TQN56" s="113"/>
      <c r="TQO56" s="113"/>
      <c r="TQP56" s="113"/>
      <c r="TQQ56" s="113"/>
      <c r="TQR56" s="113"/>
      <c r="TQS56" s="113"/>
      <c r="TQT56" s="113"/>
      <c r="TQU56" s="113"/>
      <c r="TQV56" s="113"/>
      <c r="TQW56" s="113"/>
      <c r="TQX56" s="113"/>
      <c r="TQY56" s="113"/>
      <c r="TQZ56" s="113"/>
      <c r="TRA56" s="113"/>
      <c r="TRB56" s="113"/>
      <c r="TRC56" s="113"/>
      <c r="TRD56" s="113"/>
      <c r="TRE56" s="113"/>
      <c r="TRF56" s="113"/>
      <c r="TRG56" s="113"/>
      <c r="TRH56" s="113"/>
      <c r="TRI56" s="113"/>
      <c r="TRJ56" s="113"/>
      <c r="TRK56" s="113"/>
      <c r="TRL56" s="113"/>
      <c r="TRM56" s="113"/>
      <c r="TRN56" s="113"/>
      <c r="TRO56" s="113"/>
      <c r="TRP56" s="113"/>
      <c r="TRQ56" s="113"/>
      <c r="TRR56" s="113"/>
      <c r="TRS56" s="113"/>
      <c r="TRT56" s="113"/>
      <c r="TRU56" s="113"/>
      <c r="TRV56" s="113"/>
      <c r="TRW56" s="113"/>
      <c r="TRX56" s="113"/>
      <c r="TRY56" s="113"/>
      <c r="TRZ56" s="113"/>
      <c r="TSA56" s="113"/>
      <c r="TSB56" s="113"/>
      <c r="TSC56" s="113"/>
      <c r="TSD56" s="113"/>
      <c r="TSE56" s="113"/>
      <c r="TSF56" s="113"/>
      <c r="TSG56" s="113"/>
      <c r="TSH56" s="113"/>
      <c r="TSI56" s="113"/>
      <c r="TSJ56" s="113"/>
      <c r="TSK56" s="113"/>
      <c r="TSL56" s="113"/>
      <c r="TSM56" s="113"/>
      <c r="TSN56" s="113"/>
      <c r="TSO56" s="113"/>
      <c r="TSP56" s="113"/>
      <c r="TSQ56" s="113"/>
      <c r="TSR56" s="113"/>
      <c r="TSS56" s="113"/>
      <c r="TST56" s="113"/>
      <c r="TSU56" s="113"/>
      <c r="TSV56" s="113"/>
      <c r="TSW56" s="113"/>
      <c r="TSX56" s="113"/>
      <c r="TSY56" s="113"/>
      <c r="TSZ56" s="113"/>
      <c r="TTA56" s="113"/>
      <c r="TTB56" s="113"/>
      <c r="TTC56" s="113"/>
      <c r="TTD56" s="113"/>
      <c r="TTE56" s="113"/>
      <c r="TTF56" s="113"/>
      <c r="TTG56" s="113"/>
      <c r="TTH56" s="113"/>
      <c r="TTI56" s="113"/>
      <c r="TTJ56" s="113"/>
      <c r="TTK56" s="113"/>
      <c r="TTL56" s="113"/>
      <c r="TTM56" s="113"/>
      <c r="TTN56" s="113"/>
      <c r="TTO56" s="113"/>
      <c r="TTP56" s="113"/>
      <c r="TTQ56" s="113"/>
      <c r="TTR56" s="113"/>
      <c r="TTS56" s="113"/>
      <c r="TTT56" s="113"/>
      <c r="TTU56" s="113"/>
      <c r="TTV56" s="113"/>
      <c r="TTW56" s="113"/>
      <c r="TTX56" s="113"/>
      <c r="TTY56" s="113"/>
      <c r="TTZ56" s="113"/>
      <c r="TUA56" s="113"/>
      <c r="TUB56" s="113"/>
      <c r="TUC56" s="113"/>
      <c r="TUD56" s="113"/>
      <c r="TUE56" s="113"/>
      <c r="TUF56" s="113"/>
      <c r="TUG56" s="113"/>
      <c r="TUH56" s="113"/>
      <c r="TUI56" s="113"/>
      <c r="TUJ56" s="113"/>
      <c r="TUK56" s="113"/>
      <c r="TUL56" s="113"/>
      <c r="TUM56" s="113"/>
      <c r="TUN56" s="113"/>
      <c r="TUO56" s="113"/>
      <c r="TUP56" s="113"/>
      <c r="TUQ56" s="113"/>
      <c r="TUR56" s="113"/>
      <c r="TUS56" s="113"/>
      <c r="TUT56" s="113"/>
      <c r="TUU56" s="113"/>
      <c r="TUV56" s="113"/>
      <c r="TUW56" s="113"/>
      <c r="TUX56" s="113"/>
      <c r="TUY56" s="113"/>
      <c r="TUZ56" s="113"/>
      <c r="TVA56" s="113"/>
      <c r="TVB56" s="113"/>
      <c r="TVC56" s="113"/>
      <c r="TVD56" s="113"/>
      <c r="TVE56" s="113"/>
      <c r="TVF56" s="113"/>
      <c r="TVG56" s="113"/>
      <c r="TVH56" s="113"/>
      <c r="TVI56" s="113"/>
      <c r="TVJ56" s="113"/>
      <c r="TVK56" s="113"/>
      <c r="TVL56" s="113"/>
      <c r="TVM56" s="113"/>
      <c r="TVN56" s="113"/>
      <c r="TVO56" s="113"/>
      <c r="TVP56" s="113"/>
      <c r="TVQ56" s="113"/>
      <c r="TVR56" s="113"/>
      <c r="TVS56" s="113"/>
      <c r="TVT56" s="113"/>
      <c r="TVU56" s="113"/>
      <c r="TVV56" s="113"/>
      <c r="TVW56" s="113"/>
      <c r="TVX56" s="113"/>
      <c r="TVY56" s="113"/>
      <c r="TVZ56" s="113"/>
      <c r="TWA56" s="113"/>
      <c r="TWB56" s="113"/>
      <c r="TWC56" s="113"/>
      <c r="TWD56" s="113"/>
      <c r="TWE56" s="113"/>
      <c r="TWF56" s="113"/>
      <c r="TWG56" s="113"/>
      <c r="TWH56" s="113"/>
      <c r="TWI56" s="113"/>
      <c r="TWJ56" s="113"/>
      <c r="TWK56" s="113"/>
      <c r="TWL56" s="113"/>
      <c r="TWM56" s="113"/>
      <c r="TWN56" s="113"/>
      <c r="TWO56" s="113"/>
      <c r="TWP56" s="113"/>
      <c r="TWQ56" s="113"/>
      <c r="TWR56" s="113"/>
      <c r="TWS56" s="113"/>
      <c r="TWT56" s="113"/>
      <c r="TWU56" s="113"/>
      <c r="TWV56" s="113"/>
      <c r="TWW56" s="113"/>
      <c r="TWX56" s="113"/>
      <c r="TWY56" s="113"/>
      <c r="TWZ56" s="113"/>
      <c r="TXA56" s="113"/>
      <c r="TXB56" s="113"/>
      <c r="TXC56" s="113"/>
      <c r="TXD56" s="113"/>
      <c r="TXE56" s="113"/>
      <c r="TXF56" s="113"/>
      <c r="TXG56" s="113"/>
      <c r="TXH56" s="113"/>
      <c r="TXI56" s="113"/>
      <c r="TXJ56" s="113"/>
      <c r="TXK56" s="113"/>
      <c r="TXL56" s="113"/>
      <c r="TXM56" s="113"/>
      <c r="TXN56" s="113"/>
      <c r="TXO56" s="113"/>
      <c r="TXP56" s="113"/>
      <c r="TXQ56" s="113"/>
      <c r="TXR56" s="113"/>
      <c r="TXS56" s="113"/>
      <c r="TXT56" s="113"/>
      <c r="TXU56" s="113"/>
      <c r="TXV56" s="113"/>
      <c r="TXW56" s="113"/>
      <c r="TXX56" s="113"/>
      <c r="TXY56" s="113"/>
      <c r="TXZ56" s="113"/>
      <c r="TYA56" s="113"/>
      <c r="TYB56" s="113"/>
      <c r="TYC56" s="113"/>
      <c r="TYD56" s="113"/>
      <c r="TYE56" s="113"/>
      <c r="TYF56" s="113"/>
      <c r="TYG56" s="113"/>
      <c r="TYH56" s="113"/>
      <c r="TYI56" s="113"/>
      <c r="TYJ56" s="113"/>
      <c r="TYK56" s="113"/>
      <c r="TYL56" s="113"/>
      <c r="TYM56" s="113"/>
      <c r="TYN56" s="113"/>
      <c r="TYO56" s="113"/>
      <c r="TYP56" s="113"/>
      <c r="TYQ56" s="113"/>
      <c r="TYR56" s="113"/>
      <c r="TYS56" s="113"/>
      <c r="TYT56" s="113"/>
      <c r="TYU56" s="113"/>
      <c r="TYV56" s="113"/>
      <c r="TYW56" s="113"/>
      <c r="TYX56" s="113"/>
      <c r="TYY56" s="113"/>
      <c r="TYZ56" s="113"/>
      <c r="TZA56" s="113"/>
      <c r="TZB56" s="113"/>
      <c r="TZC56" s="113"/>
      <c r="TZD56" s="113"/>
      <c r="TZE56" s="113"/>
      <c r="TZF56" s="113"/>
      <c r="TZG56" s="113"/>
      <c r="TZH56" s="113"/>
      <c r="TZI56" s="113"/>
      <c r="TZJ56" s="113"/>
      <c r="TZK56" s="113"/>
      <c r="TZL56" s="113"/>
      <c r="TZM56" s="113"/>
      <c r="TZN56" s="113"/>
      <c r="TZO56" s="113"/>
      <c r="TZP56" s="113"/>
      <c r="TZQ56" s="113"/>
      <c r="TZR56" s="113"/>
      <c r="TZS56" s="113"/>
      <c r="TZT56" s="113"/>
      <c r="TZU56" s="113"/>
      <c r="TZV56" s="113"/>
      <c r="TZW56" s="113"/>
      <c r="TZX56" s="113"/>
      <c r="TZY56" s="113"/>
      <c r="TZZ56" s="113"/>
      <c r="UAA56" s="113"/>
      <c r="UAB56" s="113"/>
      <c r="UAC56" s="113"/>
      <c r="UAD56" s="113"/>
      <c r="UAE56" s="113"/>
      <c r="UAF56" s="113"/>
      <c r="UAG56" s="113"/>
      <c r="UAH56" s="113"/>
      <c r="UAI56" s="113"/>
      <c r="UAJ56" s="113"/>
      <c r="UAK56" s="113"/>
      <c r="UAL56" s="113"/>
      <c r="UAM56" s="113"/>
      <c r="UAN56" s="113"/>
      <c r="UAO56" s="113"/>
      <c r="UAP56" s="113"/>
      <c r="UAQ56" s="113"/>
      <c r="UAR56" s="113"/>
      <c r="UAS56" s="113"/>
      <c r="UAT56" s="113"/>
      <c r="UAU56" s="113"/>
      <c r="UAV56" s="113"/>
      <c r="UAW56" s="113"/>
      <c r="UAX56" s="113"/>
      <c r="UAY56" s="113"/>
      <c r="UAZ56" s="113"/>
      <c r="UBA56" s="113"/>
      <c r="UBB56" s="113"/>
      <c r="UBC56" s="113"/>
      <c r="UBD56" s="113"/>
      <c r="UBE56" s="113"/>
      <c r="UBF56" s="113"/>
      <c r="UBG56" s="113"/>
      <c r="UBH56" s="113"/>
      <c r="UBI56" s="113"/>
      <c r="UBJ56" s="113"/>
      <c r="UBK56" s="113"/>
      <c r="UBL56" s="113"/>
      <c r="UBM56" s="113"/>
      <c r="UBN56" s="113"/>
      <c r="UBO56" s="113"/>
      <c r="UBP56" s="113"/>
      <c r="UBQ56" s="113"/>
      <c r="UBR56" s="113"/>
      <c r="UBS56" s="113"/>
      <c r="UBT56" s="113"/>
      <c r="UBU56" s="113"/>
      <c r="UBV56" s="113"/>
      <c r="UBW56" s="113"/>
      <c r="UBX56" s="113"/>
      <c r="UBY56" s="113"/>
      <c r="UBZ56" s="113"/>
      <c r="UCA56" s="113"/>
      <c r="UCB56" s="113"/>
      <c r="UCC56" s="113"/>
      <c r="UCD56" s="113"/>
      <c r="UCE56" s="113"/>
      <c r="UCF56" s="113"/>
      <c r="UCG56" s="113"/>
      <c r="UCH56" s="113"/>
      <c r="UCI56" s="113"/>
      <c r="UCJ56" s="113"/>
      <c r="UCK56" s="113"/>
      <c r="UCL56" s="113"/>
      <c r="UCM56" s="113"/>
      <c r="UCN56" s="113"/>
      <c r="UCO56" s="113"/>
      <c r="UCP56" s="113"/>
      <c r="UCQ56" s="113"/>
      <c r="UCR56" s="113"/>
      <c r="UCS56" s="113"/>
      <c r="UCT56" s="113"/>
      <c r="UCU56" s="113"/>
      <c r="UCV56" s="113"/>
      <c r="UCW56" s="113"/>
      <c r="UCX56" s="113"/>
      <c r="UCY56" s="113"/>
      <c r="UCZ56" s="113"/>
      <c r="UDA56" s="113"/>
      <c r="UDB56" s="113"/>
      <c r="UDC56" s="113"/>
      <c r="UDD56" s="113"/>
      <c r="UDE56" s="113"/>
      <c r="UDF56" s="113"/>
      <c r="UDG56" s="113"/>
      <c r="UDH56" s="113"/>
      <c r="UDI56" s="113"/>
      <c r="UDJ56" s="113"/>
      <c r="UDK56" s="113"/>
      <c r="UDL56" s="113"/>
      <c r="UDM56" s="113"/>
      <c r="UDN56" s="113"/>
      <c r="UDO56" s="113"/>
      <c r="UDP56" s="113"/>
      <c r="UDQ56" s="113"/>
      <c r="UDR56" s="113"/>
      <c r="UDS56" s="113"/>
      <c r="UDT56" s="113"/>
      <c r="UDU56" s="113"/>
      <c r="UDV56" s="113"/>
      <c r="UDW56" s="113"/>
      <c r="UDX56" s="113"/>
      <c r="UDY56" s="113"/>
      <c r="UDZ56" s="113"/>
      <c r="UEA56" s="113"/>
      <c r="UEB56" s="113"/>
      <c r="UEC56" s="113"/>
      <c r="UED56" s="113"/>
      <c r="UEE56" s="113"/>
      <c r="UEF56" s="113"/>
      <c r="UEG56" s="113"/>
      <c r="UEH56" s="113"/>
      <c r="UEI56" s="113"/>
      <c r="UEJ56" s="113"/>
      <c r="UEK56" s="113"/>
      <c r="UEL56" s="113"/>
      <c r="UEM56" s="113"/>
      <c r="UEN56" s="113"/>
      <c r="UEO56" s="113"/>
      <c r="UEP56" s="113"/>
      <c r="UEQ56" s="113"/>
      <c r="UER56" s="113"/>
      <c r="UES56" s="113"/>
      <c r="UET56" s="113"/>
      <c r="UEU56" s="113"/>
      <c r="UEV56" s="113"/>
      <c r="UEW56" s="113"/>
      <c r="UEX56" s="113"/>
      <c r="UEY56" s="113"/>
      <c r="UEZ56" s="113"/>
      <c r="UFA56" s="113"/>
      <c r="UFB56" s="113"/>
      <c r="UFC56" s="113"/>
      <c r="UFD56" s="113"/>
      <c r="UFE56" s="113"/>
      <c r="UFF56" s="113"/>
      <c r="UFG56" s="113"/>
      <c r="UFH56" s="113"/>
      <c r="UFI56" s="113"/>
      <c r="UFJ56" s="113"/>
      <c r="UFK56" s="113"/>
      <c r="UFL56" s="113"/>
      <c r="UFM56" s="113"/>
      <c r="UFN56" s="113"/>
      <c r="UFO56" s="113"/>
      <c r="UFP56" s="113"/>
      <c r="UFQ56" s="113"/>
      <c r="UFR56" s="113"/>
      <c r="UFS56" s="113"/>
      <c r="UFT56" s="113"/>
      <c r="UFU56" s="113"/>
      <c r="UFV56" s="113"/>
      <c r="UFW56" s="113"/>
      <c r="UFX56" s="113"/>
      <c r="UFY56" s="113"/>
      <c r="UFZ56" s="113"/>
      <c r="UGA56" s="113"/>
      <c r="UGB56" s="113"/>
      <c r="UGC56" s="113"/>
      <c r="UGD56" s="113"/>
      <c r="UGE56" s="113"/>
      <c r="UGF56" s="113"/>
      <c r="UGG56" s="113"/>
      <c r="UGH56" s="113"/>
      <c r="UGI56" s="113"/>
      <c r="UGJ56" s="113"/>
      <c r="UGK56" s="113"/>
      <c r="UGL56" s="113"/>
      <c r="UGM56" s="113"/>
      <c r="UGN56" s="113"/>
      <c r="UGO56" s="113"/>
      <c r="UGP56" s="113"/>
      <c r="UGQ56" s="113"/>
      <c r="UGR56" s="113"/>
      <c r="UGS56" s="113"/>
      <c r="UGT56" s="113"/>
      <c r="UGU56" s="113"/>
      <c r="UGV56" s="113"/>
      <c r="UGW56" s="113"/>
      <c r="UGX56" s="113"/>
      <c r="UGY56" s="113"/>
      <c r="UGZ56" s="113"/>
      <c r="UHA56" s="113"/>
      <c r="UHB56" s="113"/>
      <c r="UHC56" s="113"/>
      <c r="UHD56" s="113"/>
      <c r="UHE56" s="113"/>
      <c r="UHF56" s="113"/>
      <c r="UHG56" s="113"/>
      <c r="UHH56" s="113"/>
      <c r="UHI56" s="113"/>
      <c r="UHJ56" s="113"/>
      <c r="UHK56" s="113"/>
      <c r="UHL56" s="113"/>
      <c r="UHM56" s="113"/>
      <c r="UHN56" s="113"/>
      <c r="UHO56" s="113"/>
      <c r="UHP56" s="113"/>
      <c r="UHQ56" s="113"/>
      <c r="UHR56" s="113"/>
      <c r="UHS56" s="113"/>
      <c r="UHT56" s="113"/>
      <c r="UHU56" s="113"/>
      <c r="UHV56" s="113"/>
      <c r="UHW56" s="113"/>
      <c r="UHX56" s="113"/>
      <c r="UHY56" s="113"/>
      <c r="UHZ56" s="113"/>
      <c r="UIA56" s="113"/>
      <c r="UIB56" s="113"/>
      <c r="UIC56" s="113"/>
      <c r="UID56" s="113"/>
      <c r="UIE56" s="113"/>
      <c r="UIF56" s="113"/>
      <c r="UIG56" s="113"/>
      <c r="UIH56" s="113"/>
      <c r="UII56" s="113"/>
      <c r="UIJ56" s="113"/>
      <c r="UIK56" s="113"/>
      <c r="UIL56" s="113"/>
      <c r="UIM56" s="113"/>
      <c r="UIN56" s="113"/>
      <c r="UIO56" s="113"/>
      <c r="UIP56" s="113"/>
      <c r="UIQ56" s="113"/>
      <c r="UIR56" s="113"/>
      <c r="UIS56" s="113"/>
      <c r="UIT56" s="113"/>
      <c r="UIU56" s="113"/>
      <c r="UIV56" s="113"/>
      <c r="UIW56" s="113"/>
      <c r="UIX56" s="113"/>
      <c r="UIY56" s="113"/>
      <c r="UIZ56" s="113"/>
      <c r="UJA56" s="113"/>
      <c r="UJB56" s="113"/>
      <c r="UJC56" s="113"/>
      <c r="UJD56" s="113"/>
      <c r="UJE56" s="113"/>
      <c r="UJF56" s="113"/>
      <c r="UJG56" s="113"/>
      <c r="UJH56" s="113"/>
      <c r="UJI56" s="113"/>
      <c r="UJJ56" s="113"/>
      <c r="UJK56" s="113"/>
      <c r="UJL56" s="113"/>
      <c r="UJM56" s="113"/>
      <c r="UJN56" s="113"/>
      <c r="UJO56" s="113"/>
      <c r="UJP56" s="113"/>
      <c r="UJQ56" s="113"/>
      <c r="UJR56" s="113"/>
      <c r="UJS56" s="113"/>
      <c r="UJT56" s="113"/>
      <c r="UJU56" s="113"/>
      <c r="UJV56" s="113"/>
      <c r="UJW56" s="113"/>
      <c r="UJX56" s="113"/>
      <c r="UJY56" s="113"/>
      <c r="UJZ56" s="113"/>
      <c r="UKA56" s="113"/>
      <c r="UKB56" s="113"/>
      <c r="UKC56" s="113"/>
      <c r="UKD56" s="113"/>
      <c r="UKE56" s="113"/>
      <c r="UKF56" s="113"/>
      <c r="UKG56" s="113"/>
      <c r="UKH56" s="113"/>
      <c r="UKI56" s="113"/>
      <c r="UKJ56" s="113"/>
      <c r="UKK56" s="113"/>
      <c r="UKL56" s="113"/>
      <c r="UKM56" s="113"/>
      <c r="UKN56" s="113"/>
      <c r="UKO56" s="113"/>
      <c r="UKP56" s="113"/>
      <c r="UKQ56" s="113"/>
      <c r="UKR56" s="113"/>
      <c r="UKS56" s="113"/>
      <c r="UKT56" s="113"/>
      <c r="UKU56" s="113"/>
      <c r="UKV56" s="113"/>
      <c r="UKW56" s="113"/>
      <c r="UKX56" s="113"/>
      <c r="UKY56" s="113"/>
      <c r="UKZ56" s="113"/>
      <c r="ULA56" s="113"/>
      <c r="ULB56" s="113"/>
      <c r="ULC56" s="113"/>
      <c r="ULD56" s="113"/>
      <c r="ULE56" s="113"/>
      <c r="ULF56" s="113"/>
      <c r="ULG56" s="113"/>
      <c r="ULH56" s="113"/>
      <c r="ULI56" s="113"/>
      <c r="ULJ56" s="113"/>
      <c r="ULK56" s="113"/>
      <c r="ULL56" s="113"/>
      <c r="ULM56" s="113"/>
      <c r="ULN56" s="113"/>
      <c r="ULO56" s="113"/>
      <c r="ULP56" s="113"/>
      <c r="ULQ56" s="113"/>
      <c r="ULR56" s="113"/>
      <c r="ULS56" s="113"/>
      <c r="ULT56" s="113"/>
      <c r="ULU56" s="113"/>
      <c r="ULV56" s="113"/>
      <c r="ULW56" s="113"/>
      <c r="ULX56" s="113"/>
      <c r="ULY56" s="113"/>
      <c r="ULZ56" s="113"/>
      <c r="UMA56" s="113"/>
      <c r="UMB56" s="113"/>
      <c r="UMC56" s="113"/>
      <c r="UMD56" s="113"/>
      <c r="UME56" s="113"/>
      <c r="UMF56" s="113"/>
      <c r="UMG56" s="113"/>
      <c r="UMH56" s="113"/>
      <c r="UMI56" s="113"/>
      <c r="UMJ56" s="113"/>
      <c r="UMK56" s="113"/>
      <c r="UML56" s="113"/>
      <c r="UMM56" s="113"/>
      <c r="UMN56" s="113"/>
      <c r="UMO56" s="113"/>
      <c r="UMP56" s="113"/>
      <c r="UMQ56" s="113"/>
      <c r="UMR56" s="113"/>
      <c r="UMS56" s="113"/>
      <c r="UMT56" s="113"/>
      <c r="UMU56" s="113"/>
      <c r="UMV56" s="113"/>
      <c r="UMW56" s="113"/>
      <c r="UMX56" s="113"/>
      <c r="UMY56" s="113"/>
      <c r="UMZ56" s="113"/>
      <c r="UNA56" s="113"/>
      <c r="UNB56" s="113"/>
      <c r="UNC56" s="113"/>
      <c r="UND56" s="113"/>
      <c r="UNE56" s="113"/>
      <c r="UNF56" s="113"/>
      <c r="UNG56" s="113"/>
      <c r="UNH56" s="113"/>
      <c r="UNI56" s="113"/>
      <c r="UNJ56" s="113"/>
      <c r="UNK56" s="113"/>
      <c r="UNL56" s="113"/>
      <c r="UNM56" s="113"/>
      <c r="UNN56" s="113"/>
      <c r="UNO56" s="113"/>
      <c r="UNP56" s="113"/>
      <c r="UNQ56" s="113"/>
      <c r="UNR56" s="113"/>
      <c r="UNS56" s="113"/>
      <c r="UNT56" s="113"/>
      <c r="UNU56" s="113"/>
      <c r="UNV56" s="113"/>
      <c r="UNW56" s="113"/>
      <c r="UNX56" s="113"/>
      <c r="UNY56" s="113"/>
      <c r="UNZ56" s="113"/>
      <c r="UOA56" s="113"/>
      <c r="UOB56" s="113"/>
      <c r="UOC56" s="113"/>
      <c r="UOD56" s="113"/>
      <c r="UOE56" s="113"/>
      <c r="UOF56" s="113"/>
      <c r="UOG56" s="113"/>
      <c r="UOH56" s="113"/>
      <c r="UOI56" s="113"/>
      <c r="UOJ56" s="113"/>
      <c r="UOK56" s="113"/>
      <c r="UOL56" s="113"/>
      <c r="UOM56" s="113"/>
      <c r="UON56" s="113"/>
      <c r="UOO56" s="113"/>
      <c r="UOP56" s="113"/>
      <c r="UOQ56" s="113"/>
      <c r="UOR56" s="113"/>
      <c r="UOS56" s="113"/>
      <c r="UOT56" s="113"/>
      <c r="UOU56" s="113"/>
      <c r="UOV56" s="113"/>
      <c r="UOW56" s="113"/>
      <c r="UOX56" s="113"/>
      <c r="UOY56" s="113"/>
      <c r="UOZ56" s="113"/>
      <c r="UPA56" s="113"/>
      <c r="UPB56" s="113"/>
      <c r="UPC56" s="113"/>
      <c r="UPD56" s="113"/>
      <c r="UPE56" s="113"/>
      <c r="UPF56" s="113"/>
      <c r="UPG56" s="113"/>
      <c r="UPH56" s="113"/>
      <c r="UPI56" s="113"/>
      <c r="UPJ56" s="113"/>
      <c r="UPK56" s="113"/>
      <c r="UPL56" s="113"/>
      <c r="UPM56" s="113"/>
      <c r="UPN56" s="113"/>
      <c r="UPO56" s="113"/>
      <c r="UPP56" s="113"/>
      <c r="UPQ56" s="113"/>
      <c r="UPR56" s="113"/>
      <c r="UPS56" s="113"/>
      <c r="UPT56" s="113"/>
      <c r="UPU56" s="113"/>
      <c r="UPV56" s="113"/>
      <c r="UPW56" s="113"/>
      <c r="UPX56" s="113"/>
      <c r="UPY56" s="113"/>
      <c r="UPZ56" s="113"/>
      <c r="UQA56" s="113"/>
      <c r="UQB56" s="113"/>
      <c r="UQC56" s="113"/>
      <c r="UQD56" s="113"/>
      <c r="UQE56" s="113"/>
      <c r="UQF56" s="113"/>
      <c r="UQG56" s="113"/>
      <c r="UQH56" s="113"/>
      <c r="UQI56" s="113"/>
      <c r="UQJ56" s="113"/>
      <c r="UQK56" s="113"/>
      <c r="UQL56" s="113"/>
      <c r="UQM56" s="113"/>
      <c r="UQN56" s="113"/>
      <c r="UQO56" s="113"/>
      <c r="UQP56" s="113"/>
      <c r="UQQ56" s="113"/>
      <c r="UQR56" s="113"/>
      <c r="UQS56" s="113"/>
      <c r="UQT56" s="113"/>
      <c r="UQU56" s="113"/>
      <c r="UQV56" s="113"/>
      <c r="UQW56" s="113"/>
      <c r="UQX56" s="113"/>
      <c r="UQY56" s="113"/>
      <c r="UQZ56" s="113"/>
      <c r="URA56" s="113"/>
      <c r="URB56" s="113"/>
      <c r="URC56" s="113"/>
      <c r="URD56" s="113"/>
      <c r="URE56" s="113"/>
      <c r="URF56" s="113"/>
      <c r="URG56" s="113"/>
      <c r="URH56" s="113"/>
      <c r="URI56" s="113"/>
      <c r="URJ56" s="113"/>
      <c r="URK56" s="113"/>
      <c r="URL56" s="113"/>
      <c r="URM56" s="113"/>
      <c r="URN56" s="113"/>
      <c r="URO56" s="113"/>
      <c r="URP56" s="113"/>
      <c r="URQ56" s="113"/>
      <c r="URR56" s="113"/>
      <c r="URS56" s="113"/>
      <c r="URT56" s="113"/>
      <c r="URU56" s="113"/>
      <c r="URV56" s="113"/>
      <c r="URW56" s="113"/>
      <c r="URX56" s="113"/>
      <c r="URY56" s="113"/>
      <c r="URZ56" s="113"/>
      <c r="USA56" s="113"/>
      <c r="USB56" s="113"/>
      <c r="USC56" s="113"/>
      <c r="USD56" s="113"/>
      <c r="USE56" s="113"/>
      <c r="USF56" s="113"/>
      <c r="USG56" s="113"/>
      <c r="USH56" s="113"/>
      <c r="USI56" s="113"/>
      <c r="USJ56" s="113"/>
      <c r="USK56" s="113"/>
      <c r="USL56" s="113"/>
      <c r="USM56" s="113"/>
      <c r="USN56" s="113"/>
      <c r="USO56" s="113"/>
      <c r="USP56" s="113"/>
      <c r="USQ56" s="113"/>
      <c r="USR56" s="113"/>
      <c r="USS56" s="113"/>
      <c r="UST56" s="113"/>
      <c r="USU56" s="113"/>
      <c r="USV56" s="113"/>
      <c r="USW56" s="113"/>
      <c r="USX56" s="113"/>
      <c r="USY56" s="113"/>
      <c r="USZ56" s="113"/>
      <c r="UTA56" s="113"/>
      <c r="UTB56" s="113"/>
      <c r="UTC56" s="113"/>
      <c r="UTD56" s="113"/>
      <c r="UTE56" s="113"/>
      <c r="UTF56" s="113"/>
      <c r="UTG56" s="113"/>
      <c r="UTH56" s="113"/>
      <c r="UTI56" s="113"/>
      <c r="UTJ56" s="113"/>
      <c r="UTK56" s="113"/>
      <c r="UTL56" s="113"/>
      <c r="UTM56" s="113"/>
      <c r="UTN56" s="113"/>
      <c r="UTO56" s="113"/>
      <c r="UTP56" s="113"/>
      <c r="UTQ56" s="113"/>
      <c r="UTR56" s="113"/>
      <c r="UTS56" s="113"/>
      <c r="UTT56" s="113"/>
      <c r="UTU56" s="113"/>
      <c r="UTV56" s="113"/>
      <c r="UTW56" s="113"/>
      <c r="UTX56" s="113"/>
      <c r="UTY56" s="113"/>
      <c r="UTZ56" s="113"/>
      <c r="UUA56" s="113"/>
      <c r="UUB56" s="113"/>
      <c r="UUC56" s="113"/>
      <c r="UUD56" s="113"/>
      <c r="UUE56" s="113"/>
      <c r="UUF56" s="113"/>
      <c r="UUG56" s="113"/>
      <c r="UUH56" s="113"/>
      <c r="UUI56" s="113"/>
      <c r="UUJ56" s="113"/>
      <c r="UUK56" s="113"/>
      <c r="UUL56" s="113"/>
      <c r="UUM56" s="113"/>
      <c r="UUN56" s="113"/>
      <c r="UUO56" s="113"/>
      <c r="UUP56" s="113"/>
      <c r="UUQ56" s="113"/>
      <c r="UUR56" s="113"/>
      <c r="UUS56" s="113"/>
      <c r="UUT56" s="113"/>
      <c r="UUU56" s="113"/>
      <c r="UUV56" s="113"/>
      <c r="UUW56" s="113"/>
      <c r="UUX56" s="113"/>
      <c r="UUY56" s="113"/>
      <c r="UUZ56" s="113"/>
      <c r="UVA56" s="113"/>
      <c r="UVB56" s="113"/>
      <c r="UVC56" s="113"/>
      <c r="UVD56" s="113"/>
      <c r="UVE56" s="113"/>
      <c r="UVF56" s="113"/>
      <c r="UVG56" s="113"/>
      <c r="UVH56" s="113"/>
      <c r="UVI56" s="113"/>
      <c r="UVJ56" s="113"/>
      <c r="UVK56" s="113"/>
      <c r="UVL56" s="113"/>
      <c r="UVM56" s="113"/>
      <c r="UVN56" s="113"/>
      <c r="UVO56" s="113"/>
      <c r="UVP56" s="113"/>
      <c r="UVQ56" s="113"/>
      <c r="UVR56" s="113"/>
      <c r="UVS56" s="113"/>
      <c r="UVT56" s="113"/>
      <c r="UVU56" s="113"/>
      <c r="UVV56" s="113"/>
      <c r="UVW56" s="113"/>
      <c r="UVX56" s="113"/>
      <c r="UVY56" s="113"/>
      <c r="UVZ56" s="113"/>
      <c r="UWA56" s="113"/>
      <c r="UWB56" s="113"/>
      <c r="UWC56" s="113"/>
      <c r="UWD56" s="113"/>
      <c r="UWE56" s="113"/>
      <c r="UWF56" s="113"/>
      <c r="UWG56" s="113"/>
      <c r="UWH56" s="113"/>
      <c r="UWI56" s="113"/>
      <c r="UWJ56" s="113"/>
      <c r="UWK56" s="113"/>
      <c r="UWL56" s="113"/>
      <c r="UWM56" s="113"/>
      <c r="UWN56" s="113"/>
      <c r="UWO56" s="113"/>
      <c r="UWP56" s="113"/>
      <c r="UWQ56" s="113"/>
      <c r="UWR56" s="113"/>
      <c r="UWS56" s="113"/>
      <c r="UWT56" s="113"/>
      <c r="UWU56" s="113"/>
      <c r="UWV56" s="113"/>
      <c r="UWW56" s="113"/>
      <c r="UWX56" s="113"/>
      <c r="UWY56" s="113"/>
      <c r="UWZ56" s="113"/>
      <c r="UXA56" s="113"/>
      <c r="UXB56" s="113"/>
      <c r="UXC56" s="113"/>
      <c r="UXD56" s="113"/>
      <c r="UXE56" s="113"/>
      <c r="UXF56" s="113"/>
      <c r="UXG56" s="113"/>
      <c r="UXH56" s="113"/>
      <c r="UXI56" s="113"/>
      <c r="UXJ56" s="113"/>
      <c r="UXK56" s="113"/>
      <c r="UXL56" s="113"/>
      <c r="UXM56" s="113"/>
      <c r="UXN56" s="113"/>
      <c r="UXO56" s="113"/>
      <c r="UXP56" s="113"/>
      <c r="UXQ56" s="113"/>
      <c r="UXR56" s="113"/>
      <c r="UXS56" s="113"/>
      <c r="UXT56" s="113"/>
      <c r="UXU56" s="113"/>
      <c r="UXV56" s="113"/>
      <c r="UXW56" s="113"/>
      <c r="UXX56" s="113"/>
      <c r="UXY56" s="113"/>
      <c r="UXZ56" s="113"/>
      <c r="UYA56" s="113"/>
      <c r="UYB56" s="113"/>
      <c r="UYC56" s="113"/>
      <c r="UYD56" s="113"/>
      <c r="UYE56" s="113"/>
      <c r="UYF56" s="113"/>
      <c r="UYG56" s="113"/>
      <c r="UYH56" s="113"/>
      <c r="UYI56" s="113"/>
      <c r="UYJ56" s="113"/>
      <c r="UYK56" s="113"/>
      <c r="UYL56" s="113"/>
      <c r="UYM56" s="113"/>
      <c r="UYN56" s="113"/>
      <c r="UYO56" s="113"/>
      <c r="UYP56" s="113"/>
      <c r="UYQ56" s="113"/>
      <c r="UYR56" s="113"/>
      <c r="UYS56" s="113"/>
      <c r="UYT56" s="113"/>
      <c r="UYU56" s="113"/>
      <c r="UYV56" s="113"/>
      <c r="UYW56" s="113"/>
      <c r="UYX56" s="113"/>
      <c r="UYY56" s="113"/>
      <c r="UYZ56" s="113"/>
      <c r="UZA56" s="113"/>
      <c r="UZB56" s="113"/>
      <c r="UZC56" s="113"/>
      <c r="UZD56" s="113"/>
      <c r="UZE56" s="113"/>
      <c r="UZF56" s="113"/>
      <c r="UZG56" s="113"/>
      <c r="UZH56" s="113"/>
      <c r="UZI56" s="113"/>
      <c r="UZJ56" s="113"/>
      <c r="UZK56" s="113"/>
      <c r="UZL56" s="113"/>
      <c r="UZM56" s="113"/>
      <c r="UZN56" s="113"/>
      <c r="UZO56" s="113"/>
      <c r="UZP56" s="113"/>
      <c r="UZQ56" s="113"/>
      <c r="UZR56" s="113"/>
      <c r="UZS56" s="113"/>
      <c r="UZT56" s="113"/>
      <c r="UZU56" s="113"/>
      <c r="UZV56" s="113"/>
      <c r="UZW56" s="113"/>
      <c r="UZX56" s="113"/>
      <c r="UZY56" s="113"/>
      <c r="UZZ56" s="113"/>
      <c r="VAA56" s="113"/>
      <c r="VAB56" s="113"/>
      <c r="VAC56" s="113"/>
      <c r="VAD56" s="113"/>
      <c r="VAE56" s="113"/>
      <c r="VAF56" s="113"/>
      <c r="VAG56" s="113"/>
      <c r="VAH56" s="113"/>
      <c r="VAI56" s="113"/>
      <c r="VAJ56" s="113"/>
      <c r="VAK56" s="113"/>
      <c r="VAL56" s="113"/>
      <c r="VAM56" s="113"/>
      <c r="VAN56" s="113"/>
      <c r="VAO56" s="113"/>
      <c r="VAP56" s="113"/>
      <c r="VAQ56" s="113"/>
      <c r="VAR56" s="113"/>
      <c r="VAS56" s="113"/>
      <c r="VAT56" s="113"/>
      <c r="VAU56" s="113"/>
      <c r="VAV56" s="113"/>
      <c r="VAW56" s="113"/>
      <c r="VAX56" s="113"/>
      <c r="VAY56" s="113"/>
      <c r="VAZ56" s="113"/>
      <c r="VBA56" s="113"/>
      <c r="VBB56" s="113"/>
      <c r="VBC56" s="113"/>
      <c r="VBD56" s="113"/>
      <c r="VBE56" s="113"/>
      <c r="VBF56" s="113"/>
      <c r="VBG56" s="113"/>
      <c r="VBH56" s="113"/>
      <c r="VBI56" s="113"/>
      <c r="VBJ56" s="113"/>
      <c r="VBK56" s="113"/>
      <c r="VBL56" s="113"/>
      <c r="VBM56" s="113"/>
      <c r="VBN56" s="113"/>
      <c r="VBO56" s="113"/>
      <c r="VBP56" s="113"/>
      <c r="VBQ56" s="113"/>
      <c r="VBR56" s="113"/>
      <c r="VBS56" s="113"/>
      <c r="VBT56" s="113"/>
      <c r="VBU56" s="113"/>
      <c r="VBV56" s="113"/>
      <c r="VBW56" s="113"/>
      <c r="VBX56" s="113"/>
      <c r="VBY56" s="113"/>
      <c r="VBZ56" s="113"/>
      <c r="VCA56" s="113"/>
      <c r="VCB56" s="113"/>
      <c r="VCC56" s="113"/>
      <c r="VCD56" s="113"/>
      <c r="VCE56" s="113"/>
      <c r="VCF56" s="113"/>
      <c r="VCG56" s="113"/>
      <c r="VCH56" s="113"/>
      <c r="VCI56" s="113"/>
      <c r="VCJ56" s="113"/>
      <c r="VCK56" s="113"/>
      <c r="VCL56" s="113"/>
      <c r="VCM56" s="113"/>
      <c r="VCN56" s="113"/>
      <c r="VCO56" s="113"/>
      <c r="VCP56" s="113"/>
      <c r="VCQ56" s="113"/>
      <c r="VCR56" s="113"/>
      <c r="VCS56" s="113"/>
      <c r="VCT56" s="113"/>
      <c r="VCU56" s="113"/>
      <c r="VCV56" s="113"/>
      <c r="VCW56" s="113"/>
      <c r="VCX56" s="113"/>
      <c r="VCY56" s="113"/>
      <c r="VCZ56" s="113"/>
      <c r="VDA56" s="113"/>
      <c r="VDB56" s="113"/>
      <c r="VDC56" s="113"/>
      <c r="VDD56" s="113"/>
      <c r="VDE56" s="113"/>
      <c r="VDF56" s="113"/>
      <c r="VDG56" s="113"/>
      <c r="VDH56" s="113"/>
      <c r="VDI56" s="113"/>
      <c r="VDJ56" s="113"/>
      <c r="VDK56" s="113"/>
      <c r="VDL56" s="113"/>
      <c r="VDM56" s="113"/>
      <c r="VDN56" s="113"/>
      <c r="VDO56" s="113"/>
      <c r="VDP56" s="113"/>
      <c r="VDQ56" s="113"/>
      <c r="VDR56" s="113"/>
      <c r="VDS56" s="113"/>
      <c r="VDT56" s="113"/>
      <c r="VDU56" s="113"/>
      <c r="VDV56" s="113"/>
      <c r="VDW56" s="113"/>
      <c r="VDX56" s="113"/>
      <c r="VDY56" s="113"/>
      <c r="VDZ56" s="113"/>
      <c r="VEA56" s="113"/>
      <c r="VEB56" s="113"/>
      <c r="VEC56" s="113"/>
      <c r="VED56" s="113"/>
      <c r="VEE56" s="113"/>
      <c r="VEF56" s="113"/>
      <c r="VEG56" s="113"/>
      <c r="VEH56" s="113"/>
      <c r="VEI56" s="113"/>
      <c r="VEJ56" s="113"/>
      <c r="VEK56" s="113"/>
      <c r="VEL56" s="113"/>
      <c r="VEM56" s="113"/>
      <c r="VEN56" s="113"/>
      <c r="VEO56" s="113"/>
      <c r="VEP56" s="113"/>
      <c r="VEQ56" s="113"/>
      <c r="VER56" s="113"/>
      <c r="VES56" s="113"/>
      <c r="VET56" s="113"/>
      <c r="VEU56" s="113"/>
      <c r="VEV56" s="113"/>
      <c r="VEW56" s="113"/>
      <c r="VEX56" s="113"/>
      <c r="VEY56" s="113"/>
      <c r="VEZ56" s="113"/>
      <c r="VFA56" s="113"/>
      <c r="VFB56" s="113"/>
      <c r="VFC56" s="113"/>
      <c r="VFD56" s="113"/>
      <c r="VFE56" s="113"/>
      <c r="VFF56" s="113"/>
      <c r="VFG56" s="113"/>
      <c r="VFH56" s="113"/>
      <c r="VFI56" s="113"/>
      <c r="VFJ56" s="113"/>
      <c r="VFK56" s="113"/>
      <c r="VFL56" s="113"/>
      <c r="VFM56" s="113"/>
      <c r="VFN56" s="113"/>
      <c r="VFO56" s="113"/>
      <c r="VFP56" s="113"/>
      <c r="VFQ56" s="113"/>
      <c r="VFR56" s="113"/>
      <c r="VFS56" s="113"/>
      <c r="VFT56" s="113"/>
      <c r="VFU56" s="113"/>
      <c r="VFV56" s="113"/>
      <c r="VFW56" s="113"/>
      <c r="VFX56" s="113"/>
      <c r="VFY56" s="113"/>
      <c r="VFZ56" s="113"/>
      <c r="VGA56" s="113"/>
      <c r="VGB56" s="113"/>
      <c r="VGC56" s="113"/>
      <c r="VGD56" s="113"/>
      <c r="VGE56" s="113"/>
      <c r="VGF56" s="113"/>
      <c r="VGG56" s="113"/>
      <c r="VGH56" s="113"/>
      <c r="VGI56" s="113"/>
      <c r="VGJ56" s="113"/>
      <c r="VGK56" s="113"/>
      <c r="VGL56" s="113"/>
      <c r="VGM56" s="113"/>
      <c r="VGN56" s="113"/>
      <c r="VGO56" s="113"/>
      <c r="VGP56" s="113"/>
      <c r="VGQ56" s="113"/>
      <c r="VGR56" s="113"/>
      <c r="VGS56" s="113"/>
      <c r="VGT56" s="113"/>
      <c r="VGU56" s="113"/>
      <c r="VGV56" s="113"/>
      <c r="VGW56" s="113"/>
      <c r="VGX56" s="113"/>
      <c r="VGY56" s="113"/>
      <c r="VGZ56" s="113"/>
      <c r="VHA56" s="113"/>
      <c r="VHB56" s="113"/>
      <c r="VHC56" s="113"/>
      <c r="VHD56" s="113"/>
      <c r="VHE56" s="113"/>
      <c r="VHF56" s="113"/>
      <c r="VHG56" s="113"/>
      <c r="VHH56" s="113"/>
      <c r="VHI56" s="113"/>
      <c r="VHJ56" s="113"/>
      <c r="VHK56" s="113"/>
      <c r="VHL56" s="113"/>
      <c r="VHM56" s="113"/>
      <c r="VHN56" s="113"/>
      <c r="VHO56" s="113"/>
      <c r="VHP56" s="113"/>
      <c r="VHQ56" s="113"/>
      <c r="VHR56" s="113"/>
      <c r="VHS56" s="113"/>
      <c r="VHT56" s="113"/>
      <c r="VHU56" s="113"/>
      <c r="VHV56" s="113"/>
      <c r="VHW56" s="113"/>
      <c r="VHX56" s="113"/>
      <c r="VHY56" s="113"/>
      <c r="VHZ56" s="113"/>
      <c r="VIA56" s="113"/>
      <c r="VIB56" s="113"/>
      <c r="VIC56" s="113"/>
      <c r="VID56" s="113"/>
      <c r="VIE56" s="113"/>
      <c r="VIF56" s="113"/>
      <c r="VIG56" s="113"/>
      <c r="VIH56" s="113"/>
      <c r="VII56" s="113"/>
      <c r="VIJ56" s="113"/>
      <c r="VIK56" s="113"/>
      <c r="VIL56" s="113"/>
      <c r="VIM56" s="113"/>
      <c r="VIN56" s="113"/>
      <c r="VIO56" s="113"/>
      <c r="VIP56" s="113"/>
      <c r="VIQ56" s="113"/>
      <c r="VIR56" s="113"/>
      <c r="VIS56" s="113"/>
      <c r="VIT56" s="113"/>
      <c r="VIU56" s="113"/>
      <c r="VIV56" s="113"/>
      <c r="VIW56" s="113"/>
      <c r="VIX56" s="113"/>
      <c r="VIY56" s="113"/>
      <c r="VIZ56" s="113"/>
      <c r="VJA56" s="113"/>
      <c r="VJB56" s="113"/>
      <c r="VJC56" s="113"/>
      <c r="VJD56" s="113"/>
      <c r="VJE56" s="113"/>
      <c r="VJF56" s="113"/>
      <c r="VJG56" s="113"/>
      <c r="VJH56" s="113"/>
      <c r="VJI56" s="113"/>
      <c r="VJJ56" s="113"/>
      <c r="VJK56" s="113"/>
      <c r="VJL56" s="113"/>
      <c r="VJM56" s="113"/>
      <c r="VJN56" s="113"/>
      <c r="VJO56" s="113"/>
      <c r="VJP56" s="113"/>
      <c r="VJQ56" s="113"/>
      <c r="VJR56" s="113"/>
      <c r="VJS56" s="113"/>
      <c r="VJT56" s="113"/>
      <c r="VJU56" s="113"/>
      <c r="VJV56" s="113"/>
      <c r="VJW56" s="113"/>
      <c r="VJX56" s="113"/>
      <c r="VJY56" s="113"/>
      <c r="VJZ56" s="113"/>
      <c r="VKA56" s="113"/>
      <c r="VKB56" s="113"/>
      <c r="VKC56" s="113"/>
      <c r="VKD56" s="113"/>
      <c r="VKE56" s="113"/>
      <c r="VKF56" s="113"/>
      <c r="VKG56" s="113"/>
      <c r="VKH56" s="113"/>
      <c r="VKI56" s="113"/>
      <c r="VKJ56" s="113"/>
      <c r="VKK56" s="113"/>
      <c r="VKL56" s="113"/>
      <c r="VKM56" s="113"/>
      <c r="VKN56" s="113"/>
      <c r="VKO56" s="113"/>
      <c r="VKP56" s="113"/>
      <c r="VKQ56" s="113"/>
      <c r="VKR56" s="113"/>
      <c r="VKS56" s="113"/>
      <c r="VKT56" s="113"/>
      <c r="VKU56" s="113"/>
      <c r="VKV56" s="113"/>
      <c r="VKW56" s="113"/>
      <c r="VKX56" s="113"/>
      <c r="VKY56" s="113"/>
      <c r="VKZ56" s="113"/>
      <c r="VLA56" s="113"/>
      <c r="VLB56" s="113"/>
      <c r="VLC56" s="113"/>
      <c r="VLD56" s="113"/>
      <c r="VLE56" s="113"/>
      <c r="VLF56" s="113"/>
      <c r="VLG56" s="113"/>
      <c r="VLH56" s="113"/>
      <c r="VLI56" s="113"/>
      <c r="VLJ56" s="113"/>
      <c r="VLK56" s="113"/>
      <c r="VLL56" s="113"/>
      <c r="VLM56" s="113"/>
      <c r="VLN56" s="113"/>
      <c r="VLO56" s="113"/>
      <c r="VLP56" s="113"/>
      <c r="VLQ56" s="113"/>
      <c r="VLR56" s="113"/>
      <c r="VLS56" s="113"/>
      <c r="VLT56" s="113"/>
      <c r="VLU56" s="113"/>
      <c r="VLV56" s="113"/>
      <c r="VLW56" s="113"/>
      <c r="VLX56" s="113"/>
      <c r="VLY56" s="113"/>
      <c r="VLZ56" s="113"/>
      <c r="VMA56" s="113"/>
      <c r="VMB56" s="113"/>
      <c r="VMC56" s="113"/>
      <c r="VMD56" s="113"/>
      <c r="VME56" s="113"/>
      <c r="VMF56" s="113"/>
      <c r="VMG56" s="113"/>
      <c r="VMH56" s="113"/>
      <c r="VMI56" s="113"/>
      <c r="VMJ56" s="113"/>
      <c r="VMK56" s="113"/>
      <c r="VML56" s="113"/>
      <c r="VMM56" s="113"/>
      <c r="VMN56" s="113"/>
      <c r="VMO56" s="113"/>
      <c r="VMP56" s="113"/>
      <c r="VMQ56" s="113"/>
      <c r="VMR56" s="113"/>
      <c r="VMS56" s="113"/>
      <c r="VMT56" s="113"/>
      <c r="VMU56" s="113"/>
      <c r="VMV56" s="113"/>
      <c r="VMW56" s="113"/>
      <c r="VMX56" s="113"/>
      <c r="VMY56" s="113"/>
      <c r="VMZ56" s="113"/>
      <c r="VNA56" s="113"/>
      <c r="VNB56" s="113"/>
      <c r="VNC56" s="113"/>
      <c r="VND56" s="113"/>
      <c r="VNE56" s="113"/>
      <c r="VNF56" s="113"/>
      <c r="VNG56" s="113"/>
      <c r="VNH56" s="113"/>
      <c r="VNI56" s="113"/>
      <c r="VNJ56" s="113"/>
      <c r="VNK56" s="113"/>
      <c r="VNL56" s="113"/>
      <c r="VNM56" s="113"/>
      <c r="VNN56" s="113"/>
      <c r="VNO56" s="113"/>
      <c r="VNP56" s="113"/>
      <c r="VNQ56" s="113"/>
      <c r="VNR56" s="113"/>
      <c r="VNS56" s="113"/>
      <c r="VNT56" s="113"/>
      <c r="VNU56" s="113"/>
      <c r="VNV56" s="113"/>
      <c r="VNW56" s="113"/>
      <c r="VNX56" s="113"/>
      <c r="VNY56" s="113"/>
      <c r="VNZ56" s="113"/>
      <c r="VOA56" s="113"/>
      <c r="VOB56" s="113"/>
      <c r="VOC56" s="113"/>
      <c r="VOD56" s="113"/>
      <c r="VOE56" s="113"/>
      <c r="VOF56" s="113"/>
      <c r="VOG56" s="113"/>
      <c r="VOH56" s="113"/>
      <c r="VOI56" s="113"/>
      <c r="VOJ56" s="113"/>
      <c r="VOK56" s="113"/>
      <c r="VOL56" s="113"/>
      <c r="VOM56" s="113"/>
      <c r="VON56" s="113"/>
      <c r="VOO56" s="113"/>
      <c r="VOP56" s="113"/>
      <c r="VOQ56" s="113"/>
      <c r="VOR56" s="113"/>
      <c r="VOS56" s="113"/>
      <c r="VOT56" s="113"/>
      <c r="VOU56" s="113"/>
      <c r="VOV56" s="113"/>
      <c r="VOW56" s="113"/>
      <c r="VOX56" s="113"/>
      <c r="VOY56" s="113"/>
      <c r="VOZ56" s="113"/>
      <c r="VPA56" s="113"/>
      <c r="VPB56" s="113"/>
      <c r="VPC56" s="113"/>
      <c r="VPD56" s="113"/>
      <c r="VPE56" s="113"/>
      <c r="VPF56" s="113"/>
      <c r="VPG56" s="113"/>
      <c r="VPH56" s="113"/>
      <c r="VPI56" s="113"/>
      <c r="VPJ56" s="113"/>
      <c r="VPK56" s="113"/>
      <c r="VPL56" s="113"/>
      <c r="VPM56" s="113"/>
      <c r="VPN56" s="113"/>
      <c r="VPO56" s="113"/>
      <c r="VPP56" s="113"/>
      <c r="VPQ56" s="113"/>
      <c r="VPR56" s="113"/>
      <c r="VPS56" s="113"/>
      <c r="VPT56" s="113"/>
      <c r="VPU56" s="113"/>
      <c r="VPV56" s="113"/>
      <c r="VPW56" s="113"/>
      <c r="VPX56" s="113"/>
      <c r="VPY56" s="113"/>
      <c r="VPZ56" s="113"/>
      <c r="VQA56" s="113"/>
      <c r="VQB56" s="113"/>
      <c r="VQC56" s="113"/>
      <c r="VQD56" s="113"/>
      <c r="VQE56" s="113"/>
      <c r="VQF56" s="113"/>
      <c r="VQG56" s="113"/>
      <c r="VQH56" s="113"/>
      <c r="VQI56" s="113"/>
      <c r="VQJ56" s="113"/>
      <c r="VQK56" s="113"/>
      <c r="VQL56" s="113"/>
      <c r="VQM56" s="113"/>
      <c r="VQN56" s="113"/>
      <c r="VQO56" s="113"/>
      <c r="VQP56" s="113"/>
      <c r="VQQ56" s="113"/>
      <c r="VQR56" s="113"/>
      <c r="VQS56" s="113"/>
      <c r="VQT56" s="113"/>
      <c r="VQU56" s="113"/>
      <c r="VQV56" s="113"/>
      <c r="VQW56" s="113"/>
      <c r="VQX56" s="113"/>
      <c r="VQY56" s="113"/>
      <c r="VQZ56" s="113"/>
      <c r="VRA56" s="113"/>
      <c r="VRB56" s="113"/>
      <c r="VRC56" s="113"/>
      <c r="VRD56" s="113"/>
      <c r="VRE56" s="113"/>
      <c r="VRF56" s="113"/>
      <c r="VRG56" s="113"/>
      <c r="VRH56" s="113"/>
      <c r="VRI56" s="113"/>
      <c r="VRJ56" s="113"/>
      <c r="VRK56" s="113"/>
      <c r="VRL56" s="113"/>
      <c r="VRM56" s="113"/>
      <c r="VRN56" s="113"/>
      <c r="VRO56" s="113"/>
      <c r="VRP56" s="113"/>
      <c r="VRQ56" s="113"/>
      <c r="VRR56" s="113"/>
      <c r="VRS56" s="113"/>
      <c r="VRT56" s="113"/>
      <c r="VRU56" s="113"/>
      <c r="VRV56" s="113"/>
      <c r="VRW56" s="113"/>
      <c r="VRX56" s="113"/>
      <c r="VRY56" s="113"/>
      <c r="VRZ56" s="113"/>
      <c r="VSA56" s="113"/>
      <c r="VSB56" s="113"/>
      <c r="VSC56" s="113"/>
      <c r="VSD56" s="113"/>
      <c r="VSE56" s="113"/>
      <c r="VSF56" s="113"/>
      <c r="VSG56" s="113"/>
      <c r="VSH56" s="113"/>
      <c r="VSI56" s="113"/>
      <c r="VSJ56" s="113"/>
      <c r="VSK56" s="113"/>
      <c r="VSL56" s="113"/>
      <c r="VSM56" s="113"/>
      <c r="VSN56" s="113"/>
      <c r="VSO56" s="113"/>
      <c r="VSP56" s="113"/>
      <c r="VSQ56" s="113"/>
      <c r="VSR56" s="113"/>
      <c r="VSS56" s="113"/>
      <c r="VST56" s="113"/>
      <c r="VSU56" s="113"/>
      <c r="VSV56" s="113"/>
      <c r="VSW56" s="113"/>
      <c r="VSX56" s="113"/>
      <c r="VSY56" s="113"/>
      <c r="VSZ56" s="113"/>
      <c r="VTA56" s="113"/>
      <c r="VTB56" s="113"/>
      <c r="VTC56" s="113"/>
      <c r="VTD56" s="113"/>
      <c r="VTE56" s="113"/>
      <c r="VTF56" s="113"/>
      <c r="VTG56" s="113"/>
      <c r="VTH56" s="113"/>
      <c r="VTI56" s="113"/>
      <c r="VTJ56" s="113"/>
      <c r="VTK56" s="113"/>
      <c r="VTL56" s="113"/>
      <c r="VTM56" s="113"/>
      <c r="VTN56" s="113"/>
      <c r="VTO56" s="113"/>
      <c r="VTP56" s="113"/>
      <c r="VTQ56" s="113"/>
      <c r="VTR56" s="113"/>
      <c r="VTS56" s="113"/>
      <c r="VTT56" s="113"/>
      <c r="VTU56" s="113"/>
      <c r="VTV56" s="113"/>
      <c r="VTW56" s="113"/>
      <c r="VTX56" s="113"/>
      <c r="VTY56" s="113"/>
      <c r="VTZ56" s="113"/>
      <c r="VUA56" s="113"/>
      <c r="VUB56" s="113"/>
      <c r="VUC56" s="113"/>
      <c r="VUD56" s="113"/>
      <c r="VUE56" s="113"/>
      <c r="VUF56" s="113"/>
      <c r="VUG56" s="113"/>
      <c r="VUH56" s="113"/>
      <c r="VUI56" s="113"/>
      <c r="VUJ56" s="113"/>
      <c r="VUK56" s="113"/>
      <c r="VUL56" s="113"/>
      <c r="VUM56" s="113"/>
      <c r="VUN56" s="113"/>
      <c r="VUO56" s="113"/>
      <c r="VUP56" s="113"/>
      <c r="VUQ56" s="113"/>
      <c r="VUR56" s="113"/>
      <c r="VUS56" s="113"/>
      <c r="VUT56" s="113"/>
      <c r="VUU56" s="113"/>
      <c r="VUV56" s="113"/>
      <c r="VUW56" s="113"/>
      <c r="VUX56" s="113"/>
      <c r="VUY56" s="113"/>
      <c r="VUZ56" s="113"/>
      <c r="VVA56" s="113"/>
      <c r="VVB56" s="113"/>
      <c r="VVC56" s="113"/>
      <c r="VVD56" s="113"/>
      <c r="VVE56" s="113"/>
      <c r="VVF56" s="113"/>
      <c r="VVG56" s="113"/>
      <c r="VVH56" s="113"/>
      <c r="VVI56" s="113"/>
      <c r="VVJ56" s="113"/>
      <c r="VVK56" s="113"/>
      <c r="VVL56" s="113"/>
      <c r="VVM56" s="113"/>
      <c r="VVN56" s="113"/>
      <c r="VVO56" s="113"/>
      <c r="VVP56" s="113"/>
      <c r="VVQ56" s="113"/>
      <c r="VVR56" s="113"/>
      <c r="VVS56" s="113"/>
      <c r="VVT56" s="113"/>
      <c r="VVU56" s="113"/>
      <c r="VVV56" s="113"/>
      <c r="VVW56" s="113"/>
      <c r="VVX56" s="113"/>
      <c r="VVY56" s="113"/>
      <c r="VVZ56" s="113"/>
      <c r="VWA56" s="113"/>
      <c r="VWB56" s="113"/>
      <c r="VWC56" s="113"/>
      <c r="VWD56" s="113"/>
      <c r="VWE56" s="113"/>
      <c r="VWF56" s="113"/>
      <c r="VWG56" s="113"/>
      <c r="VWH56" s="113"/>
      <c r="VWI56" s="113"/>
      <c r="VWJ56" s="113"/>
      <c r="VWK56" s="113"/>
      <c r="VWL56" s="113"/>
      <c r="VWM56" s="113"/>
      <c r="VWN56" s="113"/>
      <c r="VWO56" s="113"/>
      <c r="VWP56" s="113"/>
      <c r="VWQ56" s="113"/>
      <c r="VWR56" s="113"/>
      <c r="VWS56" s="113"/>
      <c r="VWT56" s="113"/>
      <c r="VWU56" s="113"/>
      <c r="VWV56" s="113"/>
      <c r="VWW56" s="113"/>
      <c r="VWX56" s="113"/>
      <c r="VWY56" s="113"/>
      <c r="VWZ56" s="113"/>
      <c r="VXA56" s="113"/>
      <c r="VXB56" s="113"/>
      <c r="VXC56" s="113"/>
      <c r="VXD56" s="113"/>
      <c r="VXE56" s="113"/>
      <c r="VXF56" s="113"/>
      <c r="VXG56" s="113"/>
      <c r="VXH56" s="113"/>
      <c r="VXI56" s="113"/>
      <c r="VXJ56" s="113"/>
      <c r="VXK56" s="113"/>
      <c r="VXL56" s="113"/>
      <c r="VXM56" s="113"/>
      <c r="VXN56" s="113"/>
      <c r="VXO56" s="113"/>
      <c r="VXP56" s="113"/>
      <c r="VXQ56" s="113"/>
      <c r="VXR56" s="113"/>
      <c r="VXS56" s="113"/>
      <c r="VXT56" s="113"/>
      <c r="VXU56" s="113"/>
      <c r="VXV56" s="113"/>
      <c r="VXW56" s="113"/>
      <c r="VXX56" s="113"/>
      <c r="VXY56" s="113"/>
      <c r="VXZ56" s="113"/>
      <c r="VYA56" s="113"/>
      <c r="VYB56" s="113"/>
      <c r="VYC56" s="113"/>
      <c r="VYD56" s="113"/>
      <c r="VYE56" s="113"/>
      <c r="VYF56" s="113"/>
      <c r="VYG56" s="113"/>
      <c r="VYH56" s="113"/>
      <c r="VYI56" s="113"/>
      <c r="VYJ56" s="113"/>
      <c r="VYK56" s="113"/>
      <c r="VYL56" s="113"/>
      <c r="VYM56" s="113"/>
      <c r="VYN56" s="113"/>
      <c r="VYO56" s="113"/>
      <c r="VYP56" s="113"/>
      <c r="VYQ56" s="113"/>
      <c r="VYR56" s="113"/>
      <c r="VYS56" s="113"/>
      <c r="VYT56" s="113"/>
      <c r="VYU56" s="113"/>
      <c r="VYV56" s="113"/>
      <c r="VYW56" s="113"/>
      <c r="VYX56" s="113"/>
      <c r="VYY56" s="113"/>
      <c r="VYZ56" s="113"/>
      <c r="VZA56" s="113"/>
      <c r="VZB56" s="113"/>
      <c r="VZC56" s="113"/>
      <c r="VZD56" s="113"/>
      <c r="VZE56" s="113"/>
      <c r="VZF56" s="113"/>
      <c r="VZG56" s="113"/>
      <c r="VZH56" s="113"/>
      <c r="VZI56" s="113"/>
      <c r="VZJ56" s="113"/>
      <c r="VZK56" s="113"/>
      <c r="VZL56" s="113"/>
      <c r="VZM56" s="113"/>
      <c r="VZN56" s="113"/>
      <c r="VZO56" s="113"/>
      <c r="VZP56" s="113"/>
      <c r="VZQ56" s="113"/>
      <c r="VZR56" s="113"/>
      <c r="VZS56" s="113"/>
      <c r="VZT56" s="113"/>
      <c r="VZU56" s="113"/>
      <c r="VZV56" s="113"/>
      <c r="VZW56" s="113"/>
      <c r="VZX56" s="113"/>
      <c r="VZY56" s="113"/>
      <c r="VZZ56" s="113"/>
      <c r="WAA56" s="113"/>
      <c r="WAB56" s="113"/>
      <c r="WAC56" s="113"/>
      <c r="WAD56" s="113"/>
      <c r="WAE56" s="113"/>
      <c r="WAF56" s="113"/>
      <c r="WAG56" s="113"/>
      <c r="WAH56" s="113"/>
      <c r="WAI56" s="113"/>
      <c r="WAJ56" s="113"/>
      <c r="WAK56" s="113"/>
      <c r="WAL56" s="113"/>
      <c r="WAM56" s="113"/>
      <c r="WAN56" s="113"/>
      <c r="WAO56" s="113"/>
      <c r="WAP56" s="113"/>
      <c r="WAQ56" s="113"/>
      <c r="WAR56" s="113"/>
      <c r="WAS56" s="113"/>
      <c r="WAT56" s="113"/>
      <c r="WAU56" s="113"/>
      <c r="WAV56" s="113"/>
      <c r="WAW56" s="113"/>
      <c r="WAX56" s="113"/>
      <c r="WAY56" s="113"/>
      <c r="WAZ56" s="113"/>
      <c r="WBA56" s="113"/>
      <c r="WBB56" s="113"/>
      <c r="WBC56" s="113"/>
      <c r="WBD56" s="113"/>
      <c r="WBE56" s="113"/>
      <c r="WBF56" s="113"/>
      <c r="WBG56" s="113"/>
      <c r="WBH56" s="113"/>
      <c r="WBI56" s="113"/>
      <c r="WBJ56" s="113"/>
      <c r="WBK56" s="113"/>
      <c r="WBL56" s="113"/>
      <c r="WBM56" s="113"/>
      <c r="WBN56" s="113"/>
      <c r="WBO56" s="113"/>
      <c r="WBP56" s="113"/>
      <c r="WBQ56" s="113"/>
      <c r="WBR56" s="113"/>
      <c r="WBS56" s="113"/>
      <c r="WBT56" s="113"/>
      <c r="WBU56" s="113"/>
      <c r="WBV56" s="113"/>
      <c r="WBW56" s="113"/>
      <c r="WBX56" s="113"/>
      <c r="WBY56" s="113"/>
      <c r="WBZ56" s="113"/>
      <c r="WCA56" s="113"/>
      <c r="WCB56" s="113"/>
      <c r="WCC56" s="113"/>
      <c r="WCD56" s="113"/>
      <c r="WCE56" s="113"/>
      <c r="WCF56" s="113"/>
      <c r="WCG56" s="113"/>
      <c r="WCH56" s="113"/>
      <c r="WCI56" s="113"/>
      <c r="WCJ56" s="113"/>
      <c r="WCK56" s="113"/>
      <c r="WCL56" s="113"/>
      <c r="WCM56" s="113"/>
      <c r="WCN56" s="113"/>
      <c r="WCO56" s="113"/>
      <c r="WCP56" s="113"/>
      <c r="WCQ56" s="113"/>
      <c r="WCR56" s="113"/>
      <c r="WCS56" s="113"/>
      <c r="WCT56" s="113"/>
      <c r="WCU56" s="113"/>
      <c r="WCV56" s="113"/>
      <c r="WCW56" s="113"/>
      <c r="WCX56" s="113"/>
      <c r="WCY56" s="113"/>
      <c r="WCZ56" s="113"/>
      <c r="WDA56" s="113"/>
      <c r="WDB56" s="113"/>
      <c r="WDC56" s="113"/>
      <c r="WDD56" s="113"/>
      <c r="WDE56" s="113"/>
      <c r="WDF56" s="113"/>
      <c r="WDG56" s="113"/>
      <c r="WDH56" s="113"/>
      <c r="WDI56" s="113"/>
      <c r="WDJ56" s="113"/>
      <c r="WDK56" s="113"/>
      <c r="WDL56" s="113"/>
      <c r="WDM56" s="113"/>
      <c r="WDN56" s="113"/>
      <c r="WDO56" s="113"/>
      <c r="WDP56" s="113"/>
      <c r="WDQ56" s="113"/>
      <c r="WDR56" s="113"/>
      <c r="WDS56" s="113"/>
      <c r="WDT56" s="113"/>
      <c r="WDU56" s="113"/>
      <c r="WDV56" s="113"/>
      <c r="WDW56" s="113"/>
      <c r="WDX56" s="113"/>
      <c r="WDY56" s="113"/>
      <c r="WDZ56" s="113"/>
      <c r="WEA56" s="113"/>
      <c r="WEB56" s="113"/>
      <c r="WEC56" s="113"/>
      <c r="WED56" s="113"/>
      <c r="WEE56" s="113"/>
      <c r="WEF56" s="113"/>
      <c r="WEG56" s="113"/>
      <c r="WEH56" s="113"/>
      <c r="WEI56" s="113"/>
      <c r="WEJ56" s="113"/>
      <c r="WEK56" s="113"/>
      <c r="WEL56" s="113"/>
      <c r="WEM56" s="113"/>
      <c r="WEN56" s="113"/>
      <c r="WEO56" s="113"/>
      <c r="WEP56" s="113"/>
      <c r="WEQ56" s="113"/>
      <c r="WER56" s="113"/>
      <c r="WES56" s="113"/>
      <c r="WET56" s="113"/>
      <c r="WEU56" s="113"/>
      <c r="WEV56" s="113"/>
      <c r="WEW56" s="113"/>
      <c r="WEX56" s="113"/>
      <c r="WEY56" s="113"/>
      <c r="WEZ56" s="113"/>
      <c r="WFA56" s="113"/>
      <c r="WFB56" s="113"/>
      <c r="WFC56" s="113"/>
      <c r="WFD56" s="113"/>
      <c r="WFE56" s="113"/>
      <c r="WFF56" s="113"/>
      <c r="WFG56" s="113"/>
      <c r="WFH56" s="113"/>
      <c r="WFI56" s="113"/>
      <c r="WFJ56" s="113"/>
      <c r="WFK56" s="113"/>
      <c r="WFL56" s="113"/>
      <c r="WFM56" s="113"/>
      <c r="WFN56" s="113"/>
      <c r="WFO56" s="113"/>
      <c r="WFP56" s="113"/>
      <c r="WFQ56" s="113"/>
      <c r="WFR56" s="113"/>
      <c r="WFS56" s="113"/>
      <c r="WFT56" s="113"/>
      <c r="WFU56" s="113"/>
      <c r="WFV56" s="113"/>
      <c r="WFW56" s="113"/>
      <c r="WFX56" s="113"/>
      <c r="WFY56" s="113"/>
      <c r="WFZ56" s="113"/>
      <c r="WGA56" s="113"/>
      <c r="WGB56" s="113"/>
      <c r="WGC56" s="113"/>
      <c r="WGD56" s="113"/>
      <c r="WGE56" s="113"/>
      <c r="WGF56" s="113"/>
      <c r="WGG56" s="113"/>
      <c r="WGH56" s="113"/>
      <c r="WGI56" s="113"/>
      <c r="WGJ56" s="113"/>
      <c r="WGK56" s="113"/>
      <c r="WGL56" s="113"/>
      <c r="WGM56" s="113"/>
      <c r="WGN56" s="113"/>
      <c r="WGO56" s="113"/>
      <c r="WGP56" s="113"/>
      <c r="WGQ56" s="113"/>
      <c r="WGR56" s="113"/>
      <c r="WGS56" s="113"/>
      <c r="WGT56" s="113"/>
      <c r="WGU56" s="113"/>
      <c r="WGV56" s="113"/>
      <c r="WGW56" s="113"/>
      <c r="WGX56" s="113"/>
      <c r="WGY56" s="113"/>
      <c r="WGZ56" s="113"/>
      <c r="WHA56" s="113"/>
      <c r="WHB56" s="113"/>
      <c r="WHC56" s="113"/>
      <c r="WHD56" s="113"/>
      <c r="WHE56" s="113"/>
      <c r="WHF56" s="113"/>
      <c r="WHG56" s="113"/>
      <c r="WHH56" s="113"/>
      <c r="WHI56" s="113"/>
      <c r="WHJ56" s="113"/>
      <c r="WHK56" s="113"/>
      <c r="WHL56" s="113"/>
      <c r="WHM56" s="113"/>
      <c r="WHN56" s="113"/>
      <c r="WHO56" s="113"/>
      <c r="WHP56" s="113"/>
      <c r="WHQ56" s="113"/>
      <c r="WHR56" s="113"/>
      <c r="WHS56" s="113"/>
      <c r="WHT56" s="113"/>
      <c r="WHU56" s="113"/>
      <c r="WHV56" s="113"/>
      <c r="WHW56" s="113"/>
      <c r="WHX56" s="113"/>
      <c r="WHY56" s="113"/>
      <c r="WHZ56" s="113"/>
      <c r="WIA56" s="113"/>
      <c r="WIB56" s="113"/>
      <c r="WIC56" s="113"/>
      <c r="WID56" s="113"/>
      <c r="WIE56" s="113"/>
      <c r="WIF56" s="113"/>
      <c r="WIG56" s="113"/>
      <c r="WIH56" s="113"/>
      <c r="WII56" s="113"/>
      <c r="WIJ56" s="113"/>
      <c r="WIK56" s="113"/>
      <c r="WIL56" s="113"/>
      <c r="WIM56" s="113"/>
      <c r="WIN56" s="113"/>
      <c r="WIO56" s="113"/>
      <c r="WIP56" s="113"/>
      <c r="WIQ56" s="113"/>
      <c r="WIR56" s="113"/>
      <c r="WIS56" s="113"/>
      <c r="WIT56" s="113"/>
      <c r="WIU56" s="113"/>
      <c r="WIV56" s="113"/>
      <c r="WIW56" s="113"/>
      <c r="WIX56" s="113"/>
      <c r="WIY56" s="113"/>
      <c r="WIZ56" s="113"/>
      <c r="WJA56" s="113"/>
      <c r="WJB56" s="113"/>
      <c r="WJC56" s="113"/>
      <c r="WJD56" s="113"/>
      <c r="WJE56" s="113"/>
      <c r="WJF56" s="113"/>
      <c r="WJG56" s="113"/>
      <c r="WJH56" s="113"/>
      <c r="WJI56" s="113"/>
      <c r="WJJ56" s="113"/>
      <c r="WJK56" s="113"/>
      <c r="WJL56" s="113"/>
      <c r="WJM56" s="113"/>
      <c r="WJN56" s="113"/>
      <c r="WJO56" s="113"/>
      <c r="WJP56" s="113"/>
      <c r="WJQ56" s="113"/>
      <c r="WJR56" s="113"/>
      <c r="WJS56" s="113"/>
      <c r="WJT56" s="113"/>
      <c r="WJU56" s="113"/>
      <c r="WJV56" s="113"/>
      <c r="WJW56" s="113"/>
      <c r="WJX56" s="113"/>
      <c r="WJY56" s="113"/>
      <c r="WJZ56" s="113"/>
      <c r="WKA56" s="113"/>
      <c r="WKB56" s="113"/>
      <c r="WKC56" s="113"/>
      <c r="WKD56" s="113"/>
      <c r="WKE56" s="113"/>
      <c r="WKF56" s="113"/>
      <c r="WKG56" s="113"/>
      <c r="WKH56" s="113"/>
      <c r="WKI56" s="113"/>
      <c r="WKJ56" s="113"/>
      <c r="WKK56" s="113"/>
      <c r="WKL56" s="113"/>
      <c r="WKM56" s="113"/>
      <c r="WKN56" s="113"/>
      <c r="WKO56" s="113"/>
      <c r="WKP56" s="113"/>
      <c r="WKQ56" s="113"/>
      <c r="WKR56" s="113"/>
      <c r="WKS56" s="113"/>
      <c r="WKT56" s="113"/>
      <c r="WKU56" s="113"/>
      <c r="WKV56" s="113"/>
      <c r="WKW56" s="113"/>
      <c r="WKX56" s="113"/>
      <c r="WKY56" s="113"/>
      <c r="WKZ56" s="113"/>
      <c r="WLA56" s="113"/>
      <c r="WLB56" s="113"/>
      <c r="WLC56" s="113"/>
      <c r="WLD56" s="113"/>
      <c r="WLE56" s="113"/>
      <c r="WLF56" s="113"/>
      <c r="WLG56" s="113"/>
      <c r="WLH56" s="113"/>
      <c r="WLI56" s="113"/>
      <c r="WLJ56" s="113"/>
      <c r="WLK56" s="113"/>
      <c r="WLL56" s="113"/>
      <c r="WLM56" s="113"/>
      <c r="WLN56" s="113"/>
      <c r="WLO56" s="113"/>
      <c r="WLP56" s="113"/>
      <c r="WLQ56" s="113"/>
      <c r="WLR56" s="113"/>
      <c r="WLS56" s="113"/>
      <c r="WLT56" s="113"/>
      <c r="WLU56" s="113"/>
      <c r="WLV56" s="113"/>
      <c r="WLW56" s="113"/>
      <c r="WLX56" s="113"/>
      <c r="WLY56" s="113"/>
      <c r="WLZ56" s="113"/>
      <c r="WMA56" s="113"/>
      <c r="WMB56" s="113"/>
      <c r="WMC56" s="113"/>
      <c r="WMD56" s="113"/>
      <c r="WME56" s="113"/>
      <c r="WMF56" s="113"/>
      <c r="WMG56" s="113"/>
      <c r="WMH56" s="113"/>
      <c r="WMI56" s="113"/>
      <c r="WMJ56" s="113"/>
      <c r="WMK56" s="113"/>
      <c r="WML56" s="113"/>
      <c r="WMM56" s="113"/>
      <c r="WMN56" s="113"/>
      <c r="WMO56" s="113"/>
      <c r="WMP56" s="113"/>
      <c r="WMQ56" s="113"/>
      <c r="WMR56" s="113"/>
      <c r="WMS56" s="113"/>
      <c r="WMT56" s="113"/>
      <c r="WMU56" s="113"/>
      <c r="WMV56" s="113"/>
      <c r="WMW56" s="113"/>
      <c r="WMX56" s="113"/>
      <c r="WMY56" s="113"/>
      <c r="WMZ56" s="113"/>
      <c r="WNA56" s="113"/>
      <c r="WNB56" s="113"/>
      <c r="WNC56" s="113"/>
      <c r="WND56" s="113"/>
      <c r="WNE56" s="113"/>
      <c r="WNF56" s="113"/>
      <c r="WNG56" s="113"/>
      <c r="WNH56" s="113"/>
      <c r="WNI56" s="113"/>
      <c r="WNJ56" s="113"/>
      <c r="WNK56" s="113"/>
      <c r="WNL56" s="113"/>
      <c r="WNM56" s="113"/>
      <c r="WNN56" s="113"/>
      <c r="WNO56" s="113"/>
      <c r="WNP56" s="113"/>
      <c r="WNQ56" s="113"/>
      <c r="WNR56" s="113"/>
      <c r="WNS56" s="113"/>
      <c r="WNT56" s="113"/>
      <c r="WNU56" s="113"/>
      <c r="WNV56" s="113"/>
      <c r="WNW56" s="113"/>
      <c r="WNX56" s="113"/>
      <c r="WNY56" s="113"/>
      <c r="WNZ56" s="113"/>
      <c r="WOA56" s="113"/>
      <c r="WOB56" s="113"/>
      <c r="WOC56" s="113"/>
      <c r="WOD56" s="113"/>
      <c r="WOE56" s="113"/>
      <c r="WOF56" s="113"/>
      <c r="WOG56" s="113"/>
      <c r="WOH56" s="113"/>
      <c r="WOI56" s="113"/>
      <c r="WOJ56" s="113"/>
      <c r="WOK56" s="113"/>
      <c r="WOL56" s="113"/>
      <c r="WOM56" s="113"/>
      <c r="WON56" s="113"/>
      <c r="WOO56" s="113"/>
      <c r="WOP56" s="113"/>
      <c r="WOQ56" s="113"/>
      <c r="WOR56" s="113"/>
      <c r="WOS56" s="113"/>
      <c r="WOT56" s="113"/>
      <c r="WOU56" s="113"/>
      <c r="WOV56" s="113"/>
      <c r="WOW56" s="113"/>
      <c r="WOX56" s="113"/>
      <c r="WOY56" s="113"/>
      <c r="WOZ56" s="113"/>
      <c r="WPA56" s="113"/>
      <c r="WPB56" s="113"/>
      <c r="WPC56" s="113"/>
      <c r="WPD56" s="113"/>
      <c r="WPE56" s="113"/>
      <c r="WPF56" s="113"/>
      <c r="WPG56" s="113"/>
      <c r="WPH56" s="113"/>
      <c r="WPI56" s="113"/>
      <c r="WPJ56" s="113"/>
      <c r="WPK56" s="113"/>
      <c r="WPL56" s="113"/>
      <c r="WPM56" s="113"/>
      <c r="WPN56" s="113"/>
      <c r="WPO56" s="113"/>
      <c r="WPP56" s="113"/>
      <c r="WPQ56" s="113"/>
      <c r="WPR56" s="113"/>
      <c r="WPS56" s="113"/>
      <c r="WPT56" s="113"/>
      <c r="WPU56" s="113"/>
      <c r="WPV56" s="113"/>
      <c r="WPW56" s="113"/>
      <c r="WPX56" s="113"/>
      <c r="WPY56" s="113"/>
      <c r="WPZ56" s="113"/>
      <c r="WQA56" s="113"/>
      <c r="WQB56" s="113"/>
      <c r="WQC56" s="113"/>
      <c r="WQD56" s="113"/>
      <c r="WQE56" s="113"/>
      <c r="WQF56" s="113"/>
      <c r="WQG56" s="113"/>
      <c r="WQH56" s="113"/>
      <c r="WQI56" s="113"/>
      <c r="WQJ56" s="113"/>
      <c r="WQK56" s="113"/>
      <c r="WQL56" s="113"/>
      <c r="WQM56" s="113"/>
      <c r="WQN56" s="113"/>
      <c r="WQO56" s="113"/>
      <c r="WQP56" s="113"/>
      <c r="WQQ56" s="113"/>
      <c r="WQR56" s="113"/>
      <c r="WQS56" s="113"/>
      <c r="WQT56" s="113"/>
      <c r="WQU56" s="113"/>
      <c r="WQV56" s="113"/>
      <c r="WQW56" s="113"/>
      <c r="WQX56" s="113"/>
      <c r="WQY56" s="113"/>
      <c r="WQZ56" s="113"/>
      <c r="WRA56" s="113"/>
      <c r="WRB56" s="113"/>
      <c r="WRC56" s="113"/>
      <c r="WRD56" s="113"/>
      <c r="WRE56" s="113"/>
      <c r="WRF56" s="113"/>
      <c r="WRG56" s="113"/>
      <c r="WRH56" s="113"/>
      <c r="WRI56" s="113"/>
      <c r="WRJ56" s="113"/>
      <c r="WRK56" s="113"/>
      <c r="WRL56" s="113"/>
      <c r="WRM56" s="113"/>
      <c r="WRN56" s="113"/>
      <c r="WRO56" s="113"/>
      <c r="WRP56" s="113"/>
      <c r="WRQ56" s="113"/>
      <c r="WRR56" s="113"/>
      <c r="WRS56" s="113"/>
      <c r="WRT56" s="113"/>
      <c r="WRU56" s="113"/>
      <c r="WRV56" s="113"/>
      <c r="WRW56" s="113"/>
      <c r="WRX56" s="113"/>
      <c r="WRY56" s="113"/>
      <c r="WRZ56" s="113"/>
      <c r="WSA56" s="113"/>
      <c r="WSB56" s="113"/>
      <c r="WSC56" s="113"/>
      <c r="WSD56" s="113"/>
      <c r="WSE56" s="113"/>
      <c r="WSF56" s="113"/>
      <c r="WSG56" s="113"/>
      <c r="WSH56" s="113"/>
      <c r="WSI56" s="113"/>
      <c r="WSJ56" s="113"/>
      <c r="WSK56" s="113"/>
      <c r="WSL56" s="113"/>
      <c r="WSM56" s="113"/>
      <c r="WSN56" s="113"/>
      <c r="WSO56" s="113"/>
      <c r="WSP56" s="113"/>
      <c r="WSQ56" s="113"/>
      <c r="WSR56" s="113"/>
      <c r="WSS56" s="113"/>
      <c r="WST56" s="113"/>
      <c r="WSU56" s="113"/>
      <c r="WSV56" s="113"/>
      <c r="WSW56" s="113"/>
      <c r="WSX56" s="113"/>
      <c r="WSY56" s="113"/>
      <c r="WSZ56" s="113"/>
      <c r="WTA56" s="113"/>
      <c r="WTB56" s="113"/>
      <c r="WTC56" s="113"/>
      <c r="WTD56" s="113"/>
      <c r="WTE56" s="113"/>
      <c r="WTF56" s="113"/>
      <c r="WTG56" s="113"/>
      <c r="WTH56" s="113"/>
      <c r="WTI56" s="113"/>
      <c r="WTJ56" s="113"/>
      <c r="WTK56" s="113"/>
      <c r="WTL56" s="113"/>
      <c r="WTM56" s="113"/>
      <c r="WTN56" s="113"/>
      <c r="WTO56" s="113"/>
      <c r="WTP56" s="113"/>
      <c r="WTQ56" s="113"/>
      <c r="WTR56" s="113"/>
      <c r="WTS56" s="113"/>
      <c r="WTT56" s="113"/>
      <c r="WTU56" s="113"/>
      <c r="WTV56" s="113"/>
      <c r="WTW56" s="113"/>
      <c r="WTX56" s="113"/>
      <c r="WTY56" s="113"/>
      <c r="WTZ56" s="113"/>
      <c r="WUA56" s="113"/>
      <c r="WUB56" s="113"/>
      <c r="WUC56" s="113"/>
      <c r="WUD56" s="113"/>
      <c r="WUE56" s="113"/>
      <c r="WUF56" s="113"/>
      <c r="WUG56" s="113"/>
      <c r="WUH56" s="113"/>
      <c r="WUI56" s="113"/>
      <c r="WUJ56" s="113"/>
      <c r="WUK56" s="113"/>
      <c r="WUL56" s="113"/>
      <c r="WUM56" s="113"/>
      <c r="WUN56" s="113"/>
      <c r="WUO56" s="113"/>
      <c r="WUP56" s="113"/>
      <c r="WUQ56" s="113"/>
      <c r="WUR56" s="113"/>
      <c r="WUS56" s="113"/>
      <c r="WUT56" s="113"/>
      <c r="WUU56" s="113"/>
      <c r="WUV56" s="113"/>
      <c r="WUW56" s="113"/>
      <c r="WUX56" s="113"/>
      <c r="WUY56" s="113"/>
      <c r="WUZ56" s="113"/>
      <c r="WVA56" s="113"/>
      <c r="WVB56" s="113"/>
      <c r="WVC56" s="113"/>
      <c r="WVD56" s="113"/>
      <c r="WVE56" s="113"/>
      <c r="WVF56" s="113"/>
      <c r="WVG56" s="113"/>
      <c r="WVH56" s="113"/>
      <c r="WVI56" s="113"/>
      <c r="WVJ56" s="113"/>
      <c r="WVK56" s="113"/>
      <c r="WVL56" s="113"/>
      <c r="WVM56" s="113"/>
      <c r="WVN56" s="113"/>
      <c r="WVO56" s="113"/>
      <c r="WVP56" s="113"/>
      <c r="WVQ56" s="113"/>
      <c r="WVR56" s="113"/>
      <c r="WVS56" s="113"/>
      <c r="WVT56" s="113"/>
      <c r="WVU56" s="113"/>
      <c r="WVV56" s="113"/>
      <c r="WVW56" s="113"/>
      <c r="WVX56" s="113"/>
      <c r="WVY56" s="113"/>
      <c r="WVZ56" s="113"/>
      <c r="WWA56" s="113"/>
      <c r="WWB56" s="113"/>
      <c r="WWC56" s="113"/>
      <c r="WWD56" s="113"/>
      <c r="WWE56" s="113"/>
      <c r="WWF56" s="113"/>
      <c r="WWG56" s="113"/>
      <c r="WWH56" s="113"/>
      <c r="WWI56" s="113"/>
      <c r="WWJ56" s="113"/>
      <c r="WWK56" s="113"/>
      <c r="WWL56" s="113"/>
      <c r="WWM56" s="113"/>
      <c r="WWN56" s="113"/>
      <c r="WWO56" s="113"/>
      <c r="WWP56" s="113"/>
      <c r="WWQ56" s="113"/>
      <c r="WWR56" s="113"/>
      <c r="WWS56" s="113"/>
      <c r="WWT56" s="113"/>
      <c r="WWU56" s="113"/>
      <c r="WWV56" s="113"/>
      <c r="WWW56" s="113"/>
      <c r="WWX56" s="113"/>
      <c r="WWY56" s="113"/>
      <c r="WWZ56" s="113"/>
      <c r="WXA56" s="113"/>
      <c r="WXB56" s="113"/>
      <c r="WXC56" s="113"/>
      <c r="WXD56" s="113"/>
      <c r="WXE56" s="113"/>
      <c r="WXF56" s="113"/>
      <c r="WXG56" s="113"/>
      <c r="WXH56" s="113"/>
      <c r="WXI56" s="113"/>
      <c r="WXJ56" s="113"/>
      <c r="WXK56" s="113"/>
      <c r="WXL56" s="113"/>
      <c r="WXM56" s="113"/>
      <c r="WXN56" s="113"/>
      <c r="WXO56" s="113"/>
      <c r="WXP56" s="113"/>
      <c r="WXQ56" s="113"/>
      <c r="WXR56" s="113"/>
      <c r="WXS56" s="113"/>
      <c r="WXT56" s="113"/>
      <c r="WXU56" s="113"/>
      <c r="WXV56" s="113"/>
      <c r="WXW56" s="113"/>
      <c r="WXX56" s="113"/>
      <c r="WXY56" s="113"/>
      <c r="WXZ56" s="113"/>
      <c r="WYA56" s="113"/>
      <c r="WYB56" s="113"/>
      <c r="WYC56" s="113"/>
      <c r="WYD56" s="113"/>
      <c r="WYE56" s="113"/>
      <c r="WYF56" s="113"/>
      <c r="WYG56" s="113"/>
      <c r="WYH56" s="113"/>
      <c r="WYI56" s="113"/>
      <c r="WYJ56" s="113"/>
      <c r="WYK56" s="113"/>
      <c r="WYL56" s="113"/>
      <c r="WYM56" s="113"/>
      <c r="WYN56" s="113"/>
      <c r="WYO56" s="113"/>
      <c r="WYP56" s="113"/>
      <c r="WYQ56" s="113"/>
      <c r="WYR56" s="113"/>
      <c r="WYS56" s="113"/>
      <c r="WYT56" s="113"/>
      <c r="WYU56" s="113"/>
      <c r="WYV56" s="113"/>
      <c r="WYW56" s="113"/>
      <c r="WYX56" s="113"/>
      <c r="WYY56" s="113"/>
      <c r="WYZ56" s="113"/>
      <c r="WZA56" s="113"/>
      <c r="WZB56" s="113"/>
      <c r="WZC56" s="113"/>
      <c r="WZD56" s="113"/>
      <c r="WZE56" s="113"/>
      <c r="WZF56" s="113"/>
      <c r="WZG56" s="113"/>
      <c r="WZH56" s="113"/>
      <c r="WZI56" s="113"/>
      <c r="WZJ56" s="113"/>
      <c r="WZK56" s="113"/>
      <c r="WZL56" s="113"/>
      <c r="WZM56" s="113"/>
      <c r="WZN56" s="113"/>
      <c r="WZO56" s="113"/>
      <c r="WZP56" s="113"/>
      <c r="WZQ56" s="113"/>
      <c r="WZR56" s="113"/>
      <c r="WZS56" s="113"/>
      <c r="WZT56" s="113"/>
      <c r="WZU56" s="113"/>
      <c r="WZV56" s="113"/>
      <c r="WZW56" s="113"/>
      <c r="WZX56" s="113"/>
      <c r="WZY56" s="113"/>
      <c r="WZZ56" s="113"/>
      <c r="XAA56" s="113"/>
      <c r="XAB56" s="113"/>
      <c r="XAC56" s="113"/>
      <c r="XAD56" s="113"/>
      <c r="XAE56" s="113"/>
      <c r="XAF56" s="113"/>
      <c r="XAG56" s="113"/>
      <c r="XAH56" s="113"/>
      <c r="XAI56" s="113"/>
      <c r="XAJ56" s="113"/>
      <c r="XAK56" s="113"/>
      <c r="XAL56" s="113"/>
      <c r="XAM56" s="113"/>
      <c r="XAN56" s="113"/>
      <c r="XAO56" s="113"/>
      <c r="XAP56" s="113"/>
      <c r="XAQ56" s="113"/>
      <c r="XAR56" s="113"/>
      <c r="XAS56" s="113"/>
      <c r="XAT56" s="113"/>
      <c r="XAU56" s="113"/>
      <c r="XAV56" s="113"/>
      <c r="XAW56" s="113"/>
      <c r="XAX56" s="113"/>
      <c r="XAY56" s="113"/>
      <c r="XAZ56" s="113"/>
      <c r="XBA56" s="113"/>
      <c r="XBB56" s="113"/>
      <c r="XBC56" s="113"/>
      <c r="XBD56" s="113"/>
      <c r="XBE56" s="113"/>
      <c r="XBF56" s="113"/>
      <c r="XBG56" s="113"/>
      <c r="XBH56" s="113"/>
      <c r="XBI56" s="113"/>
      <c r="XBJ56" s="113"/>
      <c r="XBK56" s="113"/>
      <c r="XBL56" s="113"/>
      <c r="XBM56" s="113"/>
      <c r="XBN56" s="113"/>
      <c r="XBO56" s="113"/>
      <c r="XBP56" s="113"/>
      <c r="XBQ56" s="113"/>
      <c r="XBR56" s="113"/>
      <c r="XBS56" s="113"/>
      <c r="XBT56" s="113"/>
      <c r="XBU56" s="113"/>
      <c r="XBV56" s="113"/>
      <c r="XBW56" s="113"/>
      <c r="XBX56" s="113"/>
      <c r="XBY56" s="113"/>
      <c r="XBZ56" s="113"/>
      <c r="XCA56" s="113"/>
      <c r="XCB56" s="113"/>
      <c r="XCC56" s="113"/>
      <c r="XCD56" s="113"/>
      <c r="XCE56" s="113"/>
      <c r="XCF56" s="113"/>
      <c r="XCG56" s="113"/>
      <c r="XCH56" s="113"/>
      <c r="XCI56" s="113"/>
      <c r="XCJ56" s="113"/>
      <c r="XCK56" s="113"/>
      <c r="XCL56" s="113"/>
      <c r="XCM56" s="113"/>
      <c r="XCN56" s="113"/>
      <c r="XCO56" s="113"/>
      <c r="XCP56" s="113"/>
      <c r="XCQ56" s="113"/>
      <c r="XCR56" s="113"/>
      <c r="XCS56" s="113"/>
      <c r="XCT56" s="113"/>
      <c r="XCU56" s="113"/>
      <c r="XCV56" s="113"/>
      <c r="XCW56" s="113"/>
      <c r="XCX56" s="113"/>
      <c r="XCY56" s="113"/>
      <c r="XCZ56" s="113"/>
      <c r="XDA56" s="113"/>
      <c r="XDB56" s="113"/>
      <c r="XDC56" s="113"/>
      <c r="XDD56" s="113"/>
      <c r="XDE56" s="113"/>
      <c r="XDF56" s="113"/>
      <c r="XDG56" s="113"/>
      <c r="XDH56" s="113"/>
      <c r="XDI56" s="113"/>
      <c r="XDJ56" s="113"/>
      <c r="XDK56" s="113"/>
      <c r="XDL56" s="113"/>
      <c r="XDM56" s="113"/>
      <c r="XDN56" s="113"/>
      <c r="XDO56" s="113"/>
      <c r="XDP56" s="113"/>
      <c r="XDQ56" s="113"/>
      <c r="XDR56" s="113"/>
      <c r="XDS56" s="113"/>
      <c r="XDT56" s="113"/>
      <c r="XDU56" s="113"/>
      <c r="XDV56" s="113"/>
      <c r="XDW56" s="113"/>
      <c r="XDX56" s="113"/>
      <c r="XDY56" s="113"/>
      <c r="XDZ56" s="113"/>
      <c r="XEA56" s="113"/>
      <c r="XEB56" s="113"/>
      <c r="XEC56" s="113"/>
      <c r="XED56" s="113"/>
      <c r="XEE56" s="113"/>
      <c r="XEF56" s="113"/>
      <c r="XEG56" s="113"/>
      <c r="XEH56" s="113"/>
      <c r="XEI56" s="113"/>
      <c r="XEJ56" s="113"/>
      <c r="XEK56" s="113"/>
      <c r="XEL56" s="113"/>
      <c r="XEM56" s="113"/>
      <c r="XEN56" s="113"/>
      <c r="XEO56" s="113"/>
      <c r="XEP56" s="113"/>
      <c r="XEQ56" s="113"/>
      <c r="XER56" s="113"/>
      <c r="XES56" s="113"/>
      <c r="XET56" s="113"/>
      <c r="XEU56" s="113"/>
      <c r="XEV56" s="113"/>
      <c r="XEW56" s="113"/>
      <c r="XEX56" s="113"/>
      <c r="XEY56" s="113"/>
      <c r="XEZ56" s="113"/>
      <c r="XFA56" s="113"/>
      <c r="XFB56" s="113"/>
      <c r="XFC56" s="113"/>
      <c r="XFD56" s="113"/>
    </row>
    <row r="57" spans="1:16384" customFormat="1" x14ac:dyDescent="0.2">
      <c r="A57" s="41"/>
      <c r="B57" s="41"/>
      <c r="C57" s="41"/>
      <c r="D57" s="41"/>
      <c r="E57" s="41"/>
    </row>
    <row r="58" spans="1:16384" customFormat="1" x14ac:dyDescent="0.2">
      <c r="A58" s="41"/>
      <c r="B58" s="41"/>
      <c r="C58" s="41"/>
      <c r="D58" s="41"/>
      <c r="E58" s="41"/>
    </row>
  </sheetData>
  <mergeCells count="13139">
    <mergeCell ref="A1:E1"/>
    <mergeCell ref="B47:E47"/>
    <mergeCell ref="B48:E48"/>
    <mergeCell ref="B49:E49"/>
    <mergeCell ref="D38:E38"/>
    <mergeCell ref="D39:E39"/>
    <mergeCell ref="D40:E40"/>
    <mergeCell ref="D41:E41"/>
    <mergeCell ref="D33:E33"/>
    <mergeCell ref="D34:E34"/>
    <mergeCell ref="D35:E35"/>
    <mergeCell ref="D36:E36"/>
    <mergeCell ref="D37:E37"/>
    <mergeCell ref="B46:E46"/>
    <mergeCell ref="XEL56:XEP56"/>
    <mergeCell ref="XEQ56:XEU56"/>
    <mergeCell ref="XEV56:XEZ56"/>
    <mergeCell ref="XFA56:XFD56"/>
    <mergeCell ref="A51:C51"/>
    <mergeCell ref="A2:E2"/>
    <mergeCell ref="A44:E44"/>
    <mergeCell ref="C5:E5"/>
    <mergeCell ref="D27:E27"/>
    <mergeCell ref="D28:E28"/>
    <mergeCell ref="XDH56:XDL56"/>
    <mergeCell ref="XDM56:XDQ56"/>
    <mergeCell ref="XDR56:XDV56"/>
    <mergeCell ref="XDW56:XEA56"/>
    <mergeCell ref="XEB56:XEF56"/>
    <mergeCell ref="XEG56:XEK56"/>
    <mergeCell ref="XCD56:XCH56"/>
    <mergeCell ref="XCI56:XCM56"/>
    <mergeCell ref="XCN56:XCR56"/>
    <mergeCell ref="XCS56:XCW56"/>
    <mergeCell ref="XCX56:XDB56"/>
    <mergeCell ref="XDC56:XDG56"/>
    <mergeCell ref="XAZ56:XBD56"/>
    <mergeCell ref="XBE56:XBI56"/>
    <mergeCell ref="XBJ56:XBN56"/>
    <mergeCell ref="XBO56:XBS56"/>
    <mergeCell ref="XBT56:XBX56"/>
    <mergeCell ref="XBY56:XCC56"/>
    <mergeCell ref="WZV56:WZZ56"/>
    <mergeCell ref="XAA56:XAE56"/>
    <mergeCell ref="XAF56:XAJ56"/>
    <mergeCell ref="XAK56:XAO56"/>
    <mergeCell ref="XAP56:XAT56"/>
    <mergeCell ref="XAU56:XAY56"/>
    <mergeCell ref="WYR56:WYV56"/>
    <mergeCell ref="WYW56:WZA56"/>
    <mergeCell ref="WZB56:WZF56"/>
    <mergeCell ref="WZG56:WZK56"/>
    <mergeCell ref="WZL56:WZP56"/>
    <mergeCell ref="WZQ56:WZU56"/>
    <mergeCell ref="WXN56:WXR56"/>
    <mergeCell ref="WXS56:WXW56"/>
    <mergeCell ref="WXX56:WYB56"/>
    <mergeCell ref="WYC56:WYG56"/>
    <mergeCell ref="WYH56:WYL56"/>
    <mergeCell ref="WYM56:WYQ56"/>
    <mergeCell ref="WWJ56:WWN56"/>
    <mergeCell ref="WWO56:WWS56"/>
    <mergeCell ref="WWT56:WWX56"/>
    <mergeCell ref="WWY56:WXC56"/>
    <mergeCell ref="WXD56:WXH56"/>
    <mergeCell ref="WXI56:WXM56"/>
    <mergeCell ref="WVF56:WVJ56"/>
    <mergeCell ref="WVK56:WVO56"/>
    <mergeCell ref="WVP56:WVT56"/>
    <mergeCell ref="WVU56:WVY56"/>
    <mergeCell ref="WVZ56:WWD56"/>
    <mergeCell ref="WWE56:WWI56"/>
    <mergeCell ref="WUB56:WUF56"/>
    <mergeCell ref="WUG56:WUK56"/>
    <mergeCell ref="WUL56:WUP56"/>
    <mergeCell ref="WUQ56:WUU56"/>
    <mergeCell ref="WUV56:WUZ56"/>
    <mergeCell ref="WVA56:WVE56"/>
    <mergeCell ref="WSX56:WTB56"/>
    <mergeCell ref="WTC56:WTG56"/>
    <mergeCell ref="WTH56:WTL56"/>
    <mergeCell ref="WTM56:WTQ56"/>
    <mergeCell ref="WTR56:WTV56"/>
    <mergeCell ref="WTW56:WUA56"/>
    <mergeCell ref="WRT56:WRX56"/>
    <mergeCell ref="WRY56:WSC56"/>
    <mergeCell ref="WSD56:WSH56"/>
    <mergeCell ref="WSI56:WSM56"/>
    <mergeCell ref="WSN56:WSR56"/>
    <mergeCell ref="WSS56:WSW56"/>
    <mergeCell ref="WQP56:WQT56"/>
    <mergeCell ref="WQU56:WQY56"/>
    <mergeCell ref="WQZ56:WRD56"/>
    <mergeCell ref="WRE56:WRI56"/>
    <mergeCell ref="WRJ56:WRN56"/>
    <mergeCell ref="WRO56:WRS56"/>
    <mergeCell ref="WPL56:WPP56"/>
    <mergeCell ref="WPQ56:WPU56"/>
    <mergeCell ref="WPV56:WPZ56"/>
    <mergeCell ref="WQA56:WQE56"/>
    <mergeCell ref="WQF56:WQJ56"/>
    <mergeCell ref="WQK56:WQO56"/>
    <mergeCell ref="WOH56:WOL56"/>
    <mergeCell ref="WOM56:WOQ56"/>
    <mergeCell ref="WOR56:WOV56"/>
    <mergeCell ref="WOW56:WPA56"/>
    <mergeCell ref="WPB56:WPF56"/>
    <mergeCell ref="WPG56:WPK56"/>
    <mergeCell ref="WND56:WNH56"/>
    <mergeCell ref="WNI56:WNM56"/>
    <mergeCell ref="WNN56:WNR56"/>
    <mergeCell ref="WNS56:WNW56"/>
    <mergeCell ref="WNX56:WOB56"/>
    <mergeCell ref="WOC56:WOG56"/>
    <mergeCell ref="WLZ56:WMD56"/>
    <mergeCell ref="WME56:WMI56"/>
    <mergeCell ref="WMJ56:WMN56"/>
    <mergeCell ref="WMO56:WMS56"/>
    <mergeCell ref="WMT56:WMX56"/>
    <mergeCell ref="WMY56:WNC56"/>
    <mergeCell ref="WKV56:WKZ56"/>
    <mergeCell ref="WLA56:WLE56"/>
    <mergeCell ref="WLF56:WLJ56"/>
    <mergeCell ref="WLK56:WLO56"/>
    <mergeCell ref="WLP56:WLT56"/>
    <mergeCell ref="WLU56:WLY56"/>
    <mergeCell ref="WJR56:WJV56"/>
    <mergeCell ref="WJW56:WKA56"/>
    <mergeCell ref="WKB56:WKF56"/>
    <mergeCell ref="WKG56:WKK56"/>
    <mergeCell ref="WKL56:WKP56"/>
    <mergeCell ref="WKQ56:WKU56"/>
    <mergeCell ref="WIN56:WIR56"/>
    <mergeCell ref="WIS56:WIW56"/>
    <mergeCell ref="WIX56:WJB56"/>
    <mergeCell ref="WJC56:WJG56"/>
    <mergeCell ref="WJH56:WJL56"/>
    <mergeCell ref="WJM56:WJQ56"/>
    <mergeCell ref="WHJ56:WHN56"/>
    <mergeCell ref="WHO56:WHS56"/>
    <mergeCell ref="WHT56:WHX56"/>
    <mergeCell ref="WHY56:WIC56"/>
    <mergeCell ref="WID56:WIH56"/>
    <mergeCell ref="WII56:WIM56"/>
    <mergeCell ref="WGF56:WGJ56"/>
    <mergeCell ref="WGK56:WGO56"/>
    <mergeCell ref="WGP56:WGT56"/>
    <mergeCell ref="WGU56:WGY56"/>
    <mergeCell ref="WGZ56:WHD56"/>
    <mergeCell ref="WHE56:WHI56"/>
    <mergeCell ref="WFB56:WFF56"/>
    <mergeCell ref="WFG56:WFK56"/>
    <mergeCell ref="WFL56:WFP56"/>
    <mergeCell ref="WFQ56:WFU56"/>
    <mergeCell ref="WFV56:WFZ56"/>
    <mergeCell ref="WGA56:WGE56"/>
    <mergeCell ref="WDX56:WEB56"/>
    <mergeCell ref="WEC56:WEG56"/>
    <mergeCell ref="WEH56:WEL56"/>
    <mergeCell ref="WEM56:WEQ56"/>
    <mergeCell ref="WER56:WEV56"/>
    <mergeCell ref="WEW56:WFA56"/>
    <mergeCell ref="WCT56:WCX56"/>
    <mergeCell ref="WCY56:WDC56"/>
    <mergeCell ref="WDD56:WDH56"/>
    <mergeCell ref="WDI56:WDM56"/>
    <mergeCell ref="WDN56:WDR56"/>
    <mergeCell ref="WDS56:WDW56"/>
    <mergeCell ref="WBP56:WBT56"/>
    <mergeCell ref="WBU56:WBY56"/>
    <mergeCell ref="WBZ56:WCD56"/>
    <mergeCell ref="WCE56:WCI56"/>
    <mergeCell ref="WCJ56:WCN56"/>
    <mergeCell ref="WCO56:WCS56"/>
    <mergeCell ref="WAL56:WAP56"/>
    <mergeCell ref="WAQ56:WAU56"/>
    <mergeCell ref="WAV56:WAZ56"/>
    <mergeCell ref="WBA56:WBE56"/>
    <mergeCell ref="WBF56:WBJ56"/>
    <mergeCell ref="WBK56:WBO56"/>
    <mergeCell ref="VZH56:VZL56"/>
    <mergeCell ref="VZM56:VZQ56"/>
    <mergeCell ref="VZR56:VZV56"/>
    <mergeCell ref="VZW56:WAA56"/>
    <mergeCell ref="WAB56:WAF56"/>
    <mergeCell ref="WAG56:WAK56"/>
    <mergeCell ref="VYD56:VYH56"/>
    <mergeCell ref="VYI56:VYM56"/>
    <mergeCell ref="VYN56:VYR56"/>
    <mergeCell ref="VYS56:VYW56"/>
    <mergeCell ref="VYX56:VZB56"/>
    <mergeCell ref="VZC56:VZG56"/>
    <mergeCell ref="VWZ56:VXD56"/>
    <mergeCell ref="VXE56:VXI56"/>
    <mergeCell ref="VXJ56:VXN56"/>
    <mergeCell ref="VXO56:VXS56"/>
    <mergeCell ref="VXT56:VXX56"/>
    <mergeCell ref="VXY56:VYC56"/>
    <mergeCell ref="VVV56:VVZ56"/>
    <mergeCell ref="VWA56:VWE56"/>
    <mergeCell ref="VWF56:VWJ56"/>
    <mergeCell ref="VWK56:VWO56"/>
    <mergeCell ref="VWP56:VWT56"/>
    <mergeCell ref="VWU56:VWY56"/>
    <mergeCell ref="VUR56:VUV56"/>
    <mergeCell ref="VUW56:VVA56"/>
    <mergeCell ref="VVB56:VVF56"/>
    <mergeCell ref="VVG56:VVK56"/>
    <mergeCell ref="VVL56:VVP56"/>
    <mergeCell ref="VVQ56:VVU56"/>
    <mergeCell ref="VTN56:VTR56"/>
    <mergeCell ref="VTS56:VTW56"/>
    <mergeCell ref="VTX56:VUB56"/>
    <mergeCell ref="VUC56:VUG56"/>
    <mergeCell ref="VUH56:VUL56"/>
    <mergeCell ref="VUM56:VUQ56"/>
    <mergeCell ref="VSJ56:VSN56"/>
    <mergeCell ref="VSO56:VSS56"/>
    <mergeCell ref="VST56:VSX56"/>
    <mergeCell ref="VSY56:VTC56"/>
    <mergeCell ref="VTD56:VTH56"/>
    <mergeCell ref="VTI56:VTM56"/>
    <mergeCell ref="VRF56:VRJ56"/>
    <mergeCell ref="VRK56:VRO56"/>
    <mergeCell ref="VRP56:VRT56"/>
    <mergeCell ref="VRU56:VRY56"/>
    <mergeCell ref="VRZ56:VSD56"/>
    <mergeCell ref="VSE56:VSI56"/>
    <mergeCell ref="VQB56:VQF56"/>
    <mergeCell ref="VQG56:VQK56"/>
    <mergeCell ref="VQL56:VQP56"/>
    <mergeCell ref="VQQ56:VQU56"/>
    <mergeCell ref="VQV56:VQZ56"/>
    <mergeCell ref="VRA56:VRE56"/>
    <mergeCell ref="VOX56:VPB56"/>
    <mergeCell ref="VPC56:VPG56"/>
    <mergeCell ref="VPH56:VPL56"/>
    <mergeCell ref="VPM56:VPQ56"/>
    <mergeCell ref="VPR56:VPV56"/>
    <mergeCell ref="VPW56:VQA56"/>
    <mergeCell ref="VNT56:VNX56"/>
    <mergeCell ref="VNY56:VOC56"/>
    <mergeCell ref="VOD56:VOH56"/>
    <mergeCell ref="VOI56:VOM56"/>
    <mergeCell ref="VON56:VOR56"/>
    <mergeCell ref="VOS56:VOW56"/>
    <mergeCell ref="VMP56:VMT56"/>
    <mergeCell ref="VMU56:VMY56"/>
    <mergeCell ref="VMZ56:VND56"/>
    <mergeCell ref="VNE56:VNI56"/>
    <mergeCell ref="VNJ56:VNN56"/>
    <mergeCell ref="VNO56:VNS56"/>
    <mergeCell ref="VLL56:VLP56"/>
    <mergeCell ref="VLQ56:VLU56"/>
    <mergeCell ref="VLV56:VLZ56"/>
    <mergeCell ref="VMA56:VME56"/>
    <mergeCell ref="VMF56:VMJ56"/>
    <mergeCell ref="VMK56:VMO56"/>
    <mergeCell ref="VKH56:VKL56"/>
    <mergeCell ref="VKM56:VKQ56"/>
    <mergeCell ref="VKR56:VKV56"/>
    <mergeCell ref="VKW56:VLA56"/>
    <mergeCell ref="VLB56:VLF56"/>
    <mergeCell ref="VLG56:VLK56"/>
    <mergeCell ref="VJD56:VJH56"/>
    <mergeCell ref="VJI56:VJM56"/>
    <mergeCell ref="VJN56:VJR56"/>
    <mergeCell ref="VJS56:VJW56"/>
    <mergeCell ref="VJX56:VKB56"/>
    <mergeCell ref="VKC56:VKG56"/>
    <mergeCell ref="VHZ56:VID56"/>
    <mergeCell ref="VIE56:VII56"/>
    <mergeCell ref="VIJ56:VIN56"/>
    <mergeCell ref="VIO56:VIS56"/>
    <mergeCell ref="VIT56:VIX56"/>
    <mergeCell ref="VIY56:VJC56"/>
    <mergeCell ref="VGV56:VGZ56"/>
    <mergeCell ref="VHA56:VHE56"/>
    <mergeCell ref="VHF56:VHJ56"/>
    <mergeCell ref="VHK56:VHO56"/>
    <mergeCell ref="VHP56:VHT56"/>
    <mergeCell ref="VHU56:VHY56"/>
    <mergeCell ref="VFR56:VFV56"/>
    <mergeCell ref="VFW56:VGA56"/>
    <mergeCell ref="VGB56:VGF56"/>
    <mergeCell ref="VGG56:VGK56"/>
    <mergeCell ref="VGL56:VGP56"/>
    <mergeCell ref="VGQ56:VGU56"/>
    <mergeCell ref="VEN56:VER56"/>
    <mergeCell ref="VES56:VEW56"/>
    <mergeCell ref="VEX56:VFB56"/>
    <mergeCell ref="VFC56:VFG56"/>
    <mergeCell ref="VFH56:VFL56"/>
    <mergeCell ref="VFM56:VFQ56"/>
    <mergeCell ref="VDJ56:VDN56"/>
    <mergeCell ref="VDO56:VDS56"/>
    <mergeCell ref="VDT56:VDX56"/>
    <mergeCell ref="VDY56:VEC56"/>
    <mergeCell ref="VED56:VEH56"/>
    <mergeCell ref="VEI56:VEM56"/>
    <mergeCell ref="VCF56:VCJ56"/>
    <mergeCell ref="VCK56:VCO56"/>
    <mergeCell ref="VCP56:VCT56"/>
    <mergeCell ref="VCU56:VCY56"/>
    <mergeCell ref="VCZ56:VDD56"/>
    <mergeCell ref="VDE56:VDI56"/>
    <mergeCell ref="VBB56:VBF56"/>
    <mergeCell ref="VBG56:VBK56"/>
    <mergeCell ref="VBL56:VBP56"/>
    <mergeCell ref="VBQ56:VBU56"/>
    <mergeCell ref="VBV56:VBZ56"/>
    <mergeCell ref="VCA56:VCE56"/>
    <mergeCell ref="UZX56:VAB56"/>
    <mergeCell ref="VAC56:VAG56"/>
    <mergeCell ref="VAH56:VAL56"/>
    <mergeCell ref="VAM56:VAQ56"/>
    <mergeCell ref="VAR56:VAV56"/>
    <mergeCell ref="VAW56:VBA56"/>
    <mergeCell ref="UYT56:UYX56"/>
    <mergeCell ref="UYY56:UZC56"/>
    <mergeCell ref="UZD56:UZH56"/>
    <mergeCell ref="UZI56:UZM56"/>
    <mergeCell ref="UZN56:UZR56"/>
    <mergeCell ref="UZS56:UZW56"/>
    <mergeCell ref="UXP56:UXT56"/>
    <mergeCell ref="UXU56:UXY56"/>
    <mergeCell ref="UXZ56:UYD56"/>
    <mergeCell ref="UYE56:UYI56"/>
    <mergeCell ref="UYJ56:UYN56"/>
    <mergeCell ref="UYO56:UYS56"/>
    <mergeCell ref="UWL56:UWP56"/>
    <mergeCell ref="UWQ56:UWU56"/>
    <mergeCell ref="UWV56:UWZ56"/>
    <mergeCell ref="UXA56:UXE56"/>
    <mergeCell ref="UXF56:UXJ56"/>
    <mergeCell ref="UXK56:UXO56"/>
    <mergeCell ref="UVH56:UVL56"/>
    <mergeCell ref="UVM56:UVQ56"/>
    <mergeCell ref="UVR56:UVV56"/>
    <mergeCell ref="UVW56:UWA56"/>
    <mergeCell ref="UWB56:UWF56"/>
    <mergeCell ref="UWG56:UWK56"/>
    <mergeCell ref="UUD56:UUH56"/>
    <mergeCell ref="UUI56:UUM56"/>
    <mergeCell ref="UUN56:UUR56"/>
    <mergeCell ref="UUS56:UUW56"/>
    <mergeCell ref="UUX56:UVB56"/>
    <mergeCell ref="UVC56:UVG56"/>
    <mergeCell ref="USZ56:UTD56"/>
    <mergeCell ref="UTE56:UTI56"/>
    <mergeCell ref="UTJ56:UTN56"/>
    <mergeCell ref="UTO56:UTS56"/>
    <mergeCell ref="UTT56:UTX56"/>
    <mergeCell ref="UTY56:UUC56"/>
    <mergeCell ref="URV56:URZ56"/>
    <mergeCell ref="USA56:USE56"/>
    <mergeCell ref="USF56:USJ56"/>
    <mergeCell ref="USK56:USO56"/>
    <mergeCell ref="USP56:UST56"/>
    <mergeCell ref="USU56:USY56"/>
    <mergeCell ref="UQR56:UQV56"/>
    <mergeCell ref="UQW56:URA56"/>
    <mergeCell ref="URB56:URF56"/>
    <mergeCell ref="URG56:URK56"/>
    <mergeCell ref="URL56:URP56"/>
    <mergeCell ref="URQ56:URU56"/>
    <mergeCell ref="UPN56:UPR56"/>
    <mergeCell ref="UPS56:UPW56"/>
    <mergeCell ref="UPX56:UQB56"/>
    <mergeCell ref="UQC56:UQG56"/>
    <mergeCell ref="UQH56:UQL56"/>
    <mergeCell ref="UQM56:UQQ56"/>
    <mergeCell ref="UOJ56:UON56"/>
    <mergeCell ref="UOO56:UOS56"/>
    <mergeCell ref="UOT56:UOX56"/>
    <mergeCell ref="UOY56:UPC56"/>
    <mergeCell ref="UPD56:UPH56"/>
    <mergeCell ref="UPI56:UPM56"/>
    <mergeCell ref="UNF56:UNJ56"/>
    <mergeCell ref="UNK56:UNO56"/>
    <mergeCell ref="UNP56:UNT56"/>
    <mergeCell ref="UNU56:UNY56"/>
    <mergeCell ref="UNZ56:UOD56"/>
    <mergeCell ref="UOE56:UOI56"/>
    <mergeCell ref="UMB56:UMF56"/>
    <mergeCell ref="UMG56:UMK56"/>
    <mergeCell ref="UML56:UMP56"/>
    <mergeCell ref="UMQ56:UMU56"/>
    <mergeCell ref="UMV56:UMZ56"/>
    <mergeCell ref="UNA56:UNE56"/>
    <mergeCell ref="UKX56:ULB56"/>
    <mergeCell ref="ULC56:ULG56"/>
    <mergeCell ref="ULH56:ULL56"/>
    <mergeCell ref="ULM56:ULQ56"/>
    <mergeCell ref="ULR56:ULV56"/>
    <mergeCell ref="ULW56:UMA56"/>
    <mergeCell ref="UJT56:UJX56"/>
    <mergeCell ref="UJY56:UKC56"/>
    <mergeCell ref="UKD56:UKH56"/>
    <mergeCell ref="UKI56:UKM56"/>
    <mergeCell ref="UKN56:UKR56"/>
    <mergeCell ref="UKS56:UKW56"/>
    <mergeCell ref="UIP56:UIT56"/>
    <mergeCell ref="UIU56:UIY56"/>
    <mergeCell ref="UIZ56:UJD56"/>
    <mergeCell ref="UJE56:UJI56"/>
    <mergeCell ref="UJJ56:UJN56"/>
    <mergeCell ref="UJO56:UJS56"/>
    <mergeCell ref="UHL56:UHP56"/>
    <mergeCell ref="UHQ56:UHU56"/>
    <mergeCell ref="UHV56:UHZ56"/>
    <mergeCell ref="UIA56:UIE56"/>
    <mergeCell ref="UIF56:UIJ56"/>
    <mergeCell ref="UIK56:UIO56"/>
    <mergeCell ref="UGH56:UGL56"/>
    <mergeCell ref="UGM56:UGQ56"/>
    <mergeCell ref="UGR56:UGV56"/>
    <mergeCell ref="UGW56:UHA56"/>
    <mergeCell ref="UHB56:UHF56"/>
    <mergeCell ref="UHG56:UHK56"/>
    <mergeCell ref="UFD56:UFH56"/>
    <mergeCell ref="UFI56:UFM56"/>
    <mergeCell ref="UFN56:UFR56"/>
    <mergeCell ref="UFS56:UFW56"/>
    <mergeCell ref="UFX56:UGB56"/>
    <mergeCell ref="UGC56:UGG56"/>
    <mergeCell ref="UDZ56:UED56"/>
    <mergeCell ref="UEE56:UEI56"/>
    <mergeCell ref="UEJ56:UEN56"/>
    <mergeCell ref="UEO56:UES56"/>
    <mergeCell ref="UET56:UEX56"/>
    <mergeCell ref="UEY56:UFC56"/>
    <mergeCell ref="UCV56:UCZ56"/>
    <mergeCell ref="UDA56:UDE56"/>
    <mergeCell ref="UDF56:UDJ56"/>
    <mergeCell ref="UDK56:UDO56"/>
    <mergeCell ref="UDP56:UDT56"/>
    <mergeCell ref="UDU56:UDY56"/>
    <mergeCell ref="UBR56:UBV56"/>
    <mergeCell ref="UBW56:UCA56"/>
    <mergeCell ref="UCB56:UCF56"/>
    <mergeCell ref="UCG56:UCK56"/>
    <mergeCell ref="UCL56:UCP56"/>
    <mergeCell ref="UCQ56:UCU56"/>
    <mergeCell ref="UAN56:UAR56"/>
    <mergeCell ref="UAS56:UAW56"/>
    <mergeCell ref="UAX56:UBB56"/>
    <mergeCell ref="UBC56:UBG56"/>
    <mergeCell ref="UBH56:UBL56"/>
    <mergeCell ref="UBM56:UBQ56"/>
    <mergeCell ref="TZJ56:TZN56"/>
    <mergeCell ref="TZO56:TZS56"/>
    <mergeCell ref="TZT56:TZX56"/>
    <mergeCell ref="TZY56:UAC56"/>
    <mergeCell ref="UAD56:UAH56"/>
    <mergeCell ref="UAI56:UAM56"/>
    <mergeCell ref="TYF56:TYJ56"/>
    <mergeCell ref="TYK56:TYO56"/>
    <mergeCell ref="TYP56:TYT56"/>
    <mergeCell ref="TYU56:TYY56"/>
    <mergeCell ref="TYZ56:TZD56"/>
    <mergeCell ref="TZE56:TZI56"/>
    <mergeCell ref="TXB56:TXF56"/>
    <mergeCell ref="TXG56:TXK56"/>
    <mergeCell ref="TXL56:TXP56"/>
    <mergeCell ref="TXQ56:TXU56"/>
    <mergeCell ref="TXV56:TXZ56"/>
    <mergeCell ref="TYA56:TYE56"/>
    <mergeCell ref="TVX56:TWB56"/>
    <mergeCell ref="TWC56:TWG56"/>
    <mergeCell ref="TWH56:TWL56"/>
    <mergeCell ref="TWM56:TWQ56"/>
    <mergeCell ref="TWR56:TWV56"/>
    <mergeCell ref="TWW56:TXA56"/>
    <mergeCell ref="TUT56:TUX56"/>
    <mergeCell ref="TUY56:TVC56"/>
    <mergeCell ref="TVD56:TVH56"/>
    <mergeCell ref="TVI56:TVM56"/>
    <mergeCell ref="TVN56:TVR56"/>
    <mergeCell ref="TVS56:TVW56"/>
    <mergeCell ref="TTP56:TTT56"/>
    <mergeCell ref="TTU56:TTY56"/>
    <mergeCell ref="TTZ56:TUD56"/>
    <mergeCell ref="TUE56:TUI56"/>
    <mergeCell ref="TUJ56:TUN56"/>
    <mergeCell ref="TUO56:TUS56"/>
    <mergeCell ref="TSL56:TSP56"/>
    <mergeCell ref="TSQ56:TSU56"/>
    <mergeCell ref="TSV56:TSZ56"/>
    <mergeCell ref="TTA56:TTE56"/>
    <mergeCell ref="TTF56:TTJ56"/>
    <mergeCell ref="TTK56:TTO56"/>
    <mergeCell ref="TRH56:TRL56"/>
    <mergeCell ref="TRM56:TRQ56"/>
    <mergeCell ref="TRR56:TRV56"/>
    <mergeCell ref="TRW56:TSA56"/>
    <mergeCell ref="TSB56:TSF56"/>
    <mergeCell ref="TSG56:TSK56"/>
    <mergeCell ref="TQD56:TQH56"/>
    <mergeCell ref="TQI56:TQM56"/>
    <mergeCell ref="TQN56:TQR56"/>
    <mergeCell ref="TQS56:TQW56"/>
    <mergeCell ref="TQX56:TRB56"/>
    <mergeCell ref="TRC56:TRG56"/>
    <mergeCell ref="TOZ56:TPD56"/>
    <mergeCell ref="TPE56:TPI56"/>
    <mergeCell ref="TPJ56:TPN56"/>
    <mergeCell ref="TPO56:TPS56"/>
    <mergeCell ref="TPT56:TPX56"/>
    <mergeCell ref="TPY56:TQC56"/>
    <mergeCell ref="TNV56:TNZ56"/>
    <mergeCell ref="TOA56:TOE56"/>
    <mergeCell ref="TOF56:TOJ56"/>
    <mergeCell ref="TOK56:TOO56"/>
    <mergeCell ref="TOP56:TOT56"/>
    <mergeCell ref="TOU56:TOY56"/>
    <mergeCell ref="TMR56:TMV56"/>
    <mergeCell ref="TMW56:TNA56"/>
    <mergeCell ref="TNB56:TNF56"/>
    <mergeCell ref="TNG56:TNK56"/>
    <mergeCell ref="TNL56:TNP56"/>
    <mergeCell ref="TNQ56:TNU56"/>
    <mergeCell ref="TLN56:TLR56"/>
    <mergeCell ref="TLS56:TLW56"/>
    <mergeCell ref="TLX56:TMB56"/>
    <mergeCell ref="TMC56:TMG56"/>
    <mergeCell ref="TMH56:TML56"/>
    <mergeCell ref="TMM56:TMQ56"/>
    <mergeCell ref="TKJ56:TKN56"/>
    <mergeCell ref="TKO56:TKS56"/>
    <mergeCell ref="TKT56:TKX56"/>
    <mergeCell ref="TKY56:TLC56"/>
    <mergeCell ref="TLD56:TLH56"/>
    <mergeCell ref="TLI56:TLM56"/>
    <mergeCell ref="TJF56:TJJ56"/>
    <mergeCell ref="TJK56:TJO56"/>
    <mergeCell ref="TJP56:TJT56"/>
    <mergeCell ref="TJU56:TJY56"/>
    <mergeCell ref="TJZ56:TKD56"/>
    <mergeCell ref="TKE56:TKI56"/>
    <mergeCell ref="TIB56:TIF56"/>
    <mergeCell ref="TIG56:TIK56"/>
    <mergeCell ref="TIL56:TIP56"/>
    <mergeCell ref="TIQ56:TIU56"/>
    <mergeCell ref="TIV56:TIZ56"/>
    <mergeCell ref="TJA56:TJE56"/>
    <mergeCell ref="TGX56:THB56"/>
    <mergeCell ref="THC56:THG56"/>
    <mergeCell ref="THH56:THL56"/>
    <mergeCell ref="THM56:THQ56"/>
    <mergeCell ref="THR56:THV56"/>
    <mergeCell ref="THW56:TIA56"/>
    <mergeCell ref="TFT56:TFX56"/>
    <mergeCell ref="TFY56:TGC56"/>
    <mergeCell ref="TGD56:TGH56"/>
    <mergeCell ref="TGI56:TGM56"/>
    <mergeCell ref="TGN56:TGR56"/>
    <mergeCell ref="TGS56:TGW56"/>
    <mergeCell ref="TEP56:TET56"/>
    <mergeCell ref="TEU56:TEY56"/>
    <mergeCell ref="TEZ56:TFD56"/>
    <mergeCell ref="TFE56:TFI56"/>
    <mergeCell ref="TFJ56:TFN56"/>
    <mergeCell ref="TFO56:TFS56"/>
    <mergeCell ref="TDL56:TDP56"/>
    <mergeCell ref="TDQ56:TDU56"/>
    <mergeCell ref="TDV56:TDZ56"/>
    <mergeCell ref="TEA56:TEE56"/>
    <mergeCell ref="TEF56:TEJ56"/>
    <mergeCell ref="TEK56:TEO56"/>
    <mergeCell ref="TCH56:TCL56"/>
    <mergeCell ref="TCM56:TCQ56"/>
    <mergeCell ref="TCR56:TCV56"/>
    <mergeCell ref="TCW56:TDA56"/>
    <mergeCell ref="TDB56:TDF56"/>
    <mergeCell ref="TDG56:TDK56"/>
    <mergeCell ref="TBD56:TBH56"/>
    <mergeCell ref="TBI56:TBM56"/>
    <mergeCell ref="TBN56:TBR56"/>
    <mergeCell ref="TBS56:TBW56"/>
    <mergeCell ref="TBX56:TCB56"/>
    <mergeCell ref="TCC56:TCG56"/>
    <mergeCell ref="SZZ56:TAD56"/>
    <mergeCell ref="TAE56:TAI56"/>
    <mergeCell ref="TAJ56:TAN56"/>
    <mergeCell ref="TAO56:TAS56"/>
    <mergeCell ref="TAT56:TAX56"/>
    <mergeCell ref="TAY56:TBC56"/>
    <mergeCell ref="SYV56:SYZ56"/>
    <mergeCell ref="SZA56:SZE56"/>
    <mergeCell ref="SZF56:SZJ56"/>
    <mergeCell ref="SZK56:SZO56"/>
    <mergeCell ref="SZP56:SZT56"/>
    <mergeCell ref="SZU56:SZY56"/>
    <mergeCell ref="SXR56:SXV56"/>
    <mergeCell ref="SXW56:SYA56"/>
    <mergeCell ref="SYB56:SYF56"/>
    <mergeCell ref="SYG56:SYK56"/>
    <mergeCell ref="SYL56:SYP56"/>
    <mergeCell ref="SYQ56:SYU56"/>
    <mergeCell ref="SWN56:SWR56"/>
    <mergeCell ref="SWS56:SWW56"/>
    <mergeCell ref="SWX56:SXB56"/>
    <mergeCell ref="SXC56:SXG56"/>
    <mergeCell ref="SXH56:SXL56"/>
    <mergeCell ref="SXM56:SXQ56"/>
    <mergeCell ref="SVJ56:SVN56"/>
    <mergeCell ref="SVO56:SVS56"/>
    <mergeCell ref="SVT56:SVX56"/>
    <mergeCell ref="SVY56:SWC56"/>
    <mergeCell ref="SWD56:SWH56"/>
    <mergeCell ref="SWI56:SWM56"/>
    <mergeCell ref="SUF56:SUJ56"/>
    <mergeCell ref="SUK56:SUO56"/>
    <mergeCell ref="SUP56:SUT56"/>
    <mergeCell ref="SUU56:SUY56"/>
    <mergeCell ref="SUZ56:SVD56"/>
    <mergeCell ref="SVE56:SVI56"/>
    <mergeCell ref="STB56:STF56"/>
    <mergeCell ref="STG56:STK56"/>
    <mergeCell ref="STL56:STP56"/>
    <mergeCell ref="STQ56:STU56"/>
    <mergeCell ref="STV56:STZ56"/>
    <mergeCell ref="SUA56:SUE56"/>
    <mergeCell ref="SRX56:SSB56"/>
    <mergeCell ref="SSC56:SSG56"/>
    <mergeCell ref="SSH56:SSL56"/>
    <mergeCell ref="SSM56:SSQ56"/>
    <mergeCell ref="SSR56:SSV56"/>
    <mergeCell ref="SSW56:STA56"/>
    <mergeCell ref="SQT56:SQX56"/>
    <mergeCell ref="SQY56:SRC56"/>
    <mergeCell ref="SRD56:SRH56"/>
    <mergeCell ref="SRI56:SRM56"/>
    <mergeCell ref="SRN56:SRR56"/>
    <mergeCell ref="SRS56:SRW56"/>
    <mergeCell ref="SPP56:SPT56"/>
    <mergeCell ref="SPU56:SPY56"/>
    <mergeCell ref="SPZ56:SQD56"/>
    <mergeCell ref="SQE56:SQI56"/>
    <mergeCell ref="SQJ56:SQN56"/>
    <mergeCell ref="SQO56:SQS56"/>
    <mergeCell ref="SOL56:SOP56"/>
    <mergeCell ref="SOQ56:SOU56"/>
    <mergeCell ref="SOV56:SOZ56"/>
    <mergeCell ref="SPA56:SPE56"/>
    <mergeCell ref="SPF56:SPJ56"/>
    <mergeCell ref="SPK56:SPO56"/>
    <mergeCell ref="SNH56:SNL56"/>
    <mergeCell ref="SNM56:SNQ56"/>
    <mergeCell ref="SNR56:SNV56"/>
    <mergeCell ref="SNW56:SOA56"/>
    <mergeCell ref="SOB56:SOF56"/>
    <mergeCell ref="SOG56:SOK56"/>
    <mergeCell ref="SMD56:SMH56"/>
    <mergeCell ref="SMI56:SMM56"/>
    <mergeCell ref="SMN56:SMR56"/>
    <mergeCell ref="SMS56:SMW56"/>
    <mergeCell ref="SMX56:SNB56"/>
    <mergeCell ref="SNC56:SNG56"/>
    <mergeCell ref="SKZ56:SLD56"/>
    <mergeCell ref="SLE56:SLI56"/>
    <mergeCell ref="SLJ56:SLN56"/>
    <mergeCell ref="SLO56:SLS56"/>
    <mergeCell ref="SLT56:SLX56"/>
    <mergeCell ref="SLY56:SMC56"/>
    <mergeCell ref="SJV56:SJZ56"/>
    <mergeCell ref="SKA56:SKE56"/>
    <mergeCell ref="SKF56:SKJ56"/>
    <mergeCell ref="SKK56:SKO56"/>
    <mergeCell ref="SKP56:SKT56"/>
    <mergeCell ref="SKU56:SKY56"/>
    <mergeCell ref="SIR56:SIV56"/>
    <mergeCell ref="SIW56:SJA56"/>
    <mergeCell ref="SJB56:SJF56"/>
    <mergeCell ref="SJG56:SJK56"/>
    <mergeCell ref="SJL56:SJP56"/>
    <mergeCell ref="SJQ56:SJU56"/>
    <mergeCell ref="SHN56:SHR56"/>
    <mergeCell ref="SHS56:SHW56"/>
    <mergeCell ref="SHX56:SIB56"/>
    <mergeCell ref="SIC56:SIG56"/>
    <mergeCell ref="SIH56:SIL56"/>
    <mergeCell ref="SIM56:SIQ56"/>
    <mergeCell ref="SGJ56:SGN56"/>
    <mergeCell ref="SGO56:SGS56"/>
    <mergeCell ref="SGT56:SGX56"/>
    <mergeCell ref="SGY56:SHC56"/>
    <mergeCell ref="SHD56:SHH56"/>
    <mergeCell ref="SHI56:SHM56"/>
    <mergeCell ref="SFF56:SFJ56"/>
    <mergeCell ref="SFK56:SFO56"/>
    <mergeCell ref="SFP56:SFT56"/>
    <mergeCell ref="SFU56:SFY56"/>
    <mergeCell ref="SFZ56:SGD56"/>
    <mergeCell ref="SGE56:SGI56"/>
    <mergeCell ref="SEB56:SEF56"/>
    <mergeCell ref="SEG56:SEK56"/>
    <mergeCell ref="SEL56:SEP56"/>
    <mergeCell ref="SEQ56:SEU56"/>
    <mergeCell ref="SEV56:SEZ56"/>
    <mergeCell ref="SFA56:SFE56"/>
    <mergeCell ref="SCX56:SDB56"/>
    <mergeCell ref="SDC56:SDG56"/>
    <mergeCell ref="SDH56:SDL56"/>
    <mergeCell ref="SDM56:SDQ56"/>
    <mergeCell ref="SDR56:SDV56"/>
    <mergeCell ref="SDW56:SEA56"/>
    <mergeCell ref="SBT56:SBX56"/>
    <mergeCell ref="SBY56:SCC56"/>
    <mergeCell ref="SCD56:SCH56"/>
    <mergeCell ref="SCI56:SCM56"/>
    <mergeCell ref="SCN56:SCR56"/>
    <mergeCell ref="SCS56:SCW56"/>
    <mergeCell ref="SAP56:SAT56"/>
    <mergeCell ref="SAU56:SAY56"/>
    <mergeCell ref="SAZ56:SBD56"/>
    <mergeCell ref="SBE56:SBI56"/>
    <mergeCell ref="SBJ56:SBN56"/>
    <mergeCell ref="SBO56:SBS56"/>
    <mergeCell ref="RZL56:RZP56"/>
    <mergeCell ref="RZQ56:RZU56"/>
    <mergeCell ref="RZV56:RZZ56"/>
    <mergeCell ref="SAA56:SAE56"/>
    <mergeCell ref="SAF56:SAJ56"/>
    <mergeCell ref="SAK56:SAO56"/>
    <mergeCell ref="RYH56:RYL56"/>
    <mergeCell ref="RYM56:RYQ56"/>
    <mergeCell ref="RYR56:RYV56"/>
    <mergeCell ref="RYW56:RZA56"/>
    <mergeCell ref="RZB56:RZF56"/>
    <mergeCell ref="RZG56:RZK56"/>
    <mergeCell ref="RXD56:RXH56"/>
    <mergeCell ref="RXI56:RXM56"/>
    <mergeCell ref="RXN56:RXR56"/>
    <mergeCell ref="RXS56:RXW56"/>
    <mergeCell ref="RXX56:RYB56"/>
    <mergeCell ref="RYC56:RYG56"/>
    <mergeCell ref="RVZ56:RWD56"/>
    <mergeCell ref="RWE56:RWI56"/>
    <mergeCell ref="RWJ56:RWN56"/>
    <mergeCell ref="RWO56:RWS56"/>
    <mergeCell ref="RWT56:RWX56"/>
    <mergeCell ref="RWY56:RXC56"/>
    <mergeCell ref="RUV56:RUZ56"/>
    <mergeCell ref="RVA56:RVE56"/>
    <mergeCell ref="RVF56:RVJ56"/>
    <mergeCell ref="RVK56:RVO56"/>
    <mergeCell ref="RVP56:RVT56"/>
    <mergeCell ref="RVU56:RVY56"/>
    <mergeCell ref="RTR56:RTV56"/>
    <mergeCell ref="RTW56:RUA56"/>
    <mergeCell ref="RUB56:RUF56"/>
    <mergeCell ref="RUG56:RUK56"/>
    <mergeCell ref="RUL56:RUP56"/>
    <mergeCell ref="RUQ56:RUU56"/>
    <mergeCell ref="RSN56:RSR56"/>
    <mergeCell ref="RSS56:RSW56"/>
    <mergeCell ref="RSX56:RTB56"/>
    <mergeCell ref="RTC56:RTG56"/>
    <mergeCell ref="RTH56:RTL56"/>
    <mergeCell ref="RTM56:RTQ56"/>
    <mergeCell ref="RRJ56:RRN56"/>
    <mergeCell ref="RRO56:RRS56"/>
    <mergeCell ref="RRT56:RRX56"/>
    <mergeCell ref="RRY56:RSC56"/>
    <mergeCell ref="RSD56:RSH56"/>
    <mergeCell ref="RSI56:RSM56"/>
    <mergeCell ref="RQF56:RQJ56"/>
    <mergeCell ref="RQK56:RQO56"/>
    <mergeCell ref="RQP56:RQT56"/>
    <mergeCell ref="RQU56:RQY56"/>
    <mergeCell ref="RQZ56:RRD56"/>
    <mergeCell ref="RRE56:RRI56"/>
    <mergeCell ref="RPB56:RPF56"/>
    <mergeCell ref="RPG56:RPK56"/>
    <mergeCell ref="RPL56:RPP56"/>
    <mergeCell ref="RPQ56:RPU56"/>
    <mergeCell ref="RPV56:RPZ56"/>
    <mergeCell ref="RQA56:RQE56"/>
    <mergeCell ref="RNX56:ROB56"/>
    <mergeCell ref="ROC56:ROG56"/>
    <mergeCell ref="ROH56:ROL56"/>
    <mergeCell ref="ROM56:ROQ56"/>
    <mergeCell ref="ROR56:ROV56"/>
    <mergeCell ref="ROW56:RPA56"/>
    <mergeCell ref="RMT56:RMX56"/>
    <mergeCell ref="RMY56:RNC56"/>
    <mergeCell ref="RND56:RNH56"/>
    <mergeCell ref="RNI56:RNM56"/>
    <mergeCell ref="RNN56:RNR56"/>
    <mergeCell ref="RNS56:RNW56"/>
    <mergeCell ref="RLP56:RLT56"/>
    <mergeCell ref="RLU56:RLY56"/>
    <mergeCell ref="RLZ56:RMD56"/>
    <mergeCell ref="RME56:RMI56"/>
    <mergeCell ref="RMJ56:RMN56"/>
    <mergeCell ref="RMO56:RMS56"/>
    <mergeCell ref="RKL56:RKP56"/>
    <mergeCell ref="RKQ56:RKU56"/>
    <mergeCell ref="RKV56:RKZ56"/>
    <mergeCell ref="RLA56:RLE56"/>
    <mergeCell ref="RLF56:RLJ56"/>
    <mergeCell ref="RLK56:RLO56"/>
    <mergeCell ref="RJH56:RJL56"/>
    <mergeCell ref="RJM56:RJQ56"/>
    <mergeCell ref="RJR56:RJV56"/>
    <mergeCell ref="RJW56:RKA56"/>
    <mergeCell ref="RKB56:RKF56"/>
    <mergeCell ref="RKG56:RKK56"/>
    <mergeCell ref="RID56:RIH56"/>
    <mergeCell ref="RII56:RIM56"/>
    <mergeCell ref="RIN56:RIR56"/>
    <mergeCell ref="RIS56:RIW56"/>
    <mergeCell ref="RIX56:RJB56"/>
    <mergeCell ref="RJC56:RJG56"/>
    <mergeCell ref="RGZ56:RHD56"/>
    <mergeCell ref="RHE56:RHI56"/>
    <mergeCell ref="RHJ56:RHN56"/>
    <mergeCell ref="RHO56:RHS56"/>
    <mergeCell ref="RHT56:RHX56"/>
    <mergeCell ref="RHY56:RIC56"/>
    <mergeCell ref="RFV56:RFZ56"/>
    <mergeCell ref="RGA56:RGE56"/>
    <mergeCell ref="RGF56:RGJ56"/>
    <mergeCell ref="RGK56:RGO56"/>
    <mergeCell ref="RGP56:RGT56"/>
    <mergeCell ref="RGU56:RGY56"/>
    <mergeCell ref="RER56:REV56"/>
    <mergeCell ref="REW56:RFA56"/>
    <mergeCell ref="RFB56:RFF56"/>
    <mergeCell ref="RFG56:RFK56"/>
    <mergeCell ref="RFL56:RFP56"/>
    <mergeCell ref="RFQ56:RFU56"/>
    <mergeCell ref="RDN56:RDR56"/>
    <mergeCell ref="RDS56:RDW56"/>
    <mergeCell ref="RDX56:REB56"/>
    <mergeCell ref="REC56:REG56"/>
    <mergeCell ref="REH56:REL56"/>
    <mergeCell ref="REM56:REQ56"/>
    <mergeCell ref="RCJ56:RCN56"/>
    <mergeCell ref="RCO56:RCS56"/>
    <mergeCell ref="RCT56:RCX56"/>
    <mergeCell ref="RCY56:RDC56"/>
    <mergeCell ref="RDD56:RDH56"/>
    <mergeCell ref="RDI56:RDM56"/>
    <mergeCell ref="RBF56:RBJ56"/>
    <mergeCell ref="RBK56:RBO56"/>
    <mergeCell ref="RBP56:RBT56"/>
    <mergeCell ref="RBU56:RBY56"/>
    <mergeCell ref="RBZ56:RCD56"/>
    <mergeCell ref="RCE56:RCI56"/>
    <mergeCell ref="RAB56:RAF56"/>
    <mergeCell ref="RAG56:RAK56"/>
    <mergeCell ref="RAL56:RAP56"/>
    <mergeCell ref="RAQ56:RAU56"/>
    <mergeCell ref="RAV56:RAZ56"/>
    <mergeCell ref="RBA56:RBE56"/>
    <mergeCell ref="QYX56:QZB56"/>
    <mergeCell ref="QZC56:QZG56"/>
    <mergeCell ref="QZH56:QZL56"/>
    <mergeCell ref="QZM56:QZQ56"/>
    <mergeCell ref="QZR56:QZV56"/>
    <mergeCell ref="QZW56:RAA56"/>
    <mergeCell ref="QXT56:QXX56"/>
    <mergeCell ref="QXY56:QYC56"/>
    <mergeCell ref="QYD56:QYH56"/>
    <mergeCell ref="QYI56:QYM56"/>
    <mergeCell ref="QYN56:QYR56"/>
    <mergeCell ref="QYS56:QYW56"/>
    <mergeCell ref="QWP56:QWT56"/>
    <mergeCell ref="QWU56:QWY56"/>
    <mergeCell ref="QWZ56:QXD56"/>
    <mergeCell ref="QXE56:QXI56"/>
    <mergeCell ref="QXJ56:QXN56"/>
    <mergeCell ref="QXO56:QXS56"/>
    <mergeCell ref="QVL56:QVP56"/>
    <mergeCell ref="QVQ56:QVU56"/>
    <mergeCell ref="QVV56:QVZ56"/>
    <mergeCell ref="QWA56:QWE56"/>
    <mergeCell ref="QWF56:QWJ56"/>
    <mergeCell ref="QWK56:QWO56"/>
    <mergeCell ref="QUH56:QUL56"/>
    <mergeCell ref="QUM56:QUQ56"/>
    <mergeCell ref="QUR56:QUV56"/>
    <mergeCell ref="QUW56:QVA56"/>
    <mergeCell ref="QVB56:QVF56"/>
    <mergeCell ref="QVG56:QVK56"/>
    <mergeCell ref="QTD56:QTH56"/>
    <mergeCell ref="QTI56:QTM56"/>
    <mergeCell ref="QTN56:QTR56"/>
    <mergeCell ref="QTS56:QTW56"/>
    <mergeCell ref="QTX56:QUB56"/>
    <mergeCell ref="QUC56:QUG56"/>
    <mergeCell ref="QRZ56:QSD56"/>
    <mergeCell ref="QSE56:QSI56"/>
    <mergeCell ref="QSJ56:QSN56"/>
    <mergeCell ref="QSO56:QSS56"/>
    <mergeCell ref="QST56:QSX56"/>
    <mergeCell ref="QSY56:QTC56"/>
    <mergeCell ref="QQV56:QQZ56"/>
    <mergeCell ref="QRA56:QRE56"/>
    <mergeCell ref="QRF56:QRJ56"/>
    <mergeCell ref="QRK56:QRO56"/>
    <mergeCell ref="QRP56:QRT56"/>
    <mergeCell ref="QRU56:QRY56"/>
    <mergeCell ref="QPR56:QPV56"/>
    <mergeCell ref="QPW56:QQA56"/>
    <mergeCell ref="QQB56:QQF56"/>
    <mergeCell ref="QQG56:QQK56"/>
    <mergeCell ref="QQL56:QQP56"/>
    <mergeCell ref="QQQ56:QQU56"/>
    <mergeCell ref="QON56:QOR56"/>
    <mergeCell ref="QOS56:QOW56"/>
    <mergeCell ref="QOX56:QPB56"/>
    <mergeCell ref="QPC56:QPG56"/>
    <mergeCell ref="QPH56:QPL56"/>
    <mergeCell ref="QPM56:QPQ56"/>
    <mergeCell ref="QNJ56:QNN56"/>
    <mergeCell ref="QNO56:QNS56"/>
    <mergeCell ref="QNT56:QNX56"/>
    <mergeCell ref="QNY56:QOC56"/>
    <mergeCell ref="QOD56:QOH56"/>
    <mergeCell ref="QOI56:QOM56"/>
    <mergeCell ref="QMF56:QMJ56"/>
    <mergeCell ref="QMK56:QMO56"/>
    <mergeCell ref="QMP56:QMT56"/>
    <mergeCell ref="QMU56:QMY56"/>
    <mergeCell ref="QMZ56:QND56"/>
    <mergeCell ref="QNE56:QNI56"/>
    <mergeCell ref="QLB56:QLF56"/>
    <mergeCell ref="QLG56:QLK56"/>
    <mergeCell ref="QLL56:QLP56"/>
    <mergeCell ref="QLQ56:QLU56"/>
    <mergeCell ref="QLV56:QLZ56"/>
    <mergeCell ref="QMA56:QME56"/>
    <mergeCell ref="QJX56:QKB56"/>
    <mergeCell ref="QKC56:QKG56"/>
    <mergeCell ref="QKH56:QKL56"/>
    <mergeCell ref="QKM56:QKQ56"/>
    <mergeCell ref="QKR56:QKV56"/>
    <mergeCell ref="QKW56:QLA56"/>
    <mergeCell ref="QIT56:QIX56"/>
    <mergeCell ref="QIY56:QJC56"/>
    <mergeCell ref="QJD56:QJH56"/>
    <mergeCell ref="QJI56:QJM56"/>
    <mergeCell ref="QJN56:QJR56"/>
    <mergeCell ref="QJS56:QJW56"/>
    <mergeCell ref="QHP56:QHT56"/>
    <mergeCell ref="QHU56:QHY56"/>
    <mergeCell ref="QHZ56:QID56"/>
    <mergeCell ref="QIE56:QII56"/>
    <mergeCell ref="QIJ56:QIN56"/>
    <mergeCell ref="QIO56:QIS56"/>
    <mergeCell ref="QGL56:QGP56"/>
    <mergeCell ref="QGQ56:QGU56"/>
    <mergeCell ref="QGV56:QGZ56"/>
    <mergeCell ref="QHA56:QHE56"/>
    <mergeCell ref="QHF56:QHJ56"/>
    <mergeCell ref="QHK56:QHO56"/>
    <mergeCell ref="QFH56:QFL56"/>
    <mergeCell ref="QFM56:QFQ56"/>
    <mergeCell ref="QFR56:QFV56"/>
    <mergeCell ref="QFW56:QGA56"/>
    <mergeCell ref="QGB56:QGF56"/>
    <mergeCell ref="QGG56:QGK56"/>
    <mergeCell ref="QED56:QEH56"/>
    <mergeCell ref="QEI56:QEM56"/>
    <mergeCell ref="QEN56:QER56"/>
    <mergeCell ref="QES56:QEW56"/>
    <mergeCell ref="QEX56:QFB56"/>
    <mergeCell ref="QFC56:QFG56"/>
    <mergeCell ref="QCZ56:QDD56"/>
    <mergeCell ref="QDE56:QDI56"/>
    <mergeCell ref="QDJ56:QDN56"/>
    <mergeCell ref="QDO56:QDS56"/>
    <mergeCell ref="QDT56:QDX56"/>
    <mergeCell ref="QDY56:QEC56"/>
    <mergeCell ref="QBV56:QBZ56"/>
    <mergeCell ref="QCA56:QCE56"/>
    <mergeCell ref="QCF56:QCJ56"/>
    <mergeCell ref="QCK56:QCO56"/>
    <mergeCell ref="QCP56:QCT56"/>
    <mergeCell ref="QCU56:QCY56"/>
    <mergeCell ref="QAR56:QAV56"/>
    <mergeCell ref="QAW56:QBA56"/>
    <mergeCell ref="QBB56:QBF56"/>
    <mergeCell ref="QBG56:QBK56"/>
    <mergeCell ref="QBL56:QBP56"/>
    <mergeCell ref="QBQ56:QBU56"/>
    <mergeCell ref="PZN56:PZR56"/>
    <mergeCell ref="PZS56:PZW56"/>
    <mergeCell ref="PZX56:QAB56"/>
    <mergeCell ref="QAC56:QAG56"/>
    <mergeCell ref="QAH56:QAL56"/>
    <mergeCell ref="QAM56:QAQ56"/>
    <mergeCell ref="PYJ56:PYN56"/>
    <mergeCell ref="PYO56:PYS56"/>
    <mergeCell ref="PYT56:PYX56"/>
    <mergeCell ref="PYY56:PZC56"/>
    <mergeCell ref="PZD56:PZH56"/>
    <mergeCell ref="PZI56:PZM56"/>
    <mergeCell ref="PXF56:PXJ56"/>
    <mergeCell ref="PXK56:PXO56"/>
    <mergeCell ref="PXP56:PXT56"/>
    <mergeCell ref="PXU56:PXY56"/>
    <mergeCell ref="PXZ56:PYD56"/>
    <mergeCell ref="PYE56:PYI56"/>
    <mergeCell ref="PWB56:PWF56"/>
    <mergeCell ref="PWG56:PWK56"/>
    <mergeCell ref="PWL56:PWP56"/>
    <mergeCell ref="PWQ56:PWU56"/>
    <mergeCell ref="PWV56:PWZ56"/>
    <mergeCell ref="PXA56:PXE56"/>
    <mergeCell ref="PUX56:PVB56"/>
    <mergeCell ref="PVC56:PVG56"/>
    <mergeCell ref="PVH56:PVL56"/>
    <mergeCell ref="PVM56:PVQ56"/>
    <mergeCell ref="PVR56:PVV56"/>
    <mergeCell ref="PVW56:PWA56"/>
    <mergeCell ref="PTT56:PTX56"/>
    <mergeCell ref="PTY56:PUC56"/>
    <mergeCell ref="PUD56:PUH56"/>
    <mergeCell ref="PUI56:PUM56"/>
    <mergeCell ref="PUN56:PUR56"/>
    <mergeCell ref="PUS56:PUW56"/>
    <mergeCell ref="PSP56:PST56"/>
    <mergeCell ref="PSU56:PSY56"/>
    <mergeCell ref="PSZ56:PTD56"/>
    <mergeCell ref="PTE56:PTI56"/>
    <mergeCell ref="PTJ56:PTN56"/>
    <mergeCell ref="PTO56:PTS56"/>
    <mergeCell ref="PRL56:PRP56"/>
    <mergeCell ref="PRQ56:PRU56"/>
    <mergeCell ref="PRV56:PRZ56"/>
    <mergeCell ref="PSA56:PSE56"/>
    <mergeCell ref="PSF56:PSJ56"/>
    <mergeCell ref="PSK56:PSO56"/>
    <mergeCell ref="PQH56:PQL56"/>
    <mergeCell ref="PQM56:PQQ56"/>
    <mergeCell ref="PQR56:PQV56"/>
    <mergeCell ref="PQW56:PRA56"/>
    <mergeCell ref="PRB56:PRF56"/>
    <mergeCell ref="PRG56:PRK56"/>
    <mergeCell ref="PPD56:PPH56"/>
    <mergeCell ref="PPI56:PPM56"/>
    <mergeCell ref="PPN56:PPR56"/>
    <mergeCell ref="PPS56:PPW56"/>
    <mergeCell ref="PPX56:PQB56"/>
    <mergeCell ref="PQC56:PQG56"/>
    <mergeCell ref="PNZ56:POD56"/>
    <mergeCell ref="POE56:POI56"/>
    <mergeCell ref="POJ56:PON56"/>
    <mergeCell ref="POO56:POS56"/>
    <mergeCell ref="POT56:POX56"/>
    <mergeCell ref="POY56:PPC56"/>
    <mergeCell ref="PMV56:PMZ56"/>
    <mergeCell ref="PNA56:PNE56"/>
    <mergeCell ref="PNF56:PNJ56"/>
    <mergeCell ref="PNK56:PNO56"/>
    <mergeCell ref="PNP56:PNT56"/>
    <mergeCell ref="PNU56:PNY56"/>
    <mergeCell ref="PLR56:PLV56"/>
    <mergeCell ref="PLW56:PMA56"/>
    <mergeCell ref="PMB56:PMF56"/>
    <mergeCell ref="PMG56:PMK56"/>
    <mergeCell ref="PML56:PMP56"/>
    <mergeCell ref="PMQ56:PMU56"/>
    <mergeCell ref="PKN56:PKR56"/>
    <mergeCell ref="PKS56:PKW56"/>
    <mergeCell ref="PKX56:PLB56"/>
    <mergeCell ref="PLC56:PLG56"/>
    <mergeCell ref="PLH56:PLL56"/>
    <mergeCell ref="PLM56:PLQ56"/>
    <mergeCell ref="PJJ56:PJN56"/>
    <mergeCell ref="PJO56:PJS56"/>
    <mergeCell ref="PJT56:PJX56"/>
    <mergeCell ref="PJY56:PKC56"/>
    <mergeCell ref="PKD56:PKH56"/>
    <mergeCell ref="PKI56:PKM56"/>
    <mergeCell ref="PIF56:PIJ56"/>
    <mergeCell ref="PIK56:PIO56"/>
    <mergeCell ref="PIP56:PIT56"/>
    <mergeCell ref="PIU56:PIY56"/>
    <mergeCell ref="PIZ56:PJD56"/>
    <mergeCell ref="PJE56:PJI56"/>
    <mergeCell ref="PHB56:PHF56"/>
    <mergeCell ref="PHG56:PHK56"/>
    <mergeCell ref="PHL56:PHP56"/>
    <mergeCell ref="PHQ56:PHU56"/>
    <mergeCell ref="PHV56:PHZ56"/>
    <mergeCell ref="PIA56:PIE56"/>
    <mergeCell ref="PFX56:PGB56"/>
    <mergeCell ref="PGC56:PGG56"/>
    <mergeCell ref="PGH56:PGL56"/>
    <mergeCell ref="PGM56:PGQ56"/>
    <mergeCell ref="PGR56:PGV56"/>
    <mergeCell ref="PGW56:PHA56"/>
    <mergeCell ref="PET56:PEX56"/>
    <mergeCell ref="PEY56:PFC56"/>
    <mergeCell ref="PFD56:PFH56"/>
    <mergeCell ref="PFI56:PFM56"/>
    <mergeCell ref="PFN56:PFR56"/>
    <mergeCell ref="PFS56:PFW56"/>
    <mergeCell ref="PDP56:PDT56"/>
    <mergeCell ref="PDU56:PDY56"/>
    <mergeCell ref="PDZ56:PED56"/>
    <mergeCell ref="PEE56:PEI56"/>
    <mergeCell ref="PEJ56:PEN56"/>
    <mergeCell ref="PEO56:PES56"/>
    <mergeCell ref="PCL56:PCP56"/>
    <mergeCell ref="PCQ56:PCU56"/>
    <mergeCell ref="PCV56:PCZ56"/>
    <mergeCell ref="PDA56:PDE56"/>
    <mergeCell ref="PDF56:PDJ56"/>
    <mergeCell ref="PDK56:PDO56"/>
    <mergeCell ref="PBH56:PBL56"/>
    <mergeCell ref="PBM56:PBQ56"/>
    <mergeCell ref="PBR56:PBV56"/>
    <mergeCell ref="PBW56:PCA56"/>
    <mergeCell ref="PCB56:PCF56"/>
    <mergeCell ref="PCG56:PCK56"/>
    <mergeCell ref="PAD56:PAH56"/>
    <mergeCell ref="PAI56:PAM56"/>
    <mergeCell ref="PAN56:PAR56"/>
    <mergeCell ref="PAS56:PAW56"/>
    <mergeCell ref="PAX56:PBB56"/>
    <mergeCell ref="PBC56:PBG56"/>
    <mergeCell ref="OYZ56:OZD56"/>
    <mergeCell ref="OZE56:OZI56"/>
    <mergeCell ref="OZJ56:OZN56"/>
    <mergeCell ref="OZO56:OZS56"/>
    <mergeCell ref="OZT56:OZX56"/>
    <mergeCell ref="OZY56:PAC56"/>
    <mergeCell ref="OXV56:OXZ56"/>
    <mergeCell ref="OYA56:OYE56"/>
    <mergeCell ref="OYF56:OYJ56"/>
    <mergeCell ref="OYK56:OYO56"/>
    <mergeCell ref="OYP56:OYT56"/>
    <mergeCell ref="OYU56:OYY56"/>
    <mergeCell ref="OWR56:OWV56"/>
    <mergeCell ref="OWW56:OXA56"/>
    <mergeCell ref="OXB56:OXF56"/>
    <mergeCell ref="OXG56:OXK56"/>
    <mergeCell ref="OXL56:OXP56"/>
    <mergeCell ref="OXQ56:OXU56"/>
    <mergeCell ref="OVN56:OVR56"/>
    <mergeCell ref="OVS56:OVW56"/>
    <mergeCell ref="OVX56:OWB56"/>
    <mergeCell ref="OWC56:OWG56"/>
    <mergeCell ref="OWH56:OWL56"/>
    <mergeCell ref="OWM56:OWQ56"/>
    <mergeCell ref="OUJ56:OUN56"/>
    <mergeCell ref="OUO56:OUS56"/>
    <mergeCell ref="OUT56:OUX56"/>
    <mergeCell ref="OUY56:OVC56"/>
    <mergeCell ref="OVD56:OVH56"/>
    <mergeCell ref="OVI56:OVM56"/>
    <mergeCell ref="OTF56:OTJ56"/>
    <mergeCell ref="OTK56:OTO56"/>
    <mergeCell ref="OTP56:OTT56"/>
    <mergeCell ref="OTU56:OTY56"/>
    <mergeCell ref="OTZ56:OUD56"/>
    <mergeCell ref="OUE56:OUI56"/>
    <mergeCell ref="OSB56:OSF56"/>
    <mergeCell ref="OSG56:OSK56"/>
    <mergeCell ref="OSL56:OSP56"/>
    <mergeCell ref="OSQ56:OSU56"/>
    <mergeCell ref="OSV56:OSZ56"/>
    <mergeCell ref="OTA56:OTE56"/>
    <mergeCell ref="OQX56:ORB56"/>
    <mergeCell ref="ORC56:ORG56"/>
    <mergeCell ref="ORH56:ORL56"/>
    <mergeCell ref="ORM56:ORQ56"/>
    <mergeCell ref="ORR56:ORV56"/>
    <mergeCell ref="ORW56:OSA56"/>
    <mergeCell ref="OPT56:OPX56"/>
    <mergeCell ref="OPY56:OQC56"/>
    <mergeCell ref="OQD56:OQH56"/>
    <mergeCell ref="OQI56:OQM56"/>
    <mergeCell ref="OQN56:OQR56"/>
    <mergeCell ref="OQS56:OQW56"/>
    <mergeCell ref="OOP56:OOT56"/>
    <mergeCell ref="OOU56:OOY56"/>
    <mergeCell ref="OOZ56:OPD56"/>
    <mergeCell ref="OPE56:OPI56"/>
    <mergeCell ref="OPJ56:OPN56"/>
    <mergeCell ref="OPO56:OPS56"/>
    <mergeCell ref="ONL56:ONP56"/>
    <mergeCell ref="ONQ56:ONU56"/>
    <mergeCell ref="ONV56:ONZ56"/>
    <mergeCell ref="OOA56:OOE56"/>
    <mergeCell ref="OOF56:OOJ56"/>
    <mergeCell ref="OOK56:OOO56"/>
    <mergeCell ref="OMH56:OML56"/>
    <mergeCell ref="OMM56:OMQ56"/>
    <mergeCell ref="OMR56:OMV56"/>
    <mergeCell ref="OMW56:ONA56"/>
    <mergeCell ref="ONB56:ONF56"/>
    <mergeCell ref="ONG56:ONK56"/>
    <mergeCell ref="OLD56:OLH56"/>
    <mergeCell ref="OLI56:OLM56"/>
    <mergeCell ref="OLN56:OLR56"/>
    <mergeCell ref="OLS56:OLW56"/>
    <mergeCell ref="OLX56:OMB56"/>
    <mergeCell ref="OMC56:OMG56"/>
    <mergeCell ref="OJZ56:OKD56"/>
    <mergeCell ref="OKE56:OKI56"/>
    <mergeCell ref="OKJ56:OKN56"/>
    <mergeCell ref="OKO56:OKS56"/>
    <mergeCell ref="OKT56:OKX56"/>
    <mergeCell ref="OKY56:OLC56"/>
    <mergeCell ref="OIV56:OIZ56"/>
    <mergeCell ref="OJA56:OJE56"/>
    <mergeCell ref="OJF56:OJJ56"/>
    <mergeCell ref="OJK56:OJO56"/>
    <mergeCell ref="OJP56:OJT56"/>
    <mergeCell ref="OJU56:OJY56"/>
    <mergeCell ref="OHR56:OHV56"/>
    <mergeCell ref="OHW56:OIA56"/>
    <mergeCell ref="OIB56:OIF56"/>
    <mergeCell ref="OIG56:OIK56"/>
    <mergeCell ref="OIL56:OIP56"/>
    <mergeCell ref="OIQ56:OIU56"/>
    <mergeCell ref="OGN56:OGR56"/>
    <mergeCell ref="OGS56:OGW56"/>
    <mergeCell ref="OGX56:OHB56"/>
    <mergeCell ref="OHC56:OHG56"/>
    <mergeCell ref="OHH56:OHL56"/>
    <mergeCell ref="OHM56:OHQ56"/>
    <mergeCell ref="OFJ56:OFN56"/>
    <mergeCell ref="OFO56:OFS56"/>
    <mergeCell ref="OFT56:OFX56"/>
    <mergeCell ref="OFY56:OGC56"/>
    <mergeCell ref="OGD56:OGH56"/>
    <mergeCell ref="OGI56:OGM56"/>
    <mergeCell ref="OEF56:OEJ56"/>
    <mergeCell ref="OEK56:OEO56"/>
    <mergeCell ref="OEP56:OET56"/>
    <mergeCell ref="OEU56:OEY56"/>
    <mergeCell ref="OEZ56:OFD56"/>
    <mergeCell ref="OFE56:OFI56"/>
    <mergeCell ref="ODB56:ODF56"/>
    <mergeCell ref="ODG56:ODK56"/>
    <mergeCell ref="ODL56:ODP56"/>
    <mergeCell ref="ODQ56:ODU56"/>
    <mergeCell ref="ODV56:ODZ56"/>
    <mergeCell ref="OEA56:OEE56"/>
    <mergeCell ref="OBX56:OCB56"/>
    <mergeCell ref="OCC56:OCG56"/>
    <mergeCell ref="OCH56:OCL56"/>
    <mergeCell ref="OCM56:OCQ56"/>
    <mergeCell ref="OCR56:OCV56"/>
    <mergeCell ref="OCW56:ODA56"/>
    <mergeCell ref="OAT56:OAX56"/>
    <mergeCell ref="OAY56:OBC56"/>
    <mergeCell ref="OBD56:OBH56"/>
    <mergeCell ref="OBI56:OBM56"/>
    <mergeCell ref="OBN56:OBR56"/>
    <mergeCell ref="OBS56:OBW56"/>
    <mergeCell ref="NZP56:NZT56"/>
    <mergeCell ref="NZU56:NZY56"/>
    <mergeCell ref="NZZ56:OAD56"/>
    <mergeCell ref="OAE56:OAI56"/>
    <mergeCell ref="OAJ56:OAN56"/>
    <mergeCell ref="OAO56:OAS56"/>
    <mergeCell ref="NYL56:NYP56"/>
    <mergeCell ref="NYQ56:NYU56"/>
    <mergeCell ref="NYV56:NYZ56"/>
    <mergeCell ref="NZA56:NZE56"/>
    <mergeCell ref="NZF56:NZJ56"/>
    <mergeCell ref="NZK56:NZO56"/>
    <mergeCell ref="NXH56:NXL56"/>
    <mergeCell ref="NXM56:NXQ56"/>
    <mergeCell ref="NXR56:NXV56"/>
    <mergeCell ref="NXW56:NYA56"/>
    <mergeCell ref="NYB56:NYF56"/>
    <mergeCell ref="NYG56:NYK56"/>
    <mergeCell ref="NWD56:NWH56"/>
    <mergeCell ref="NWI56:NWM56"/>
    <mergeCell ref="NWN56:NWR56"/>
    <mergeCell ref="NWS56:NWW56"/>
    <mergeCell ref="NWX56:NXB56"/>
    <mergeCell ref="NXC56:NXG56"/>
    <mergeCell ref="NUZ56:NVD56"/>
    <mergeCell ref="NVE56:NVI56"/>
    <mergeCell ref="NVJ56:NVN56"/>
    <mergeCell ref="NVO56:NVS56"/>
    <mergeCell ref="NVT56:NVX56"/>
    <mergeCell ref="NVY56:NWC56"/>
    <mergeCell ref="NTV56:NTZ56"/>
    <mergeCell ref="NUA56:NUE56"/>
    <mergeCell ref="NUF56:NUJ56"/>
    <mergeCell ref="NUK56:NUO56"/>
    <mergeCell ref="NUP56:NUT56"/>
    <mergeCell ref="NUU56:NUY56"/>
    <mergeCell ref="NSR56:NSV56"/>
    <mergeCell ref="NSW56:NTA56"/>
    <mergeCell ref="NTB56:NTF56"/>
    <mergeCell ref="NTG56:NTK56"/>
    <mergeCell ref="NTL56:NTP56"/>
    <mergeCell ref="NTQ56:NTU56"/>
    <mergeCell ref="NRN56:NRR56"/>
    <mergeCell ref="NRS56:NRW56"/>
    <mergeCell ref="NRX56:NSB56"/>
    <mergeCell ref="NSC56:NSG56"/>
    <mergeCell ref="NSH56:NSL56"/>
    <mergeCell ref="NSM56:NSQ56"/>
    <mergeCell ref="NQJ56:NQN56"/>
    <mergeCell ref="NQO56:NQS56"/>
    <mergeCell ref="NQT56:NQX56"/>
    <mergeCell ref="NQY56:NRC56"/>
    <mergeCell ref="NRD56:NRH56"/>
    <mergeCell ref="NRI56:NRM56"/>
    <mergeCell ref="NPF56:NPJ56"/>
    <mergeCell ref="NPK56:NPO56"/>
    <mergeCell ref="NPP56:NPT56"/>
    <mergeCell ref="NPU56:NPY56"/>
    <mergeCell ref="NPZ56:NQD56"/>
    <mergeCell ref="NQE56:NQI56"/>
    <mergeCell ref="NOB56:NOF56"/>
    <mergeCell ref="NOG56:NOK56"/>
    <mergeCell ref="NOL56:NOP56"/>
    <mergeCell ref="NOQ56:NOU56"/>
    <mergeCell ref="NOV56:NOZ56"/>
    <mergeCell ref="NPA56:NPE56"/>
    <mergeCell ref="NMX56:NNB56"/>
    <mergeCell ref="NNC56:NNG56"/>
    <mergeCell ref="NNH56:NNL56"/>
    <mergeCell ref="NNM56:NNQ56"/>
    <mergeCell ref="NNR56:NNV56"/>
    <mergeCell ref="NNW56:NOA56"/>
    <mergeCell ref="NLT56:NLX56"/>
    <mergeCell ref="NLY56:NMC56"/>
    <mergeCell ref="NMD56:NMH56"/>
    <mergeCell ref="NMI56:NMM56"/>
    <mergeCell ref="NMN56:NMR56"/>
    <mergeCell ref="NMS56:NMW56"/>
    <mergeCell ref="NKP56:NKT56"/>
    <mergeCell ref="NKU56:NKY56"/>
    <mergeCell ref="NKZ56:NLD56"/>
    <mergeCell ref="NLE56:NLI56"/>
    <mergeCell ref="NLJ56:NLN56"/>
    <mergeCell ref="NLO56:NLS56"/>
    <mergeCell ref="NJL56:NJP56"/>
    <mergeCell ref="NJQ56:NJU56"/>
    <mergeCell ref="NJV56:NJZ56"/>
    <mergeCell ref="NKA56:NKE56"/>
    <mergeCell ref="NKF56:NKJ56"/>
    <mergeCell ref="NKK56:NKO56"/>
    <mergeCell ref="NIH56:NIL56"/>
    <mergeCell ref="NIM56:NIQ56"/>
    <mergeCell ref="NIR56:NIV56"/>
    <mergeCell ref="NIW56:NJA56"/>
    <mergeCell ref="NJB56:NJF56"/>
    <mergeCell ref="NJG56:NJK56"/>
    <mergeCell ref="NHD56:NHH56"/>
    <mergeCell ref="NHI56:NHM56"/>
    <mergeCell ref="NHN56:NHR56"/>
    <mergeCell ref="NHS56:NHW56"/>
    <mergeCell ref="NHX56:NIB56"/>
    <mergeCell ref="NIC56:NIG56"/>
    <mergeCell ref="NFZ56:NGD56"/>
    <mergeCell ref="NGE56:NGI56"/>
    <mergeCell ref="NGJ56:NGN56"/>
    <mergeCell ref="NGO56:NGS56"/>
    <mergeCell ref="NGT56:NGX56"/>
    <mergeCell ref="NGY56:NHC56"/>
    <mergeCell ref="NEV56:NEZ56"/>
    <mergeCell ref="NFA56:NFE56"/>
    <mergeCell ref="NFF56:NFJ56"/>
    <mergeCell ref="NFK56:NFO56"/>
    <mergeCell ref="NFP56:NFT56"/>
    <mergeCell ref="NFU56:NFY56"/>
    <mergeCell ref="NDR56:NDV56"/>
    <mergeCell ref="NDW56:NEA56"/>
    <mergeCell ref="NEB56:NEF56"/>
    <mergeCell ref="NEG56:NEK56"/>
    <mergeCell ref="NEL56:NEP56"/>
    <mergeCell ref="NEQ56:NEU56"/>
    <mergeCell ref="NCN56:NCR56"/>
    <mergeCell ref="NCS56:NCW56"/>
    <mergeCell ref="NCX56:NDB56"/>
    <mergeCell ref="NDC56:NDG56"/>
    <mergeCell ref="NDH56:NDL56"/>
    <mergeCell ref="NDM56:NDQ56"/>
    <mergeCell ref="NBJ56:NBN56"/>
    <mergeCell ref="NBO56:NBS56"/>
    <mergeCell ref="NBT56:NBX56"/>
    <mergeCell ref="NBY56:NCC56"/>
    <mergeCell ref="NCD56:NCH56"/>
    <mergeCell ref="NCI56:NCM56"/>
    <mergeCell ref="NAF56:NAJ56"/>
    <mergeCell ref="NAK56:NAO56"/>
    <mergeCell ref="NAP56:NAT56"/>
    <mergeCell ref="NAU56:NAY56"/>
    <mergeCell ref="NAZ56:NBD56"/>
    <mergeCell ref="NBE56:NBI56"/>
    <mergeCell ref="MZB56:MZF56"/>
    <mergeCell ref="MZG56:MZK56"/>
    <mergeCell ref="MZL56:MZP56"/>
    <mergeCell ref="MZQ56:MZU56"/>
    <mergeCell ref="MZV56:MZZ56"/>
    <mergeCell ref="NAA56:NAE56"/>
    <mergeCell ref="MXX56:MYB56"/>
    <mergeCell ref="MYC56:MYG56"/>
    <mergeCell ref="MYH56:MYL56"/>
    <mergeCell ref="MYM56:MYQ56"/>
    <mergeCell ref="MYR56:MYV56"/>
    <mergeCell ref="MYW56:MZA56"/>
    <mergeCell ref="MWT56:MWX56"/>
    <mergeCell ref="MWY56:MXC56"/>
    <mergeCell ref="MXD56:MXH56"/>
    <mergeCell ref="MXI56:MXM56"/>
    <mergeCell ref="MXN56:MXR56"/>
    <mergeCell ref="MXS56:MXW56"/>
    <mergeCell ref="MVP56:MVT56"/>
    <mergeCell ref="MVU56:MVY56"/>
    <mergeCell ref="MVZ56:MWD56"/>
    <mergeCell ref="MWE56:MWI56"/>
    <mergeCell ref="MWJ56:MWN56"/>
    <mergeCell ref="MWO56:MWS56"/>
    <mergeCell ref="MUL56:MUP56"/>
    <mergeCell ref="MUQ56:MUU56"/>
    <mergeCell ref="MUV56:MUZ56"/>
    <mergeCell ref="MVA56:MVE56"/>
    <mergeCell ref="MVF56:MVJ56"/>
    <mergeCell ref="MVK56:MVO56"/>
    <mergeCell ref="MTH56:MTL56"/>
    <mergeCell ref="MTM56:MTQ56"/>
    <mergeCell ref="MTR56:MTV56"/>
    <mergeCell ref="MTW56:MUA56"/>
    <mergeCell ref="MUB56:MUF56"/>
    <mergeCell ref="MUG56:MUK56"/>
    <mergeCell ref="MSD56:MSH56"/>
    <mergeCell ref="MSI56:MSM56"/>
    <mergeCell ref="MSN56:MSR56"/>
    <mergeCell ref="MSS56:MSW56"/>
    <mergeCell ref="MSX56:MTB56"/>
    <mergeCell ref="MTC56:MTG56"/>
    <mergeCell ref="MQZ56:MRD56"/>
    <mergeCell ref="MRE56:MRI56"/>
    <mergeCell ref="MRJ56:MRN56"/>
    <mergeCell ref="MRO56:MRS56"/>
    <mergeCell ref="MRT56:MRX56"/>
    <mergeCell ref="MRY56:MSC56"/>
    <mergeCell ref="MPV56:MPZ56"/>
    <mergeCell ref="MQA56:MQE56"/>
    <mergeCell ref="MQF56:MQJ56"/>
    <mergeCell ref="MQK56:MQO56"/>
    <mergeCell ref="MQP56:MQT56"/>
    <mergeCell ref="MQU56:MQY56"/>
    <mergeCell ref="MOR56:MOV56"/>
    <mergeCell ref="MOW56:MPA56"/>
    <mergeCell ref="MPB56:MPF56"/>
    <mergeCell ref="MPG56:MPK56"/>
    <mergeCell ref="MPL56:MPP56"/>
    <mergeCell ref="MPQ56:MPU56"/>
    <mergeCell ref="MNN56:MNR56"/>
    <mergeCell ref="MNS56:MNW56"/>
    <mergeCell ref="MNX56:MOB56"/>
    <mergeCell ref="MOC56:MOG56"/>
    <mergeCell ref="MOH56:MOL56"/>
    <mergeCell ref="MOM56:MOQ56"/>
    <mergeCell ref="MMJ56:MMN56"/>
    <mergeCell ref="MMO56:MMS56"/>
    <mergeCell ref="MMT56:MMX56"/>
    <mergeCell ref="MMY56:MNC56"/>
    <mergeCell ref="MND56:MNH56"/>
    <mergeCell ref="MNI56:MNM56"/>
    <mergeCell ref="MLF56:MLJ56"/>
    <mergeCell ref="MLK56:MLO56"/>
    <mergeCell ref="MLP56:MLT56"/>
    <mergeCell ref="MLU56:MLY56"/>
    <mergeCell ref="MLZ56:MMD56"/>
    <mergeCell ref="MME56:MMI56"/>
    <mergeCell ref="MKB56:MKF56"/>
    <mergeCell ref="MKG56:MKK56"/>
    <mergeCell ref="MKL56:MKP56"/>
    <mergeCell ref="MKQ56:MKU56"/>
    <mergeCell ref="MKV56:MKZ56"/>
    <mergeCell ref="MLA56:MLE56"/>
    <mergeCell ref="MIX56:MJB56"/>
    <mergeCell ref="MJC56:MJG56"/>
    <mergeCell ref="MJH56:MJL56"/>
    <mergeCell ref="MJM56:MJQ56"/>
    <mergeCell ref="MJR56:MJV56"/>
    <mergeCell ref="MJW56:MKA56"/>
    <mergeCell ref="MHT56:MHX56"/>
    <mergeCell ref="MHY56:MIC56"/>
    <mergeCell ref="MID56:MIH56"/>
    <mergeCell ref="MII56:MIM56"/>
    <mergeCell ref="MIN56:MIR56"/>
    <mergeCell ref="MIS56:MIW56"/>
    <mergeCell ref="MGP56:MGT56"/>
    <mergeCell ref="MGU56:MGY56"/>
    <mergeCell ref="MGZ56:MHD56"/>
    <mergeCell ref="MHE56:MHI56"/>
    <mergeCell ref="MHJ56:MHN56"/>
    <mergeCell ref="MHO56:MHS56"/>
    <mergeCell ref="MFL56:MFP56"/>
    <mergeCell ref="MFQ56:MFU56"/>
    <mergeCell ref="MFV56:MFZ56"/>
    <mergeCell ref="MGA56:MGE56"/>
    <mergeCell ref="MGF56:MGJ56"/>
    <mergeCell ref="MGK56:MGO56"/>
    <mergeCell ref="MEH56:MEL56"/>
    <mergeCell ref="MEM56:MEQ56"/>
    <mergeCell ref="MER56:MEV56"/>
    <mergeCell ref="MEW56:MFA56"/>
    <mergeCell ref="MFB56:MFF56"/>
    <mergeCell ref="MFG56:MFK56"/>
    <mergeCell ref="MDD56:MDH56"/>
    <mergeCell ref="MDI56:MDM56"/>
    <mergeCell ref="MDN56:MDR56"/>
    <mergeCell ref="MDS56:MDW56"/>
    <mergeCell ref="MDX56:MEB56"/>
    <mergeCell ref="MEC56:MEG56"/>
    <mergeCell ref="MBZ56:MCD56"/>
    <mergeCell ref="MCE56:MCI56"/>
    <mergeCell ref="MCJ56:MCN56"/>
    <mergeCell ref="MCO56:MCS56"/>
    <mergeCell ref="MCT56:MCX56"/>
    <mergeCell ref="MCY56:MDC56"/>
    <mergeCell ref="MAV56:MAZ56"/>
    <mergeCell ref="MBA56:MBE56"/>
    <mergeCell ref="MBF56:MBJ56"/>
    <mergeCell ref="MBK56:MBO56"/>
    <mergeCell ref="MBP56:MBT56"/>
    <mergeCell ref="MBU56:MBY56"/>
    <mergeCell ref="LZR56:LZV56"/>
    <mergeCell ref="LZW56:MAA56"/>
    <mergeCell ref="MAB56:MAF56"/>
    <mergeCell ref="MAG56:MAK56"/>
    <mergeCell ref="MAL56:MAP56"/>
    <mergeCell ref="MAQ56:MAU56"/>
    <mergeCell ref="LYN56:LYR56"/>
    <mergeCell ref="LYS56:LYW56"/>
    <mergeCell ref="LYX56:LZB56"/>
    <mergeCell ref="LZC56:LZG56"/>
    <mergeCell ref="LZH56:LZL56"/>
    <mergeCell ref="LZM56:LZQ56"/>
    <mergeCell ref="LXJ56:LXN56"/>
    <mergeCell ref="LXO56:LXS56"/>
    <mergeCell ref="LXT56:LXX56"/>
    <mergeCell ref="LXY56:LYC56"/>
    <mergeCell ref="LYD56:LYH56"/>
    <mergeCell ref="LYI56:LYM56"/>
    <mergeCell ref="LWF56:LWJ56"/>
    <mergeCell ref="LWK56:LWO56"/>
    <mergeCell ref="LWP56:LWT56"/>
    <mergeCell ref="LWU56:LWY56"/>
    <mergeCell ref="LWZ56:LXD56"/>
    <mergeCell ref="LXE56:LXI56"/>
    <mergeCell ref="LVB56:LVF56"/>
    <mergeCell ref="LVG56:LVK56"/>
    <mergeCell ref="LVL56:LVP56"/>
    <mergeCell ref="LVQ56:LVU56"/>
    <mergeCell ref="LVV56:LVZ56"/>
    <mergeCell ref="LWA56:LWE56"/>
    <mergeCell ref="LTX56:LUB56"/>
    <mergeCell ref="LUC56:LUG56"/>
    <mergeCell ref="LUH56:LUL56"/>
    <mergeCell ref="LUM56:LUQ56"/>
    <mergeCell ref="LUR56:LUV56"/>
    <mergeCell ref="LUW56:LVA56"/>
    <mergeCell ref="LST56:LSX56"/>
    <mergeCell ref="LSY56:LTC56"/>
    <mergeCell ref="LTD56:LTH56"/>
    <mergeCell ref="LTI56:LTM56"/>
    <mergeCell ref="LTN56:LTR56"/>
    <mergeCell ref="LTS56:LTW56"/>
    <mergeCell ref="LRP56:LRT56"/>
    <mergeCell ref="LRU56:LRY56"/>
    <mergeCell ref="LRZ56:LSD56"/>
    <mergeCell ref="LSE56:LSI56"/>
    <mergeCell ref="LSJ56:LSN56"/>
    <mergeCell ref="LSO56:LSS56"/>
    <mergeCell ref="LQL56:LQP56"/>
    <mergeCell ref="LQQ56:LQU56"/>
    <mergeCell ref="LQV56:LQZ56"/>
    <mergeCell ref="LRA56:LRE56"/>
    <mergeCell ref="LRF56:LRJ56"/>
    <mergeCell ref="LRK56:LRO56"/>
    <mergeCell ref="LPH56:LPL56"/>
    <mergeCell ref="LPM56:LPQ56"/>
    <mergeCell ref="LPR56:LPV56"/>
    <mergeCell ref="LPW56:LQA56"/>
    <mergeCell ref="LQB56:LQF56"/>
    <mergeCell ref="LQG56:LQK56"/>
    <mergeCell ref="LOD56:LOH56"/>
    <mergeCell ref="LOI56:LOM56"/>
    <mergeCell ref="LON56:LOR56"/>
    <mergeCell ref="LOS56:LOW56"/>
    <mergeCell ref="LOX56:LPB56"/>
    <mergeCell ref="LPC56:LPG56"/>
    <mergeCell ref="LMZ56:LND56"/>
    <mergeCell ref="LNE56:LNI56"/>
    <mergeCell ref="LNJ56:LNN56"/>
    <mergeCell ref="LNO56:LNS56"/>
    <mergeCell ref="LNT56:LNX56"/>
    <mergeCell ref="LNY56:LOC56"/>
    <mergeCell ref="LLV56:LLZ56"/>
    <mergeCell ref="LMA56:LME56"/>
    <mergeCell ref="LMF56:LMJ56"/>
    <mergeCell ref="LMK56:LMO56"/>
    <mergeCell ref="LMP56:LMT56"/>
    <mergeCell ref="LMU56:LMY56"/>
    <mergeCell ref="LKR56:LKV56"/>
    <mergeCell ref="LKW56:LLA56"/>
    <mergeCell ref="LLB56:LLF56"/>
    <mergeCell ref="LLG56:LLK56"/>
    <mergeCell ref="LLL56:LLP56"/>
    <mergeCell ref="LLQ56:LLU56"/>
    <mergeCell ref="LJN56:LJR56"/>
    <mergeCell ref="LJS56:LJW56"/>
    <mergeCell ref="LJX56:LKB56"/>
    <mergeCell ref="LKC56:LKG56"/>
    <mergeCell ref="LKH56:LKL56"/>
    <mergeCell ref="LKM56:LKQ56"/>
    <mergeCell ref="LIJ56:LIN56"/>
    <mergeCell ref="LIO56:LIS56"/>
    <mergeCell ref="LIT56:LIX56"/>
    <mergeCell ref="LIY56:LJC56"/>
    <mergeCell ref="LJD56:LJH56"/>
    <mergeCell ref="LJI56:LJM56"/>
    <mergeCell ref="LHF56:LHJ56"/>
    <mergeCell ref="LHK56:LHO56"/>
    <mergeCell ref="LHP56:LHT56"/>
    <mergeCell ref="LHU56:LHY56"/>
    <mergeCell ref="LHZ56:LID56"/>
    <mergeCell ref="LIE56:LII56"/>
    <mergeCell ref="LGB56:LGF56"/>
    <mergeCell ref="LGG56:LGK56"/>
    <mergeCell ref="LGL56:LGP56"/>
    <mergeCell ref="LGQ56:LGU56"/>
    <mergeCell ref="LGV56:LGZ56"/>
    <mergeCell ref="LHA56:LHE56"/>
    <mergeCell ref="LEX56:LFB56"/>
    <mergeCell ref="LFC56:LFG56"/>
    <mergeCell ref="LFH56:LFL56"/>
    <mergeCell ref="LFM56:LFQ56"/>
    <mergeCell ref="LFR56:LFV56"/>
    <mergeCell ref="LFW56:LGA56"/>
    <mergeCell ref="LDT56:LDX56"/>
    <mergeCell ref="LDY56:LEC56"/>
    <mergeCell ref="LED56:LEH56"/>
    <mergeCell ref="LEI56:LEM56"/>
    <mergeCell ref="LEN56:LER56"/>
    <mergeCell ref="LES56:LEW56"/>
    <mergeCell ref="LCP56:LCT56"/>
    <mergeCell ref="LCU56:LCY56"/>
    <mergeCell ref="LCZ56:LDD56"/>
    <mergeCell ref="LDE56:LDI56"/>
    <mergeCell ref="LDJ56:LDN56"/>
    <mergeCell ref="LDO56:LDS56"/>
    <mergeCell ref="LBL56:LBP56"/>
    <mergeCell ref="LBQ56:LBU56"/>
    <mergeCell ref="LBV56:LBZ56"/>
    <mergeCell ref="LCA56:LCE56"/>
    <mergeCell ref="LCF56:LCJ56"/>
    <mergeCell ref="LCK56:LCO56"/>
    <mergeCell ref="LAH56:LAL56"/>
    <mergeCell ref="LAM56:LAQ56"/>
    <mergeCell ref="LAR56:LAV56"/>
    <mergeCell ref="LAW56:LBA56"/>
    <mergeCell ref="LBB56:LBF56"/>
    <mergeCell ref="LBG56:LBK56"/>
    <mergeCell ref="KZD56:KZH56"/>
    <mergeCell ref="KZI56:KZM56"/>
    <mergeCell ref="KZN56:KZR56"/>
    <mergeCell ref="KZS56:KZW56"/>
    <mergeCell ref="KZX56:LAB56"/>
    <mergeCell ref="LAC56:LAG56"/>
    <mergeCell ref="KXZ56:KYD56"/>
    <mergeCell ref="KYE56:KYI56"/>
    <mergeCell ref="KYJ56:KYN56"/>
    <mergeCell ref="KYO56:KYS56"/>
    <mergeCell ref="KYT56:KYX56"/>
    <mergeCell ref="KYY56:KZC56"/>
    <mergeCell ref="KWV56:KWZ56"/>
    <mergeCell ref="KXA56:KXE56"/>
    <mergeCell ref="KXF56:KXJ56"/>
    <mergeCell ref="KXK56:KXO56"/>
    <mergeCell ref="KXP56:KXT56"/>
    <mergeCell ref="KXU56:KXY56"/>
    <mergeCell ref="KVR56:KVV56"/>
    <mergeCell ref="KVW56:KWA56"/>
    <mergeCell ref="KWB56:KWF56"/>
    <mergeCell ref="KWG56:KWK56"/>
    <mergeCell ref="KWL56:KWP56"/>
    <mergeCell ref="KWQ56:KWU56"/>
    <mergeCell ref="KUN56:KUR56"/>
    <mergeCell ref="KUS56:KUW56"/>
    <mergeCell ref="KUX56:KVB56"/>
    <mergeCell ref="KVC56:KVG56"/>
    <mergeCell ref="KVH56:KVL56"/>
    <mergeCell ref="KVM56:KVQ56"/>
    <mergeCell ref="KTJ56:KTN56"/>
    <mergeCell ref="KTO56:KTS56"/>
    <mergeCell ref="KTT56:KTX56"/>
    <mergeCell ref="KTY56:KUC56"/>
    <mergeCell ref="KUD56:KUH56"/>
    <mergeCell ref="KUI56:KUM56"/>
    <mergeCell ref="KSF56:KSJ56"/>
    <mergeCell ref="KSK56:KSO56"/>
    <mergeCell ref="KSP56:KST56"/>
    <mergeCell ref="KSU56:KSY56"/>
    <mergeCell ref="KSZ56:KTD56"/>
    <mergeCell ref="KTE56:KTI56"/>
    <mergeCell ref="KRB56:KRF56"/>
    <mergeCell ref="KRG56:KRK56"/>
    <mergeCell ref="KRL56:KRP56"/>
    <mergeCell ref="KRQ56:KRU56"/>
    <mergeCell ref="KRV56:KRZ56"/>
    <mergeCell ref="KSA56:KSE56"/>
    <mergeCell ref="KPX56:KQB56"/>
    <mergeCell ref="KQC56:KQG56"/>
    <mergeCell ref="KQH56:KQL56"/>
    <mergeCell ref="KQM56:KQQ56"/>
    <mergeCell ref="KQR56:KQV56"/>
    <mergeCell ref="KQW56:KRA56"/>
    <mergeCell ref="KOT56:KOX56"/>
    <mergeCell ref="KOY56:KPC56"/>
    <mergeCell ref="KPD56:KPH56"/>
    <mergeCell ref="KPI56:KPM56"/>
    <mergeCell ref="KPN56:KPR56"/>
    <mergeCell ref="KPS56:KPW56"/>
    <mergeCell ref="KNP56:KNT56"/>
    <mergeCell ref="KNU56:KNY56"/>
    <mergeCell ref="KNZ56:KOD56"/>
    <mergeCell ref="KOE56:KOI56"/>
    <mergeCell ref="KOJ56:KON56"/>
    <mergeCell ref="KOO56:KOS56"/>
    <mergeCell ref="KML56:KMP56"/>
    <mergeCell ref="KMQ56:KMU56"/>
    <mergeCell ref="KMV56:KMZ56"/>
    <mergeCell ref="KNA56:KNE56"/>
    <mergeCell ref="KNF56:KNJ56"/>
    <mergeCell ref="KNK56:KNO56"/>
    <mergeCell ref="KLH56:KLL56"/>
    <mergeCell ref="KLM56:KLQ56"/>
    <mergeCell ref="KLR56:KLV56"/>
    <mergeCell ref="KLW56:KMA56"/>
    <mergeCell ref="KMB56:KMF56"/>
    <mergeCell ref="KMG56:KMK56"/>
    <mergeCell ref="KKD56:KKH56"/>
    <mergeCell ref="KKI56:KKM56"/>
    <mergeCell ref="KKN56:KKR56"/>
    <mergeCell ref="KKS56:KKW56"/>
    <mergeCell ref="KKX56:KLB56"/>
    <mergeCell ref="KLC56:KLG56"/>
    <mergeCell ref="KIZ56:KJD56"/>
    <mergeCell ref="KJE56:KJI56"/>
    <mergeCell ref="KJJ56:KJN56"/>
    <mergeCell ref="KJO56:KJS56"/>
    <mergeCell ref="KJT56:KJX56"/>
    <mergeCell ref="KJY56:KKC56"/>
    <mergeCell ref="KHV56:KHZ56"/>
    <mergeCell ref="KIA56:KIE56"/>
    <mergeCell ref="KIF56:KIJ56"/>
    <mergeCell ref="KIK56:KIO56"/>
    <mergeCell ref="KIP56:KIT56"/>
    <mergeCell ref="KIU56:KIY56"/>
    <mergeCell ref="KGR56:KGV56"/>
    <mergeCell ref="KGW56:KHA56"/>
    <mergeCell ref="KHB56:KHF56"/>
    <mergeCell ref="KHG56:KHK56"/>
    <mergeCell ref="KHL56:KHP56"/>
    <mergeCell ref="KHQ56:KHU56"/>
    <mergeCell ref="KFN56:KFR56"/>
    <mergeCell ref="KFS56:KFW56"/>
    <mergeCell ref="KFX56:KGB56"/>
    <mergeCell ref="KGC56:KGG56"/>
    <mergeCell ref="KGH56:KGL56"/>
    <mergeCell ref="KGM56:KGQ56"/>
    <mergeCell ref="KEJ56:KEN56"/>
    <mergeCell ref="KEO56:KES56"/>
    <mergeCell ref="KET56:KEX56"/>
    <mergeCell ref="KEY56:KFC56"/>
    <mergeCell ref="KFD56:KFH56"/>
    <mergeCell ref="KFI56:KFM56"/>
    <mergeCell ref="KDF56:KDJ56"/>
    <mergeCell ref="KDK56:KDO56"/>
    <mergeCell ref="KDP56:KDT56"/>
    <mergeCell ref="KDU56:KDY56"/>
    <mergeCell ref="KDZ56:KED56"/>
    <mergeCell ref="KEE56:KEI56"/>
    <mergeCell ref="KCB56:KCF56"/>
    <mergeCell ref="KCG56:KCK56"/>
    <mergeCell ref="KCL56:KCP56"/>
    <mergeCell ref="KCQ56:KCU56"/>
    <mergeCell ref="KCV56:KCZ56"/>
    <mergeCell ref="KDA56:KDE56"/>
    <mergeCell ref="KAX56:KBB56"/>
    <mergeCell ref="KBC56:KBG56"/>
    <mergeCell ref="KBH56:KBL56"/>
    <mergeCell ref="KBM56:KBQ56"/>
    <mergeCell ref="KBR56:KBV56"/>
    <mergeCell ref="KBW56:KCA56"/>
    <mergeCell ref="JZT56:JZX56"/>
    <mergeCell ref="JZY56:KAC56"/>
    <mergeCell ref="KAD56:KAH56"/>
    <mergeCell ref="KAI56:KAM56"/>
    <mergeCell ref="KAN56:KAR56"/>
    <mergeCell ref="KAS56:KAW56"/>
    <mergeCell ref="JYP56:JYT56"/>
    <mergeCell ref="JYU56:JYY56"/>
    <mergeCell ref="JYZ56:JZD56"/>
    <mergeCell ref="JZE56:JZI56"/>
    <mergeCell ref="JZJ56:JZN56"/>
    <mergeCell ref="JZO56:JZS56"/>
    <mergeCell ref="JXL56:JXP56"/>
    <mergeCell ref="JXQ56:JXU56"/>
    <mergeCell ref="JXV56:JXZ56"/>
    <mergeCell ref="JYA56:JYE56"/>
    <mergeCell ref="JYF56:JYJ56"/>
    <mergeCell ref="JYK56:JYO56"/>
    <mergeCell ref="JWH56:JWL56"/>
    <mergeCell ref="JWM56:JWQ56"/>
    <mergeCell ref="JWR56:JWV56"/>
    <mergeCell ref="JWW56:JXA56"/>
    <mergeCell ref="JXB56:JXF56"/>
    <mergeCell ref="JXG56:JXK56"/>
    <mergeCell ref="JVD56:JVH56"/>
    <mergeCell ref="JVI56:JVM56"/>
    <mergeCell ref="JVN56:JVR56"/>
    <mergeCell ref="JVS56:JVW56"/>
    <mergeCell ref="JVX56:JWB56"/>
    <mergeCell ref="JWC56:JWG56"/>
    <mergeCell ref="JTZ56:JUD56"/>
    <mergeCell ref="JUE56:JUI56"/>
    <mergeCell ref="JUJ56:JUN56"/>
    <mergeCell ref="JUO56:JUS56"/>
    <mergeCell ref="JUT56:JUX56"/>
    <mergeCell ref="JUY56:JVC56"/>
    <mergeCell ref="JSV56:JSZ56"/>
    <mergeCell ref="JTA56:JTE56"/>
    <mergeCell ref="JTF56:JTJ56"/>
    <mergeCell ref="JTK56:JTO56"/>
    <mergeCell ref="JTP56:JTT56"/>
    <mergeCell ref="JTU56:JTY56"/>
    <mergeCell ref="JRR56:JRV56"/>
    <mergeCell ref="JRW56:JSA56"/>
    <mergeCell ref="JSB56:JSF56"/>
    <mergeCell ref="JSG56:JSK56"/>
    <mergeCell ref="JSL56:JSP56"/>
    <mergeCell ref="JSQ56:JSU56"/>
    <mergeCell ref="JQN56:JQR56"/>
    <mergeCell ref="JQS56:JQW56"/>
    <mergeCell ref="JQX56:JRB56"/>
    <mergeCell ref="JRC56:JRG56"/>
    <mergeCell ref="JRH56:JRL56"/>
    <mergeCell ref="JRM56:JRQ56"/>
    <mergeCell ref="JPJ56:JPN56"/>
    <mergeCell ref="JPO56:JPS56"/>
    <mergeCell ref="JPT56:JPX56"/>
    <mergeCell ref="JPY56:JQC56"/>
    <mergeCell ref="JQD56:JQH56"/>
    <mergeCell ref="JQI56:JQM56"/>
    <mergeCell ref="JOF56:JOJ56"/>
    <mergeCell ref="JOK56:JOO56"/>
    <mergeCell ref="JOP56:JOT56"/>
    <mergeCell ref="JOU56:JOY56"/>
    <mergeCell ref="JOZ56:JPD56"/>
    <mergeCell ref="JPE56:JPI56"/>
    <mergeCell ref="JNB56:JNF56"/>
    <mergeCell ref="JNG56:JNK56"/>
    <mergeCell ref="JNL56:JNP56"/>
    <mergeCell ref="JNQ56:JNU56"/>
    <mergeCell ref="JNV56:JNZ56"/>
    <mergeCell ref="JOA56:JOE56"/>
    <mergeCell ref="JLX56:JMB56"/>
    <mergeCell ref="JMC56:JMG56"/>
    <mergeCell ref="JMH56:JML56"/>
    <mergeCell ref="JMM56:JMQ56"/>
    <mergeCell ref="JMR56:JMV56"/>
    <mergeCell ref="JMW56:JNA56"/>
    <mergeCell ref="JKT56:JKX56"/>
    <mergeCell ref="JKY56:JLC56"/>
    <mergeCell ref="JLD56:JLH56"/>
    <mergeCell ref="JLI56:JLM56"/>
    <mergeCell ref="JLN56:JLR56"/>
    <mergeCell ref="JLS56:JLW56"/>
    <mergeCell ref="JJP56:JJT56"/>
    <mergeCell ref="JJU56:JJY56"/>
    <mergeCell ref="JJZ56:JKD56"/>
    <mergeCell ref="JKE56:JKI56"/>
    <mergeCell ref="JKJ56:JKN56"/>
    <mergeCell ref="JKO56:JKS56"/>
    <mergeCell ref="JIL56:JIP56"/>
    <mergeCell ref="JIQ56:JIU56"/>
    <mergeCell ref="JIV56:JIZ56"/>
    <mergeCell ref="JJA56:JJE56"/>
    <mergeCell ref="JJF56:JJJ56"/>
    <mergeCell ref="JJK56:JJO56"/>
    <mergeCell ref="JHH56:JHL56"/>
    <mergeCell ref="JHM56:JHQ56"/>
    <mergeCell ref="JHR56:JHV56"/>
    <mergeCell ref="JHW56:JIA56"/>
    <mergeCell ref="JIB56:JIF56"/>
    <mergeCell ref="JIG56:JIK56"/>
    <mergeCell ref="JGD56:JGH56"/>
    <mergeCell ref="JGI56:JGM56"/>
    <mergeCell ref="JGN56:JGR56"/>
    <mergeCell ref="JGS56:JGW56"/>
    <mergeCell ref="JGX56:JHB56"/>
    <mergeCell ref="JHC56:JHG56"/>
    <mergeCell ref="JEZ56:JFD56"/>
    <mergeCell ref="JFE56:JFI56"/>
    <mergeCell ref="JFJ56:JFN56"/>
    <mergeCell ref="JFO56:JFS56"/>
    <mergeCell ref="JFT56:JFX56"/>
    <mergeCell ref="JFY56:JGC56"/>
    <mergeCell ref="JDV56:JDZ56"/>
    <mergeCell ref="JEA56:JEE56"/>
    <mergeCell ref="JEF56:JEJ56"/>
    <mergeCell ref="JEK56:JEO56"/>
    <mergeCell ref="JEP56:JET56"/>
    <mergeCell ref="JEU56:JEY56"/>
    <mergeCell ref="JCR56:JCV56"/>
    <mergeCell ref="JCW56:JDA56"/>
    <mergeCell ref="JDB56:JDF56"/>
    <mergeCell ref="JDG56:JDK56"/>
    <mergeCell ref="JDL56:JDP56"/>
    <mergeCell ref="JDQ56:JDU56"/>
    <mergeCell ref="JBN56:JBR56"/>
    <mergeCell ref="JBS56:JBW56"/>
    <mergeCell ref="JBX56:JCB56"/>
    <mergeCell ref="JCC56:JCG56"/>
    <mergeCell ref="JCH56:JCL56"/>
    <mergeCell ref="JCM56:JCQ56"/>
    <mergeCell ref="JAJ56:JAN56"/>
    <mergeCell ref="JAO56:JAS56"/>
    <mergeCell ref="JAT56:JAX56"/>
    <mergeCell ref="JAY56:JBC56"/>
    <mergeCell ref="JBD56:JBH56"/>
    <mergeCell ref="JBI56:JBM56"/>
    <mergeCell ref="IZF56:IZJ56"/>
    <mergeCell ref="IZK56:IZO56"/>
    <mergeCell ref="IZP56:IZT56"/>
    <mergeCell ref="IZU56:IZY56"/>
    <mergeCell ref="IZZ56:JAD56"/>
    <mergeCell ref="JAE56:JAI56"/>
    <mergeCell ref="IYB56:IYF56"/>
    <mergeCell ref="IYG56:IYK56"/>
    <mergeCell ref="IYL56:IYP56"/>
    <mergeCell ref="IYQ56:IYU56"/>
    <mergeCell ref="IYV56:IYZ56"/>
    <mergeCell ref="IZA56:IZE56"/>
    <mergeCell ref="IWX56:IXB56"/>
    <mergeCell ref="IXC56:IXG56"/>
    <mergeCell ref="IXH56:IXL56"/>
    <mergeCell ref="IXM56:IXQ56"/>
    <mergeCell ref="IXR56:IXV56"/>
    <mergeCell ref="IXW56:IYA56"/>
    <mergeCell ref="IVT56:IVX56"/>
    <mergeCell ref="IVY56:IWC56"/>
    <mergeCell ref="IWD56:IWH56"/>
    <mergeCell ref="IWI56:IWM56"/>
    <mergeCell ref="IWN56:IWR56"/>
    <mergeCell ref="IWS56:IWW56"/>
    <mergeCell ref="IUP56:IUT56"/>
    <mergeCell ref="IUU56:IUY56"/>
    <mergeCell ref="IUZ56:IVD56"/>
    <mergeCell ref="IVE56:IVI56"/>
    <mergeCell ref="IVJ56:IVN56"/>
    <mergeCell ref="IVO56:IVS56"/>
    <mergeCell ref="ITL56:ITP56"/>
    <mergeCell ref="ITQ56:ITU56"/>
    <mergeCell ref="ITV56:ITZ56"/>
    <mergeCell ref="IUA56:IUE56"/>
    <mergeCell ref="IUF56:IUJ56"/>
    <mergeCell ref="IUK56:IUO56"/>
    <mergeCell ref="ISH56:ISL56"/>
    <mergeCell ref="ISM56:ISQ56"/>
    <mergeCell ref="ISR56:ISV56"/>
    <mergeCell ref="ISW56:ITA56"/>
    <mergeCell ref="ITB56:ITF56"/>
    <mergeCell ref="ITG56:ITK56"/>
    <mergeCell ref="IRD56:IRH56"/>
    <mergeCell ref="IRI56:IRM56"/>
    <mergeCell ref="IRN56:IRR56"/>
    <mergeCell ref="IRS56:IRW56"/>
    <mergeCell ref="IRX56:ISB56"/>
    <mergeCell ref="ISC56:ISG56"/>
    <mergeCell ref="IPZ56:IQD56"/>
    <mergeCell ref="IQE56:IQI56"/>
    <mergeCell ref="IQJ56:IQN56"/>
    <mergeCell ref="IQO56:IQS56"/>
    <mergeCell ref="IQT56:IQX56"/>
    <mergeCell ref="IQY56:IRC56"/>
    <mergeCell ref="IOV56:IOZ56"/>
    <mergeCell ref="IPA56:IPE56"/>
    <mergeCell ref="IPF56:IPJ56"/>
    <mergeCell ref="IPK56:IPO56"/>
    <mergeCell ref="IPP56:IPT56"/>
    <mergeCell ref="IPU56:IPY56"/>
    <mergeCell ref="INR56:INV56"/>
    <mergeCell ref="INW56:IOA56"/>
    <mergeCell ref="IOB56:IOF56"/>
    <mergeCell ref="IOG56:IOK56"/>
    <mergeCell ref="IOL56:IOP56"/>
    <mergeCell ref="IOQ56:IOU56"/>
    <mergeCell ref="IMN56:IMR56"/>
    <mergeCell ref="IMS56:IMW56"/>
    <mergeCell ref="IMX56:INB56"/>
    <mergeCell ref="INC56:ING56"/>
    <mergeCell ref="INH56:INL56"/>
    <mergeCell ref="INM56:INQ56"/>
    <mergeCell ref="ILJ56:ILN56"/>
    <mergeCell ref="ILO56:ILS56"/>
    <mergeCell ref="ILT56:ILX56"/>
    <mergeCell ref="ILY56:IMC56"/>
    <mergeCell ref="IMD56:IMH56"/>
    <mergeCell ref="IMI56:IMM56"/>
    <mergeCell ref="IKF56:IKJ56"/>
    <mergeCell ref="IKK56:IKO56"/>
    <mergeCell ref="IKP56:IKT56"/>
    <mergeCell ref="IKU56:IKY56"/>
    <mergeCell ref="IKZ56:ILD56"/>
    <mergeCell ref="ILE56:ILI56"/>
    <mergeCell ref="IJB56:IJF56"/>
    <mergeCell ref="IJG56:IJK56"/>
    <mergeCell ref="IJL56:IJP56"/>
    <mergeCell ref="IJQ56:IJU56"/>
    <mergeCell ref="IJV56:IJZ56"/>
    <mergeCell ref="IKA56:IKE56"/>
    <mergeCell ref="IHX56:IIB56"/>
    <mergeCell ref="IIC56:IIG56"/>
    <mergeCell ref="IIH56:IIL56"/>
    <mergeCell ref="IIM56:IIQ56"/>
    <mergeCell ref="IIR56:IIV56"/>
    <mergeCell ref="IIW56:IJA56"/>
    <mergeCell ref="IGT56:IGX56"/>
    <mergeCell ref="IGY56:IHC56"/>
    <mergeCell ref="IHD56:IHH56"/>
    <mergeCell ref="IHI56:IHM56"/>
    <mergeCell ref="IHN56:IHR56"/>
    <mergeCell ref="IHS56:IHW56"/>
    <mergeCell ref="IFP56:IFT56"/>
    <mergeCell ref="IFU56:IFY56"/>
    <mergeCell ref="IFZ56:IGD56"/>
    <mergeCell ref="IGE56:IGI56"/>
    <mergeCell ref="IGJ56:IGN56"/>
    <mergeCell ref="IGO56:IGS56"/>
    <mergeCell ref="IEL56:IEP56"/>
    <mergeCell ref="IEQ56:IEU56"/>
    <mergeCell ref="IEV56:IEZ56"/>
    <mergeCell ref="IFA56:IFE56"/>
    <mergeCell ref="IFF56:IFJ56"/>
    <mergeCell ref="IFK56:IFO56"/>
    <mergeCell ref="IDH56:IDL56"/>
    <mergeCell ref="IDM56:IDQ56"/>
    <mergeCell ref="IDR56:IDV56"/>
    <mergeCell ref="IDW56:IEA56"/>
    <mergeCell ref="IEB56:IEF56"/>
    <mergeCell ref="IEG56:IEK56"/>
    <mergeCell ref="ICD56:ICH56"/>
    <mergeCell ref="ICI56:ICM56"/>
    <mergeCell ref="ICN56:ICR56"/>
    <mergeCell ref="ICS56:ICW56"/>
    <mergeCell ref="ICX56:IDB56"/>
    <mergeCell ref="IDC56:IDG56"/>
    <mergeCell ref="IAZ56:IBD56"/>
    <mergeCell ref="IBE56:IBI56"/>
    <mergeCell ref="IBJ56:IBN56"/>
    <mergeCell ref="IBO56:IBS56"/>
    <mergeCell ref="IBT56:IBX56"/>
    <mergeCell ref="IBY56:ICC56"/>
    <mergeCell ref="HZV56:HZZ56"/>
    <mergeCell ref="IAA56:IAE56"/>
    <mergeCell ref="IAF56:IAJ56"/>
    <mergeCell ref="IAK56:IAO56"/>
    <mergeCell ref="IAP56:IAT56"/>
    <mergeCell ref="IAU56:IAY56"/>
    <mergeCell ref="HYR56:HYV56"/>
    <mergeCell ref="HYW56:HZA56"/>
    <mergeCell ref="HZB56:HZF56"/>
    <mergeCell ref="HZG56:HZK56"/>
    <mergeCell ref="HZL56:HZP56"/>
    <mergeCell ref="HZQ56:HZU56"/>
    <mergeCell ref="HXN56:HXR56"/>
    <mergeCell ref="HXS56:HXW56"/>
    <mergeCell ref="HXX56:HYB56"/>
    <mergeCell ref="HYC56:HYG56"/>
    <mergeCell ref="HYH56:HYL56"/>
    <mergeCell ref="HYM56:HYQ56"/>
    <mergeCell ref="HWJ56:HWN56"/>
    <mergeCell ref="HWO56:HWS56"/>
    <mergeCell ref="HWT56:HWX56"/>
    <mergeCell ref="HWY56:HXC56"/>
    <mergeCell ref="HXD56:HXH56"/>
    <mergeCell ref="HXI56:HXM56"/>
    <mergeCell ref="HVF56:HVJ56"/>
    <mergeCell ref="HVK56:HVO56"/>
    <mergeCell ref="HVP56:HVT56"/>
    <mergeCell ref="HVU56:HVY56"/>
    <mergeCell ref="HVZ56:HWD56"/>
    <mergeCell ref="HWE56:HWI56"/>
    <mergeCell ref="HUB56:HUF56"/>
    <mergeCell ref="HUG56:HUK56"/>
    <mergeCell ref="HUL56:HUP56"/>
    <mergeCell ref="HUQ56:HUU56"/>
    <mergeCell ref="HUV56:HUZ56"/>
    <mergeCell ref="HVA56:HVE56"/>
    <mergeCell ref="HSX56:HTB56"/>
    <mergeCell ref="HTC56:HTG56"/>
    <mergeCell ref="HTH56:HTL56"/>
    <mergeCell ref="HTM56:HTQ56"/>
    <mergeCell ref="HTR56:HTV56"/>
    <mergeCell ref="HTW56:HUA56"/>
    <mergeCell ref="HRT56:HRX56"/>
    <mergeCell ref="HRY56:HSC56"/>
    <mergeCell ref="HSD56:HSH56"/>
    <mergeCell ref="HSI56:HSM56"/>
    <mergeCell ref="HSN56:HSR56"/>
    <mergeCell ref="HSS56:HSW56"/>
    <mergeCell ref="HQP56:HQT56"/>
    <mergeCell ref="HQU56:HQY56"/>
    <mergeCell ref="HQZ56:HRD56"/>
    <mergeCell ref="HRE56:HRI56"/>
    <mergeCell ref="HRJ56:HRN56"/>
    <mergeCell ref="HRO56:HRS56"/>
    <mergeCell ref="HPL56:HPP56"/>
    <mergeCell ref="HPQ56:HPU56"/>
    <mergeCell ref="HPV56:HPZ56"/>
    <mergeCell ref="HQA56:HQE56"/>
    <mergeCell ref="HQF56:HQJ56"/>
    <mergeCell ref="HQK56:HQO56"/>
    <mergeCell ref="HOH56:HOL56"/>
    <mergeCell ref="HOM56:HOQ56"/>
    <mergeCell ref="HOR56:HOV56"/>
    <mergeCell ref="HOW56:HPA56"/>
    <mergeCell ref="HPB56:HPF56"/>
    <mergeCell ref="HPG56:HPK56"/>
    <mergeCell ref="HND56:HNH56"/>
    <mergeCell ref="HNI56:HNM56"/>
    <mergeCell ref="HNN56:HNR56"/>
    <mergeCell ref="HNS56:HNW56"/>
    <mergeCell ref="HNX56:HOB56"/>
    <mergeCell ref="HOC56:HOG56"/>
    <mergeCell ref="HLZ56:HMD56"/>
    <mergeCell ref="HME56:HMI56"/>
    <mergeCell ref="HMJ56:HMN56"/>
    <mergeCell ref="HMO56:HMS56"/>
    <mergeCell ref="HMT56:HMX56"/>
    <mergeCell ref="HMY56:HNC56"/>
    <mergeCell ref="HKV56:HKZ56"/>
    <mergeCell ref="HLA56:HLE56"/>
    <mergeCell ref="HLF56:HLJ56"/>
    <mergeCell ref="HLK56:HLO56"/>
    <mergeCell ref="HLP56:HLT56"/>
    <mergeCell ref="HLU56:HLY56"/>
    <mergeCell ref="HJR56:HJV56"/>
    <mergeCell ref="HJW56:HKA56"/>
    <mergeCell ref="HKB56:HKF56"/>
    <mergeCell ref="HKG56:HKK56"/>
    <mergeCell ref="HKL56:HKP56"/>
    <mergeCell ref="HKQ56:HKU56"/>
    <mergeCell ref="HIN56:HIR56"/>
    <mergeCell ref="HIS56:HIW56"/>
    <mergeCell ref="HIX56:HJB56"/>
    <mergeCell ref="HJC56:HJG56"/>
    <mergeCell ref="HJH56:HJL56"/>
    <mergeCell ref="HJM56:HJQ56"/>
    <mergeCell ref="HHJ56:HHN56"/>
    <mergeCell ref="HHO56:HHS56"/>
    <mergeCell ref="HHT56:HHX56"/>
    <mergeCell ref="HHY56:HIC56"/>
    <mergeCell ref="HID56:HIH56"/>
    <mergeCell ref="HII56:HIM56"/>
    <mergeCell ref="HGF56:HGJ56"/>
    <mergeCell ref="HGK56:HGO56"/>
    <mergeCell ref="HGP56:HGT56"/>
    <mergeCell ref="HGU56:HGY56"/>
    <mergeCell ref="HGZ56:HHD56"/>
    <mergeCell ref="HHE56:HHI56"/>
    <mergeCell ref="HFB56:HFF56"/>
    <mergeCell ref="HFG56:HFK56"/>
    <mergeCell ref="HFL56:HFP56"/>
    <mergeCell ref="HFQ56:HFU56"/>
    <mergeCell ref="HFV56:HFZ56"/>
    <mergeCell ref="HGA56:HGE56"/>
    <mergeCell ref="HDX56:HEB56"/>
    <mergeCell ref="HEC56:HEG56"/>
    <mergeCell ref="HEH56:HEL56"/>
    <mergeCell ref="HEM56:HEQ56"/>
    <mergeCell ref="HER56:HEV56"/>
    <mergeCell ref="HEW56:HFA56"/>
    <mergeCell ref="HCT56:HCX56"/>
    <mergeCell ref="HCY56:HDC56"/>
    <mergeCell ref="HDD56:HDH56"/>
    <mergeCell ref="HDI56:HDM56"/>
    <mergeCell ref="HDN56:HDR56"/>
    <mergeCell ref="HDS56:HDW56"/>
    <mergeCell ref="HBP56:HBT56"/>
    <mergeCell ref="HBU56:HBY56"/>
    <mergeCell ref="HBZ56:HCD56"/>
    <mergeCell ref="HCE56:HCI56"/>
    <mergeCell ref="HCJ56:HCN56"/>
    <mergeCell ref="HCO56:HCS56"/>
    <mergeCell ref="HAL56:HAP56"/>
    <mergeCell ref="HAQ56:HAU56"/>
    <mergeCell ref="HAV56:HAZ56"/>
    <mergeCell ref="HBA56:HBE56"/>
    <mergeCell ref="HBF56:HBJ56"/>
    <mergeCell ref="HBK56:HBO56"/>
    <mergeCell ref="GZH56:GZL56"/>
    <mergeCell ref="GZM56:GZQ56"/>
    <mergeCell ref="GZR56:GZV56"/>
    <mergeCell ref="GZW56:HAA56"/>
    <mergeCell ref="HAB56:HAF56"/>
    <mergeCell ref="HAG56:HAK56"/>
    <mergeCell ref="GYD56:GYH56"/>
    <mergeCell ref="GYI56:GYM56"/>
    <mergeCell ref="GYN56:GYR56"/>
    <mergeCell ref="GYS56:GYW56"/>
    <mergeCell ref="GYX56:GZB56"/>
    <mergeCell ref="GZC56:GZG56"/>
    <mergeCell ref="GWZ56:GXD56"/>
    <mergeCell ref="GXE56:GXI56"/>
    <mergeCell ref="GXJ56:GXN56"/>
    <mergeCell ref="GXO56:GXS56"/>
    <mergeCell ref="GXT56:GXX56"/>
    <mergeCell ref="GXY56:GYC56"/>
    <mergeCell ref="GVV56:GVZ56"/>
    <mergeCell ref="GWA56:GWE56"/>
    <mergeCell ref="GWF56:GWJ56"/>
    <mergeCell ref="GWK56:GWO56"/>
    <mergeCell ref="GWP56:GWT56"/>
    <mergeCell ref="GWU56:GWY56"/>
    <mergeCell ref="GUR56:GUV56"/>
    <mergeCell ref="GUW56:GVA56"/>
    <mergeCell ref="GVB56:GVF56"/>
    <mergeCell ref="GVG56:GVK56"/>
    <mergeCell ref="GVL56:GVP56"/>
    <mergeCell ref="GVQ56:GVU56"/>
    <mergeCell ref="GTN56:GTR56"/>
    <mergeCell ref="GTS56:GTW56"/>
    <mergeCell ref="GTX56:GUB56"/>
    <mergeCell ref="GUC56:GUG56"/>
    <mergeCell ref="GUH56:GUL56"/>
    <mergeCell ref="GUM56:GUQ56"/>
    <mergeCell ref="GSJ56:GSN56"/>
    <mergeCell ref="GSO56:GSS56"/>
    <mergeCell ref="GST56:GSX56"/>
    <mergeCell ref="GSY56:GTC56"/>
    <mergeCell ref="GTD56:GTH56"/>
    <mergeCell ref="GTI56:GTM56"/>
    <mergeCell ref="GRF56:GRJ56"/>
    <mergeCell ref="GRK56:GRO56"/>
    <mergeCell ref="GRP56:GRT56"/>
    <mergeCell ref="GRU56:GRY56"/>
    <mergeCell ref="GRZ56:GSD56"/>
    <mergeCell ref="GSE56:GSI56"/>
    <mergeCell ref="GQB56:GQF56"/>
    <mergeCell ref="GQG56:GQK56"/>
    <mergeCell ref="GQL56:GQP56"/>
    <mergeCell ref="GQQ56:GQU56"/>
    <mergeCell ref="GQV56:GQZ56"/>
    <mergeCell ref="GRA56:GRE56"/>
    <mergeCell ref="GOX56:GPB56"/>
    <mergeCell ref="GPC56:GPG56"/>
    <mergeCell ref="GPH56:GPL56"/>
    <mergeCell ref="GPM56:GPQ56"/>
    <mergeCell ref="GPR56:GPV56"/>
    <mergeCell ref="GPW56:GQA56"/>
    <mergeCell ref="GNT56:GNX56"/>
    <mergeCell ref="GNY56:GOC56"/>
    <mergeCell ref="GOD56:GOH56"/>
    <mergeCell ref="GOI56:GOM56"/>
    <mergeCell ref="GON56:GOR56"/>
    <mergeCell ref="GOS56:GOW56"/>
    <mergeCell ref="GMP56:GMT56"/>
    <mergeCell ref="GMU56:GMY56"/>
    <mergeCell ref="GMZ56:GND56"/>
    <mergeCell ref="GNE56:GNI56"/>
    <mergeCell ref="GNJ56:GNN56"/>
    <mergeCell ref="GNO56:GNS56"/>
    <mergeCell ref="GLL56:GLP56"/>
    <mergeCell ref="GLQ56:GLU56"/>
    <mergeCell ref="GLV56:GLZ56"/>
    <mergeCell ref="GMA56:GME56"/>
    <mergeCell ref="GMF56:GMJ56"/>
    <mergeCell ref="GMK56:GMO56"/>
    <mergeCell ref="GKH56:GKL56"/>
    <mergeCell ref="GKM56:GKQ56"/>
    <mergeCell ref="GKR56:GKV56"/>
    <mergeCell ref="GKW56:GLA56"/>
    <mergeCell ref="GLB56:GLF56"/>
    <mergeCell ref="GLG56:GLK56"/>
    <mergeCell ref="GJD56:GJH56"/>
    <mergeCell ref="GJI56:GJM56"/>
    <mergeCell ref="GJN56:GJR56"/>
    <mergeCell ref="GJS56:GJW56"/>
    <mergeCell ref="GJX56:GKB56"/>
    <mergeCell ref="GKC56:GKG56"/>
    <mergeCell ref="GHZ56:GID56"/>
    <mergeCell ref="GIE56:GII56"/>
    <mergeCell ref="GIJ56:GIN56"/>
    <mergeCell ref="GIO56:GIS56"/>
    <mergeCell ref="GIT56:GIX56"/>
    <mergeCell ref="GIY56:GJC56"/>
    <mergeCell ref="GGV56:GGZ56"/>
    <mergeCell ref="GHA56:GHE56"/>
    <mergeCell ref="GHF56:GHJ56"/>
    <mergeCell ref="GHK56:GHO56"/>
    <mergeCell ref="GHP56:GHT56"/>
    <mergeCell ref="GHU56:GHY56"/>
    <mergeCell ref="GFR56:GFV56"/>
    <mergeCell ref="GFW56:GGA56"/>
    <mergeCell ref="GGB56:GGF56"/>
    <mergeCell ref="GGG56:GGK56"/>
    <mergeCell ref="GGL56:GGP56"/>
    <mergeCell ref="GGQ56:GGU56"/>
    <mergeCell ref="GEN56:GER56"/>
    <mergeCell ref="GES56:GEW56"/>
    <mergeCell ref="GEX56:GFB56"/>
    <mergeCell ref="GFC56:GFG56"/>
    <mergeCell ref="GFH56:GFL56"/>
    <mergeCell ref="GFM56:GFQ56"/>
    <mergeCell ref="GDJ56:GDN56"/>
    <mergeCell ref="GDO56:GDS56"/>
    <mergeCell ref="GDT56:GDX56"/>
    <mergeCell ref="GDY56:GEC56"/>
    <mergeCell ref="GED56:GEH56"/>
    <mergeCell ref="GEI56:GEM56"/>
    <mergeCell ref="GCF56:GCJ56"/>
    <mergeCell ref="GCK56:GCO56"/>
    <mergeCell ref="GCP56:GCT56"/>
    <mergeCell ref="GCU56:GCY56"/>
    <mergeCell ref="GCZ56:GDD56"/>
    <mergeCell ref="GDE56:GDI56"/>
    <mergeCell ref="GBB56:GBF56"/>
    <mergeCell ref="GBG56:GBK56"/>
    <mergeCell ref="GBL56:GBP56"/>
    <mergeCell ref="GBQ56:GBU56"/>
    <mergeCell ref="GBV56:GBZ56"/>
    <mergeCell ref="GCA56:GCE56"/>
    <mergeCell ref="FZX56:GAB56"/>
    <mergeCell ref="GAC56:GAG56"/>
    <mergeCell ref="GAH56:GAL56"/>
    <mergeCell ref="GAM56:GAQ56"/>
    <mergeCell ref="GAR56:GAV56"/>
    <mergeCell ref="GAW56:GBA56"/>
    <mergeCell ref="FYT56:FYX56"/>
    <mergeCell ref="FYY56:FZC56"/>
    <mergeCell ref="FZD56:FZH56"/>
    <mergeCell ref="FZI56:FZM56"/>
    <mergeCell ref="FZN56:FZR56"/>
    <mergeCell ref="FZS56:FZW56"/>
    <mergeCell ref="FXP56:FXT56"/>
    <mergeCell ref="FXU56:FXY56"/>
    <mergeCell ref="FXZ56:FYD56"/>
    <mergeCell ref="FYE56:FYI56"/>
    <mergeCell ref="FYJ56:FYN56"/>
    <mergeCell ref="FYO56:FYS56"/>
    <mergeCell ref="FWL56:FWP56"/>
    <mergeCell ref="FWQ56:FWU56"/>
    <mergeCell ref="FWV56:FWZ56"/>
    <mergeCell ref="FXA56:FXE56"/>
    <mergeCell ref="FXF56:FXJ56"/>
    <mergeCell ref="FXK56:FXO56"/>
    <mergeCell ref="FVH56:FVL56"/>
    <mergeCell ref="FVM56:FVQ56"/>
    <mergeCell ref="FVR56:FVV56"/>
    <mergeCell ref="FVW56:FWA56"/>
    <mergeCell ref="FWB56:FWF56"/>
    <mergeCell ref="FWG56:FWK56"/>
    <mergeCell ref="FUD56:FUH56"/>
    <mergeCell ref="FUI56:FUM56"/>
    <mergeCell ref="FUN56:FUR56"/>
    <mergeCell ref="FUS56:FUW56"/>
    <mergeCell ref="FUX56:FVB56"/>
    <mergeCell ref="FVC56:FVG56"/>
    <mergeCell ref="FSZ56:FTD56"/>
    <mergeCell ref="FTE56:FTI56"/>
    <mergeCell ref="FTJ56:FTN56"/>
    <mergeCell ref="FTO56:FTS56"/>
    <mergeCell ref="FTT56:FTX56"/>
    <mergeCell ref="FTY56:FUC56"/>
    <mergeCell ref="FRV56:FRZ56"/>
    <mergeCell ref="FSA56:FSE56"/>
    <mergeCell ref="FSF56:FSJ56"/>
    <mergeCell ref="FSK56:FSO56"/>
    <mergeCell ref="FSP56:FST56"/>
    <mergeCell ref="FSU56:FSY56"/>
    <mergeCell ref="FQR56:FQV56"/>
    <mergeCell ref="FQW56:FRA56"/>
    <mergeCell ref="FRB56:FRF56"/>
    <mergeCell ref="FRG56:FRK56"/>
    <mergeCell ref="FRL56:FRP56"/>
    <mergeCell ref="FRQ56:FRU56"/>
    <mergeCell ref="FPN56:FPR56"/>
    <mergeCell ref="FPS56:FPW56"/>
    <mergeCell ref="FPX56:FQB56"/>
    <mergeCell ref="FQC56:FQG56"/>
    <mergeCell ref="FQH56:FQL56"/>
    <mergeCell ref="FQM56:FQQ56"/>
    <mergeCell ref="FOJ56:FON56"/>
    <mergeCell ref="FOO56:FOS56"/>
    <mergeCell ref="FOT56:FOX56"/>
    <mergeCell ref="FOY56:FPC56"/>
    <mergeCell ref="FPD56:FPH56"/>
    <mergeCell ref="FPI56:FPM56"/>
    <mergeCell ref="FNF56:FNJ56"/>
    <mergeCell ref="FNK56:FNO56"/>
    <mergeCell ref="FNP56:FNT56"/>
    <mergeCell ref="FNU56:FNY56"/>
    <mergeCell ref="FNZ56:FOD56"/>
    <mergeCell ref="FOE56:FOI56"/>
    <mergeCell ref="FMB56:FMF56"/>
    <mergeCell ref="FMG56:FMK56"/>
    <mergeCell ref="FML56:FMP56"/>
    <mergeCell ref="FMQ56:FMU56"/>
    <mergeCell ref="FMV56:FMZ56"/>
    <mergeCell ref="FNA56:FNE56"/>
    <mergeCell ref="FKX56:FLB56"/>
    <mergeCell ref="FLC56:FLG56"/>
    <mergeCell ref="FLH56:FLL56"/>
    <mergeCell ref="FLM56:FLQ56"/>
    <mergeCell ref="FLR56:FLV56"/>
    <mergeCell ref="FLW56:FMA56"/>
    <mergeCell ref="FJT56:FJX56"/>
    <mergeCell ref="FJY56:FKC56"/>
    <mergeCell ref="FKD56:FKH56"/>
    <mergeCell ref="FKI56:FKM56"/>
    <mergeCell ref="FKN56:FKR56"/>
    <mergeCell ref="FKS56:FKW56"/>
    <mergeCell ref="FIP56:FIT56"/>
    <mergeCell ref="FIU56:FIY56"/>
    <mergeCell ref="FIZ56:FJD56"/>
    <mergeCell ref="FJE56:FJI56"/>
    <mergeCell ref="FJJ56:FJN56"/>
    <mergeCell ref="FJO56:FJS56"/>
    <mergeCell ref="FHL56:FHP56"/>
    <mergeCell ref="FHQ56:FHU56"/>
    <mergeCell ref="FHV56:FHZ56"/>
    <mergeCell ref="FIA56:FIE56"/>
    <mergeCell ref="FIF56:FIJ56"/>
    <mergeCell ref="FIK56:FIO56"/>
    <mergeCell ref="FGH56:FGL56"/>
    <mergeCell ref="FGM56:FGQ56"/>
    <mergeCell ref="FGR56:FGV56"/>
    <mergeCell ref="FGW56:FHA56"/>
    <mergeCell ref="FHB56:FHF56"/>
    <mergeCell ref="FHG56:FHK56"/>
    <mergeCell ref="FFD56:FFH56"/>
    <mergeCell ref="FFI56:FFM56"/>
    <mergeCell ref="FFN56:FFR56"/>
    <mergeCell ref="FFS56:FFW56"/>
    <mergeCell ref="FFX56:FGB56"/>
    <mergeCell ref="FGC56:FGG56"/>
    <mergeCell ref="FDZ56:FED56"/>
    <mergeCell ref="FEE56:FEI56"/>
    <mergeCell ref="FEJ56:FEN56"/>
    <mergeCell ref="FEO56:FES56"/>
    <mergeCell ref="FET56:FEX56"/>
    <mergeCell ref="FEY56:FFC56"/>
    <mergeCell ref="FCV56:FCZ56"/>
    <mergeCell ref="FDA56:FDE56"/>
    <mergeCell ref="FDF56:FDJ56"/>
    <mergeCell ref="FDK56:FDO56"/>
    <mergeCell ref="FDP56:FDT56"/>
    <mergeCell ref="FDU56:FDY56"/>
    <mergeCell ref="FBR56:FBV56"/>
    <mergeCell ref="FBW56:FCA56"/>
    <mergeCell ref="FCB56:FCF56"/>
    <mergeCell ref="FCG56:FCK56"/>
    <mergeCell ref="FCL56:FCP56"/>
    <mergeCell ref="FCQ56:FCU56"/>
    <mergeCell ref="FAN56:FAR56"/>
    <mergeCell ref="FAS56:FAW56"/>
    <mergeCell ref="FAX56:FBB56"/>
    <mergeCell ref="FBC56:FBG56"/>
    <mergeCell ref="FBH56:FBL56"/>
    <mergeCell ref="FBM56:FBQ56"/>
    <mergeCell ref="EZJ56:EZN56"/>
    <mergeCell ref="EZO56:EZS56"/>
    <mergeCell ref="EZT56:EZX56"/>
    <mergeCell ref="EZY56:FAC56"/>
    <mergeCell ref="FAD56:FAH56"/>
    <mergeCell ref="FAI56:FAM56"/>
    <mergeCell ref="EYF56:EYJ56"/>
    <mergeCell ref="EYK56:EYO56"/>
    <mergeCell ref="EYP56:EYT56"/>
    <mergeCell ref="EYU56:EYY56"/>
    <mergeCell ref="EYZ56:EZD56"/>
    <mergeCell ref="EZE56:EZI56"/>
    <mergeCell ref="EXB56:EXF56"/>
    <mergeCell ref="EXG56:EXK56"/>
    <mergeCell ref="EXL56:EXP56"/>
    <mergeCell ref="EXQ56:EXU56"/>
    <mergeCell ref="EXV56:EXZ56"/>
    <mergeCell ref="EYA56:EYE56"/>
    <mergeCell ref="EVX56:EWB56"/>
    <mergeCell ref="EWC56:EWG56"/>
    <mergeCell ref="EWH56:EWL56"/>
    <mergeCell ref="EWM56:EWQ56"/>
    <mergeCell ref="EWR56:EWV56"/>
    <mergeCell ref="EWW56:EXA56"/>
    <mergeCell ref="EUT56:EUX56"/>
    <mergeCell ref="EUY56:EVC56"/>
    <mergeCell ref="EVD56:EVH56"/>
    <mergeCell ref="EVI56:EVM56"/>
    <mergeCell ref="EVN56:EVR56"/>
    <mergeCell ref="EVS56:EVW56"/>
    <mergeCell ref="ETP56:ETT56"/>
    <mergeCell ref="ETU56:ETY56"/>
    <mergeCell ref="ETZ56:EUD56"/>
    <mergeCell ref="EUE56:EUI56"/>
    <mergeCell ref="EUJ56:EUN56"/>
    <mergeCell ref="EUO56:EUS56"/>
    <mergeCell ref="ESL56:ESP56"/>
    <mergeCell ref="ESQ56:ESU56"/>
    <mergeCell ref="ESV56:ESZ56"/>
    <mergeCell ref="ETA56:ETE56"/>
    <mergeCell ref="ETF56:ETJ56"/>
    <mergeCell ref="ETK56:ETO56"/>
    <mergeCell ref="ERH56:ERL56"/>
    <mergeCell ref="ERM56:ERQ56"/>
    <mergeCell ref="ERR56:ERV56"/>
    <mergeCell ref="ERW56:ESA56"/>
    <mergeCell ref="ESB56:ESF56"/>
    <mergeCell ref="ESG56:ESK56"/>
    <mergeCell ref="EQD56:EQH56"/>
    <mergeCell ref="EQI56:EQM56"/>
    <mergeCell ref="EQN56:EQR56"/>
    <mergeCell ref="EQS56:EQW56"/>
    <mergeCell ref="EQX56:ERB56"/>
    <mergeCell ref="ERC56:ERG56"/>
    <mergeCell ref="EOZ56:EPD56"/>
    <mergeCell ref="EPE56:EPI56"/>
    <mergeCell ref="EPJ56:EPN56"/>
    <mergeCell ref="EPO56:EPS56"/>
    <mergeCell ref="EPT56:EPX56"/>
    <mergeCell ref="EPY56:EQC56"/>
    <mergeCell ref="ENV56:ENZ56"/>
    <mergeCell ref="EOA56:EOE56"/>
    <mergeCell ref="EOF56:EOJ56"/>
    <mergeCell ref="EOK56:EOO56"/>
    <mergeCell ref="EOP56:EOT56"/>
    <mergeCell ref="EOU56:EOY56"/>
    <mergeCell ref="EMR56:EMV56"/>
    <mergeCell ref="EMW56:ENA56"/>
    <mergeCell ref="ENB56:ENF56"/>
    <mergeCell ref="ENG56:ENK56"/>
    <mergeCell ref="ENL56:ENP56"/>
    <mergeCell ref="ENQ56:ENU56"/>
    <mergeCell ref="ELN56:ELR56"/>
    <mergeCell ref="ELS56:ELW56"/>
    <mergeCell ref="ELX56:EMB56"/>
    <mergeCell ref="EMC56:EMG56"/>
    <mergeCell ref="EMH56:EML56"/>
    <mergeCell ref="EMM56:EMQ56"/>
    <mergeCell ref="EKJ56:EKN56"/>
    <mergeCell ref="EKO56:EKS56"/>
    <mergeCell ref="EKT56:EKX56"/>
    <mergeCell ref="EKY56:ELC56"/>
    <mergeCell ref="ELD56:ELH56"/>
    <mergeCell ref="ELI56:ELM56"/>
    <mergeCell ref="EJF56:EJJ56"/>
    <mergeCell ref="EJK56:EJO56"/>
    <mergeCell ref="EJP56:EJT56"/>
    <mergeCell ref="EJU56:EJY56"/>
    <mergeCell ref="EJZ56:EKD56"/>
    <mergeCell ref="EKE56:EKI56"/>
    <mergeCell ref="EIB56:EIF56"/>
    <mergeCell ref="EIG56:EIK56"/>
    <mergeCell ref="EIL56:EIP56"/>
    <mergeCell ref="EIQ56:EIU56"/>
    <mergeCell ref="EIV56:EIZ56"/>
    <mergeCell ref="EJA56:EJE56"/>
    <mergeCell ref="EGX56:EHB56"/>
    <mergeCell ref="EHC56:EHG56"/>
    <mergeCell ref="EHH56:EHL56"/>
    <mergeCell ref="EHM56:EHQ56"/>
    <mergeCell ref="EHR56:EHV56"/>
    <mergeCell ref="EHW56:EIA56"/>
    <mergeCell ref="EFT56:EFX56"/>
    <mergeCell ref="EFY56:EGC56"/>
    <mergeCell ref="EGD56:EGH56"/>
    <mergeCell ref="EGI56:EGM56"/>
    <mergeCell ref="EGN56:EGR56"/>
    <mergeCell ref="EGS56:EGW56"/>
    <mergeCell ref="EEP56:EET56"/>
    <mergeCell ref="EEU56:EEY56"/>
    <mergeCell ref="EEZ56:EFD56"/>
    <mergeCell ref="EFE56:EFI56"/>
    <mergeCell ref="EFJ56:EFN56"/>
    <mergeCell ref="EFO56:EFS56"/>
    <mergeCell ref="EDL56:EDP56"/>
    <mergeCell ref="EDQ56:EDU56"/>
    <mergeCell ref="EDV56:EDZ56"/>
    <mergeCell ref="EEA56:EEE56"/>
    <mergeCell ref="EEF56:EEJ56"/>
    <mergeCell ref="EEK56:EEO56"/>
    <mergeCell ref="ECH56:ECL56"/>
    <mergeCell ref="ECM56:ECQ56"/>
    <mergeCell ref="ECR56:ECV56"/>
    <mergeCell ref="ECW56:EDA56"/>
    <mergeCell ref="EDB56:EDF56"/>
    <mergeCell ref="EDG56:EDK56"/>
    <mergeCell ref="EBD56:EBH56"/>
    <mergeCell ref="EBI56:EBM56"/>
    <mergeCell ref="EBN56:EBR56"/>
    <mergeCell ref="EBS56:EBW56"/>
    <mergeCell ref="EBX56:ECB56"/>
    <mergeCell ref="ECC56:ECG56"/>
    <mergeCell ref="DZZ56:EAD56"/>
    <mergeCell ref="EAE56:EAI56"/>
    <mergeCell ref="EAJ56:EAN56"/>
    <mergeCell ref="EAO56:EAS56"/>
    <mergeCell ref="EAT56:EAX56"/>
    <mergeCell ref="EAY56:EBC56"/>
    <mergeCell ref="DYV56:DYZ56"/>
    <mergeCell ref="DZA56:DZE56"/>
    <mergeCell ref="DZF56:DZJ56"/>
    <mergeCell ref="DZK56:DZO56"/>
    <mergeCell ref="DZP56:DZT56"/>
    <mergeCell ref="DZU56:DZY56"/>
    <mergeCell ref="DXR56:DXV56"/>
    <mergeCell ref="DXW56:DYA56"/>
    <mergeCell ref="DYB56:DYF56"/>
    <mergeCell ref="DYG56:DYK56"/>
    <mergeCell ref="DYL56:DYP56"/>
    <mergeCell ref="DYQ56:DYU56"/>
    <mergeCell ref="DWN56:DWR56"/>
    <mergeCell ref="DWS56:DWW56"/>
    <mergeCell ref="DWX56:DXB56"/>
    <mergeCell ref="DXC56:DXG56"/>
    <mergeCell ref="DXH56:DXL56"/>
    <mergeCell ref="DXM56:DXQ56"/>
    <mergeCell ref="DVJ56:DVN56"/>
    <mergeCell ref="DVO56:DVS56"/>
    <mergeCell ref="DVT56:DVX56"/>
    <mergeCell ref="DVY56:DWC56"/>
    <mergeCell ref="DWD56:DWH56"/>
    <mergeCell ref="DWI56:DWM56"/>
    <mergeCell ref="DUF56:DUJ56"/>
    <mergeCell ref="DUK56:DUO56"/>
    <mergeCell ref="DUP56:DUT56"/>
    <mergeCell ref="DUU56:DUY56"/>
    <mergeCell ref="DUZ56:DVD56"/>
    <mergeCell ref="DVE56:DVI56"/>
    <mergeCell ref="DTB56:DTF56"/>
    <mergeCell ref="DTG56:DTK56"/>
    <mergeCell ref="DTL56:DTP56"/>
    <mergeCell ref="DTQ56:DTU56"/>
    <mergeCell ref="DTV56:DTZ56"/>
    <mergeCell ref="DUA56:DUE56"/>
    <mergeCell ref="DRX56:DSB56"/>
    <mergeCell ref="DSC56:DSG56"/>
    <mergeCell ref="DSH56:DSL56"/>
    <mergeCell ref="DSM56:DSQ56"/>
    <mergeCell ref="DSR56:DSV56"/>
    <mergeCell ref="DSW56:DTA56"/>
    <mergeCell ref="DQT56:DQX56"/>
    <mergeCell ref="DQY56:DRC56"/>
    <mergeCell ref="DRD56:DRH56"/>
    <mergeCell ref="DRI56:DRM56"/>
    <mergeCell ref="DRN56:DRR56"/>
    <mergeCell ref="DRS56:DRW56"/>
    <mergeCell ref="DPP56:DPT56"/>
    <mergeCell ref="DPU56:DPY56"/>
    <mergeCell ref="DPZ56:DQD56"/>
    <mergeCell ref="DQE56:DQI56"/>
    <mergeCell ref="DQJ56:DQN56"/>
    <mergeCell ref="DQO56:DQS56"/>
    <mergeCell ref="DOL56:DOP56"/>
    <mergeCell ref="DOQ56:DOU56"/>
    <mergeCell ref="DOV56:DOZ56"/>
    <mergeCell ref="DPA56:DPE56"/>
    <mergeCell ref="DPF56:DPJ56"/>
    <mergeCell ref="DPK56:DPO56"/>
    <mergeCell ref="DNH56:DNL56"/>
    <mergeCell ref="DNM56:DNQ56"/>
    <mergeCell ref="DNR56:DNV56"/>
    <mergeCell ref="DNW56:DOA56"/>
    <mergeCell ref="DOB56:DOF56"/>
    <mergeCell ref="DOG56:DOK56"/>
    <mergeCell ref="DMD56:DMH56"/>
    <mergeCell ref="DMI56:DMM56"/>
    <mergeCell ref="DMN56:DMR56"/>
    <mergeCell ref="DMS56:DMW56"/>
    <mergeCell ref="DMX56:DNB56"/>
    <mergeCell ref="DNC56:DNG56"/>
    <mergeCell ref="DKZ56:DLD56"/>
    <mergeCell ref="DLE56:DLI56"/>
    <mergeCell ref="DLJ56:DLN56"/>
    <mergeCell ref="DLO56:DLS56"/>
    <mergeCell ref="DLT56:DLX56"/>
    <mergeCell ref="DLY56:DMC56"/>
    <mergeCell ref="DJV56:DJZ56"/>
    <mergeCell ref="DKA56:DKE56"/>
    <mergeCell ref="DKF56:DKJ56"/>
    <mergeCell ref="DKK56:DKO56"/>
    <mergeCell ref="DKP56:DKT56"/>
    <mergeCell ref="DKU56:DKY56"/>
    <mergeCell ref="DIR56:DIV56"/>
    <mergeCell ref="DIW56:DJA56"/>
    <mergeCell ref="DJB56:DJF56"/>
    <mergeCell ref="DJG56:DJK56"/>
    <mergeCell ref="DJL56:DJP56"/>
    <mergeCell ref="DJQ56:DJU56"/>
    <mergeCell ref="DHN56:DHR56"/>
    <mergeCell ref="DHS56:DHW56"/>
    <mergeCell ref="DHX56:DIB56"/>
    <mergeCell ref="DIC56:DIG56"/>
    <mergeCell ref="DIH56:DIL56"/>
    <mergeCell ref="DIM56:DIQ56"/>
    <mergeCell ref="DGJ56:DGN56"/>
    <mergeCell ref="DGO56:DGS56"/>
    <mergeCell ref="DGT56:DGX56"/>
    <mergeCell ref="DGY56:DHC56"/>
    <mergeCell ref="DHD56:DHH56"/>
    <mergeCell ref="DHI56:DHM56"/>
    <mergeCell ref="DFF56:DFJ56"/>
    <mergeCell ref="DFK56:DFO56"/>
    <mergeCell ref="DFP56:DFT56"/>
    <mergeCell ref="DFU56:DFY56"/>
    <mergeCell ref="DFZ56:DGD56"/>
    <mergeCell ref="DGE56:DGI56"/>
    <mergeCell ref="DEB56:DEF56"/>
    <mergeCell ref="DEG56:DEK56"/>
    <mergeCell ref="DEL56:DEP56"/>
    <mergeCell ref="DEQ56:DEU56"/>
    <mergeCell ref="DEV56:DEZ56"/>
    <mergeCell ref="DFA56:DFE56"/>
    <mergeCell ref="DCX56:DDB56"/>
    <mergeCell ref="DDC56:DDG56"/>
    <mergeCell ref="DDH56:DDL56"/>
    <mergeCell ref="DDM56:DDQ56"/>
    <mergeCell ref="DDR56:DDV56"/>
    <mergeCell ref="DDW56:DEA56"/>
    <mergeCell ref="DBT56:DBX56"/>
    <mergeCell ref="DBY56:DCC56"/>
    <mergeCell ref="DCD56:DCH56"/>
    <mergeCell ref="DCI56:DCM56"/>
    <mergeCell ref="DCN56:DCR56"/>
    <mergeCell ref="DCS56:DCW56"/>
    <mergeCell ref="DAP56:DAT56"/>
    <mergeCell ref="DAU56:DAY56"/>
    <mergeCell ref="DAZ56:DBD56"/>
    <mergeCell ref="DBE56:DBI56"/>
    <mergeCell ref="DBJ56:DBN56"/>
    <mergeCell ref="DBO56:DBS56"/>
    <mergeCell ref="CZL56:CZP56"/>
    <mergeCell ref="CZQ56:CZU56"/>
    <mergeCell ref="CZV56:CZZ56"/>
    <mergeCell ref="DAA56:DAE56"/>
    <mergeCell ref="DAF56:DAJ56"/>
    <mergeCell ref="DAK56:DAO56"/>
    <mergeCell ref="CYH56:CYL56"/>
    <mergeCell ref="CYM56:CYQ56"/>
    <mergeCell ref="CYR56:CYV56"/>
    <mergeCell ref="CYW56:CZA56"/>
    <mergeCell ref="CZB56:CZF56"/>
    <mergeCell ref="CZG56:CZK56"/>
    <mergeCell ref="CXD56:CXH56"/>
    <mergeCell ref="CXI56:CXM56"/>
    <mergeCell ref="CXN56:CXR56"/>
    <mergeCell ref="CXS56:CXW56"/>
    <mergeCell ref="CXX56:CYB56"/>
    <mergeCell ref="CYC56:CYG56"/>
    <mergeCell ref="CVZ56:CWD56"/>
    <mergeCell ref="CWE56:CWI56"/>
    <mergeCell ref="CWJ56:CWN56"/>
    <mergeCell ref="CWO56:CWS56"/>
    <mergeCell ref="CWT56:CWX56"/>
    <mergeCell ref="CWY56:CXC56"/>
    <mergeCell ref="CUV56:CUZ56"/>
    <mergeCell ref="CVA56:CVE56"/>
    <mergeCell ref="CVF56:CVJ56"/>
    <mergeCell ref="CVK56:CVO56"/>
    <mergeCell ref="CVP56:CVT56"/>
    <mergeCell ref="CVU56:CVY56"/>
    <mergeCell ref="CTR56:CTV56"/>
    <mergeCell ref="CTW56:CUA56"/>
    <mergeCell ref="CUB56:CUF56"/>
    <mergeCell ref="CUG56:CUK56"/>
    <mergeCell ref="CUL56:CUP56"/>
    <mergeCell ref="CUQ56:CUU56"/>
    <mergeCell ref="CSN56:CSR56"/>
    <mergeCell ref="CSS56:CSW56"/>
    <mergeCell ref="CSX56:CTB56"/>
    <mergeCell ref="CTC56:CTG56"/>
    <mergeCell ref="CTH56:CTL56"/>
    <mergeCell ref="CTM56:CTQ56"/>
    <mergeCell ref="CRJ56:CRN56"/>
    <mergeCell ref="CRO56:CRS56"/>
    <mergeCell ref="CRT56:CRX56"/>
    <mergeCell ref="CRY56:CSC56"/>
    <mergeCell ref="CSD56:CSH56"/>
    <mergeCell ref="CSI56:CSM56"/>
    <mergeCell ref="CQF56:CQJ56"/>
    <mergeCell ref="CQK56:CQO56"/>
    <mergeCell ref="CQP56:CQT56"/>
    <mergeCell ref="CQU56:CQY56"/>
    <mergeCell ref="CQZ56:CRD56"/>
    <mergeCell ref="CRE56:CRI56"/>
    <mergeCell ref="CPB56:CPF56"/>
    <mergeCell ref="CPG56:CPK56"/>
    <mergeCell ref="CPL56:CPP56"/>
    <mergeCell ref="CPQ56:CPU56"/>
    <mergeCell ref="CPV56:CPZ56"/>
    <mergeCell ref="CQA56:CQE56"/>
    <mergeCell ref="CNX56:COB56"/>
    <mergeCell ref="COC56:COG56"/>
    <mergeCell ref="COH56:COL56"/>
    <mergeCell ref="COM56:COQ56"/>
    <mergeCell ref="COR56:COV56"/>
    <mergeCell ref="COW56:CPA56"/>
    <mergeCell ref="CMT56:CMX56"/>
    <mergeCell ref="CMY56:CNC56"/>
    <mergeCell ref="CND56:CNH56"/>
    <mergeCell ref="CNI56:CNM56"/>
    <mergeCell ref="CNN56:CNR56"/>
    <mergeCell ref="CNS56:CNW56"/>
    <mergeCell ref="CLP56:CLT56"/>
    <mergeCell ref="CLU56:CLY56"/>
    <mergeCell ref="CLZ56:CMD56"/>
    <mergeCell ref="CME56:CMI56"/>
    <mergeCell ref="CMJ56:CMN56"/>
    <mergeCell ref="CMO56:CMS56"/>
    <mergeCell ref="CKL56:CKP56"/>
    <mergeCell ref="CKQ56:CKU56"/>
    <mergeCell ref="CKV56:CKZ56"/>
    <mergeCell ref="CLA56:CLE56"/>
    <mergeCell ref="CLF56:CLJ56"/>
    <mergeCell ref="CLK56:CLO56"/>
    <mergeCell ref="CJH56:CJL56"/>
    <mergeCell ref="CJM56:CJQ56"/>
    <mergeCell ref="CJR56:CJV56"/>
    <mergeCell ref="CJW56:CKA56"/>
    <mergeCell ref="CKB56:CKF56"/>
    <mergeCell ref="CKG56:CKK56"/>
    <mergeCell ref="CID56:CIH56"/>
    <mergeCell ref="CII56:CIM56"/>
    <mergeCell ref="CIN56:CIR56"/>
    <mergeCell ref="CIS56:CIW56"/>
    <mergeCell ref="CIX56:CJB56"/>
    <mergeCell ref="CJC56:CJG56"/>
    <mergeCell ref="CGZ56:CHD56"/>
    <mergeCell ref="CHE56:CHI56"/>
    <mergeCell ref="CHJ56:CHN56"/>
    <mergeCell ref="CHO56:CHS56"/>
    <mergeCell ref="CHT56:CHX56"/>
    <mergeCell ref="CHY56:CIC56"/>
    <mergeCell ref="CFV56:CFZ56"/>
    <mergeCell ref="CGA56:CGE56"/>
    <mergeCell ref="CGF56:CGJ56"/>
    <mergeCell ref="CGK56:CGO56"/>
    <mergeCell ref="CGP56:CGT56"/>
    <mergeCell ref="CGU56:CGY56"/>
    <mergeCell ref="CER56:CEV56"/>
    <mergeCell ref="CEW56:CFA56"/>
    <mergeCell ref="CFB56:CFF56"/>
    <mergeCell ref="CFG56:CFK56"/>
    <mergeCell ref="CFL56:CFP56"/>
    <mergeCell ref="CFQ56:CFU56"/>
    <mergeCell ref="CDN56:CDR56"/>
    <mergeCell ref="CDS56:CDW56"/>
    <mergeCell ref="CDX56:CEB56"/>
    <mergeCell ref="CEC56:CEG56"/>
    <mergeCell ref="CEH56:CEL56"/>
    <mergeCell ref="CEM56:CEQ56"/>
    <mergeCell ref="CCJ56:CCN56"/>
    <mergeCell ref="CCO56:CCS56"/>
    <mergeCell ref="CCT56:CCX56"/>
    <mergeCell ref="CCY56:CDC56"/>
    <mergeCell ref="CDD56:CDH56"/>
    <mergeCell ref="CDI56:CDM56"/>
    <mergeCell ref="CBF56:CBJ56"/>
    <mergeCell ref="CBK56:CBO56"/>
    <mergeCell ref="CBP56:CBT56"/>
    <mergeCell ref="CBU56:CBY56"/>
    <mergeCell ref="CBZ56:CCD56"/>
    <mergeCell ref="CCE56:CCI56"/>
    <mergeCell ref="CAB56:CAF56"/>
    <mergeCell ref="CAG56:CAK56"/>
    <mergeCell ref="CAL56:CAP56"/>
    <mergeCell ref="CAQ56:CAU56"/>
    <mergeCell ref="CAV56:CAZ56"/>
    <mergeCell ref="CBA56:CBE56"/>
    <mergeCell ref="BYX56:BZB56"/>
    <mergeCell ref="BZC56:BZG56"/>
    <mergeCell ref="BZH56:BZL56"/>
    <mergeCell ref="BZM56:BZQ56"/>
    <mergeCell ref="BZR56:BZV56"/>
    <mergeCell ref="BZW56:CAA56"/>
    <mergeCell ref="BXT56:BXX56"/>
    <mergeCell ref="BXY56:BYC56"/>
    <mergeCell ref="BYD56:BYH56"/>
    <mergeCell ref="BYI56:BYM56"/>
    <mergeCell ref="BYN56:BYR56"/>
    <mergeCell ref="BYS56:BYW56"/>
    <mergeCell ref="BWP56:BWT56"/>
    <mergeCell ref="BWU56:BWY56"/>
    <mergeCell ref="BWZ56:BXD56"/>
    <mergeCell ref="BXE56:BXI56"/>
    <mergeCell ref="BXJ56:BXN56"/>
    <mergeCell ref="BXO56:BXS56"/>
    <mergeCell ref="BVL56:BVP56"/>
    <mergeCell ref="BVQ56:BVU56"/>
    <mergeCell ref="BVV56:BVZ56"/>
    <mergeCell ref="BWA56:BWE56"/>
    <mergeCell ref="BWF56:BWJ56"/>
    <mergeCell ref="BWK56:BWO56"/>
    <mergeCell ref="BUH56:BUL56"/>
    <mergeCell ref="BUM56:BUQ56"/>
    <mergeCell ref="BUR56:BUV56"/>
    <mergeCell ref="BUW56:BVA56"/>
    <mergeCell ref="BVB56:BVF56"/>
    <mergeCell ref="BVG56:BVK56"/>
    <mergeCell ref="BTD56:BTH56"/>
    <mergeCell ref="BTI56:BTM56"/>
    <mergeCell ref="BTN56:BTR56"/>
    <mergeCell ref="BTS56:BTW56"/>
    <mergeCell ref="BTX56:BUB56"/>
    <mergeCell ref="BUC56:BUG56"/>
    <mergeCell ref="BRZ56:BSD56"/>
    <mergeCell ref="BSE56:BSI56"/>
    <mergeCell ref="BSJ56:BSN56"/>
    <mergeCell ref="BSO56:BSS56"/>
    <mergeCell ref="BST56:BSX56"/>
    <mergeCell ref="BSY56:BTC56"/>
    <mergeCell ref="BQV56:BQZ56"/>
    <mergeCell ref="BRA56:BRE56"/>
    <mergeCell ref="BRF56:BRJ56"/>
    <mergeCell ref="BRK56:BRO56"/>
    <mergeCell ref="BRP56:BRT56"/>
    <mergeCell ref="BRU56:BRY56"/>
    <mergeCell ref="BPR56:BPV56"/>
    <mergeCell ref="BPW56:BQA56"/>
    <mergeCell ref="BQB56:BQF56"/>
    <mergeCell ref="BQG56:BQK56"/>
    <mergeCell ref="BQL56:BQP56"/>
    <mergeCell ref="BQQ56:BQU56"/>
    <mergeCell ref="BON56:BOR56"/>
    <mergeCell ref="BOS56:BOW56"/>
    <mergeCell ref="BOX56:BPB56"/>
    <mergeCell ref="BPC56:BPG56"/>
    <mergeCell ref="BPH56:BPL56"/>
    <mergeCell ref="BPM56:BPQ56"/>
    <mergeCell ref="BNJ56:BNN56"/>
    <mergeCell ref="BNO56:BNS56"/>
    <mergeCell ref="BNT56:BNX56"/>
    <mergeCell ref="BNY56:BOC56"/>
    <mergeCell ref="BOD56:BOH56"/>
    <mergeCell ref="BOI56:BOM56"/>
    <mergeCell ref="BMF56:BMJ56"/>
    <mergeCell ref="BMK56:BMO56"/>
    <mergeCell ref="BMP56:BMT56"/>
    <mergeCell ref="BMU56:BMY56"/>
    <mergeCell ref="BMZ56:BND56"/>
    <mergeCell ref="BNE56:BNI56"/>
    <mergeCell ref="BLB56:BLF56"/>
    <mergeCell ref="BLG56:BLK56"/>
    <mergeCell ref="BLL56:BLP56"/>
    <mergeCell ref="BLQ56:BLU56"/>
    <mergeCell ref="BLV56:BLZ56"/>
    <mergeCell ref="BMA56:BME56"/>
    <mergeCell ref="BJX56:BKB56"/>
    <mergeCell ref="BKC56:BKG56"/>
    <mergeCell ref="BKH56:BKL56"/>
    <mergeCell ref="BKM56:BKQ56"/>
    <mergeCell ref="BKR56:BKV56"/>
    <mergeCell ref="BKW56:BLA56"/>
    <mergeCell ref="BIT56:BIX56"/>
    <mergeCell ref="BIY56:BJC56"/>
    <mergeCell ref="BJD56:BJH56"/>
    <mergeCell ref="BJI56:BJM56"/>
    <mergeCell ref="BJN56:BJR56"/>
    <mergeCell ref="BJS56:BJW56"/>
    <mergeCell ref="BHP56:BHT56"/>
    <mergeCell ref="BHU56:BHY56"/>
    <mergeCell ref="BHZ56:BID56"/>
    <mergeCell ref="BIE56:BII56"/>
    <mergeCell ref="BIJ56:BIN56"/>
    <mergeCell ref="BIO56:BIS56"/>
    <mergeCell ref="BGL56:BGP56"/>
    <mergeCell ref="BGQ56:BGU56"/>
    <mergeCell ref="BGV56:BGZ56"/>
    <mergeCell ref="BHA56:BHE56"/>
    <mergeCell ref="BHF56:BHJ56"/>
    <mergeCell ref="BHK56:BHO56"/>
    <mergeCell ref="BFH56:BFL56"/>
    <mergeCell ref="BFM56:BFQ56"/>
    <mergeCell ref="BFR56:BFV56"/>
    <mergeCell ref="BFW56:BGA56"/>
    <mergeCell ref="BGB56:BGF56"/>
    <mergeCell ref="BGG56:BGK56"/>
    <mergeCell ref="BED56:BEH56"/>
    <mergeCell ref="BEI56:BEM56"/>
    <mergeCell ref="BEN56:BER56"/>
    <mergeCell ref="BES56:BEW56"/>
    <mergeCell ref="BEX56:BFB56"/>
    <mergeCell ref="BFC56:BFG56"/>
    <mergeCell ref="BCZ56:BDD56"/>
    <mergeCell ref="BDE56:BDI56"/>
    <mergeCell ref="BDJ56:BDN56"/>
    <mergeCell ref="BDO56:BDS56"/>
    <mergeCell ref="BDT56:BDX56"/>
    <mergeCell ref="BDY56:BEC56"/>
    <mergeCell ref="BBV56:BBZ56"/>
    <mergeCell ref="BCA56:BCE56"/>
    <mergeCell ref="BCF56:BCJ56"/>
    <mergeCell ref="BCK56:BCO56"/>
    <mergeCell ref="BCP56:BCT56"/>
    <mergeCell ref="BCU56:BCY56"/>
    <mergeCell ref="BAR56:BAV56"/>
    <mergeCell ref="BAW56:BBA56"/>
    <mergeCell ref="BBB56:BBF56"/>
    <mergeCell ref="BBG56:BBK56"/>
    <mergeCell ref="BBL56:BBP56"/>
    <mergeCell ref="BBQ56:BBU56"/>
    <mergeCell ref="AZN56:AZR56"/>
    <mergeCell ref="AZS56:AZW56"/>
    <mergeCell ref="AZX56:BAB56"/>
    <mergeCell ref="BAC56:BAG56"/>
    <mergeCell ref="BAH56:BAL56"/>
    <mergeCell ref="BAM56:BAQ56"/>
    <mergeCell ref="AYJ56:AYN56"/>
    <mergeCell ref="AYO56:AYS56"/>
    <mergeCell ref="AYT56:AYX56"/>
    <mergeCell ref="AYY56:AZC56"/>
    <mergeCell ref="AZD56:AZH56"/>
    <mergeCell ref="AZI56:AZM56"/>
    <mergeCell ref="AXF56:AXJ56"/>
    <mergeCell ref="AXK56:AXO56"/>
    <mergeCell ref="AXP56:AXT56"/>
    <mergeCell ref="AXU56:AXY56"/>
    <mergeCell ref="AXZ56:AYD56"/>
    <mergeCell ref="AYE56:AYI56"/>
    <mergeCell ref="AWB56:AWF56"/>
    <mergeCell ref="AWG56:AWK56"/>
    <mergeCell ref="AWL56:AWP56"/>
    <mergeCell ref="AWQ56:AWU56"/>
    <mergeCell ref="AWV56:AWZ56"/>
    <mergeCell ref="AXA56:AXE56"/>
    <mergeCell ref="AUX56:AVB56"/>
    <mergeCell ref="AVC56:AVG56"/>
    <mergeCell ref="AVH56:AVL56"/>
    <mergeCell ref="AVM56:AVQ56"/>
    <mergeCell ref="AVR56:AVV56"/>
    <mergeCell ref="AVW56:AWA56"/>
    <mergeCell ref="ATT56:ATX56"/>
    <mergeCell ref="ATY56:AUC56"/>
    <mergeCell ref="AUD56:AUH56"/>
    <mergeCell ref="AUI56:AUM56"/>
    <mergeCell ref="AUN56:AUR56"/>
    <mergeCell ref="AUS56:AUW56"/>
    <mergeCell ref="ASP56:AST56"/>
    <mergeCell ref="ASU56:ASY56"/>
    <mergeCell ref="ASZ56:ATD56"/>
    <mergeCell ref="ATE56:ATI56"/>
    <mergeCell ref="ATJ56:ATN56"/>
    <mergeCell ref="ATO56:ATS56"/>
    <mergeCell ref="ARL56:ARP56"/>
    <mergeCell ref="ARQ56:ARU56"/>
    <mergeCell ref="ARV56:ARZ56"/>
    <mergeCell ref="ASA56:ASE56"/>
    <mergeCell ref="ASF56:ASJ56"/>
    <mergeCell ref="ASK56:ASO56"/>
    <mergeCell ref="AQH56:AQL56"/>
    <mergeCell ref="AQM56:AQQ56"/>
    <mergeCell ref="AQR56:AQV56"/>
    <mergeCell ref="AQW56:ARA56"/>
    <mergeCell ref="ARB56:ARF56"/>
    <mergeCell ref="ARG56:ARK56"/>
    <mergeCell ref="APD56:APH56"/>
    <mergeCell ref="API56:APM56"/>
    <mergeCell ref="APN56:APR56"/>
    <mergeCell ref="APS56:APW56"/>
    <mergeCell ref="APX56:AQB56"/>
    <mergeCell ref="AQC56:AQG56"/>
    <mergeCell ref="ANZ56:AOD56"/>
    <mergeCell ref="AOE56:AOI56"/>
    <mergeCell ref="AOJ56:AON56"/>
    <mergeCell ref="AOO56:AOS56"/>
    <mergeCell ref="AOT56:AOX56"/>
    <mergeCell ref="AOY56:APC56"/>
    <mergeCell ref="AMV56:AMZ56"/>
    <mergeCell ref="ANA56:ANE56"/>
    <mergeCell ref="ANF56:ANJ56"/>
    <mergeCell ref="ANK56:ANO56"/>
    <mergeCell ref="ANP56:ANT56"/>
    <mergeCell ref="ANU56:ANY56"/>
    <mergeCell ref="ALR56:ALV56"/>
    <mergeCell ref="ALW56:AMA56"/>
    <mergeCell ref="AMB56:AMF56"/>
    <mergeCell ref="AMG56:AMK56"/>
    <mergeCell ref="AML56:AMP56"/>
    <mergeCell ref="AMQ56:AMU56"/>
    <mergeCell ref="AKN56:AKR56"/>
    <mergeCell ref="AKS56:AKW56"/>
    <mergeCell ref="AKX56:ALB56"/>
    <mergeCell ref="ALC56:ALG56"/>
    <mergeCell ref="ALH56:ALL56"/>
    <mergeCell ref="ALM56:ALQ56"/>
    <mergeCell ref="AJJ56:AJN56"/>
    <mergeCell ref="AJO56:AJS56"/>
    <mergeCell ref="AJT56:AJX56"/>
    <mergeCell ref="AJY56:AKC56"/>
    <mergeCell ref="AKD56:AKH56"/>
    <mergeCell ref="AKI56:AKM56"/>
    <mergeCell ref="AIF56:AIJ56"/>
    <mergeCell ref="AIK56:AIO56"/>
    <mergeCell ref="AIP56:AIT56"/>
    <mergeCell ref="AIU56:AIY56"/>
    <mergeCell ref="AIZ56:AJD56"/>
    <mergeCell ref="AJE56:AJI56"/>
    <mergeCell ref="AHB56:AHF56"/>
    <mergeCell ref="AHG56:AHK56"/>
    <mergeCell ref="AHL56:AHP56"/>
    <mergeCell ref="AHQ56:AHU56"/>
    <mergeCell ref="AHV56:AHZ56"/>
    <mergeCell ref="AIA56:AIE56"/>
    <mergeCell ref="AFX56:AGB56"/>
    <mergeCell ref="AGC56:AGG56"/>
    <mergeCell ref="AGH56:AGL56"/>
    <mergeCell ref="AGM56:AGQ56"/>
    <mergeCell ref="AGR56:AGV56"/>
    <mergeCell ref="AGW56:AHA56"/>
    <mergeCell ref="AET56:AEX56"/>
    <mergeCell ref="AEY56:AFC56"/>
    <mergeCell ref="AFD56:AFH56"/>
    <mergeCell ref="AFI56:AFM56"/>
    <mergeCell ref="AFN56:AFR56"/>
    <mergeCell ref="AFS56:AFW56"/>
    <mergeCell ref="ADP56:ADT56"/>
    <mergeCell ref="ADU56:ADY56"/>
    <mergeCell ref="ADZ56:AED56"/>
    <mergeCell ref="AEE56:AEI56"/>
    <mergeCell ref="AEJ56:AEN56"/>
    <mergeCell ref="AEO56:AES56"/>
    <mergeCell ref="ACL56:ACP56"/>
    <mergeCell ref="ACQ56:ACU56"/>
    <mergeCell ref="ACV56:ACZ56"/>
    <mergeCell ref="ADA56:ADE56"/>
    <mergeCell ref="ADF56:ADJ56"/>
    <mergeCell ref="ADK56:ADO56"/>
    <mergeCell ref="ABH56:ABL56"/>
    <mergeCell ref="ABM56:ABQ56"/>
    <mergeCell ref="ABR56:ABV56"/>
    <mergeCell ref="ABW56:ACA56"/>
    <mergeCell ref="ACB56:ACF56"/>
    <mergeCell ref="ACG56:ACK56"/>
    <mergeCell ref="AAD56:AAH56"/>
    <mergeCell ref="AAI56:AAM56"/>
    <mergeCell ref="AAN56:AAR56"/>
    <mergeCell ref="AAS56:AAW56"/>
    <mergeCell ref="AAX56:ABB56"/>
    <mergeCell ref="ABC56:ABG56"/>
    <mergeCell ref="YZ56:ZD56"/>
    <mergeCell ref="ZE56:ZI56"/>
    <mergeCell ref="ZJ56:ZN56"/>
    <mergeCell ref="ZO56:ZS56"/>
    <mergeCell ref="ZT56:ZX56"/>
    <mergeCell ref="ZY56:AAC56"/>
    <mergeCell ref="XV56:XZ56"/>
    <mergeCell ref="YA56:YE56"/>
    <mergeCell ref="YF56:YJ56"/>
    <mergeCell ref="YK56:YO56"/>
    <mergeCell ref="YP56:YT56"/>
    <mergeCell ref="YU56:YY56"/>
    <mergeCell ref="WR56:WV56"/>
    <mergeCell ref="WW56:XA56"/>
    <mergeCell ref="XB56:XF56"/>
    <mergeCell ref="XG56:XK56"/>
    <mergeCell ref="XL56:XP56"/>
    <mergeCell ref="XQ56:XU56"/>
    <mergeCell ref="VN56:VR56"/>
    <mergeCell ref="VS56:VW56"/>
    <mergeCell ref="VX56:WB56"/>
    <mergeCell ref="WC56:WG56"/>
    <mergeCell ref="WH56:WL56"/>
    <mergeCell ref="WM56:WQ56"/>
    <mergeCell ref="UJ56:UN56"/>
    <mergeCell ref="UO56:US56"/>
    <mergeCell ref="UT56:UX56"/>
    <mergeCell ref="UY56:VC56"/>
    <mergeCell ref="VD56:VH56"/>
    <mergeCell ref="VI56:VM56"/>
    <mergeCell ref="TF56:TJ56"/>
    <mergeCell ref="TK56:TO56"/>
    <mergeCell ref="TP56:TT56"/>
    <mergeCell ref="TU56:TY56"/>
    <mergeCell ref="TZ56:UD56"/>
    <mergeCell ref="UE56:UI56"/>
    <mergeCell ref="SB56:SF56"/>
    <mergeCell ref="SG56:SK56"/>
    <mergeCell ref="SL56:SP56"/>
    <mergeCell ref="SQ56:SU56"/>
    <mergeCell ref="SV56:SZ56"/>
    <mergeCell ref="TA56:TE56"/>
    <mergeCell ref="QX56:RB56"/>
    <mergeCell ref="RC56:RG56"/>
    <mergeCell ref="RH56:RL56"/>
    <mergeCell ref="RM56:RQ56"/>
    <mergeCell ref="RR56:RV56"/>
    <mergeCell ref="RW56:SA56"/>
    <mergeCell ref="PT56:PX56"/>
    <mergeCell ref="PY56:QC56"/>
    <mergeCell ref="QD56:QH56"/>
    <mergeCell ref="QI56:QM56"/>
    <mergeCell ref="QN56:QR56"/>
    <mergeCell ref="QS56:QW56"/>
    <mergeCell ref="OP56:OT56"/>
    <mergeCell ref="OU56:OY56"/>
    <mergeCell ref="OZ56:PD56"/>
    <mergeCell ref="PE56:PI56"/>
    <mergeCell ref="PJ56:PN56"/>
    <mergeCell ref="PO56:PS56"/>
    <mergeCell ref="NL56:NP56"/>
    <mergeCell ref="NQ56:NU56"/>
    <mergeCell ref="NV56:NZ56"/>
    <mergeCell ref="OA56:OE56"/>
    <mergeCell ref="OF56:OJ56"/>
    <mergeCell ref="OK56:OO56"/>
    <mergeCell ref="MH56:ML56"/>
    <mergeCell ref="MM56:MQ56"/>
    <mergeCell ref="MR56:MV56"/>
    <mergeCell ref="MW56:NA56"/>
    <mergeCell ref="NB56:NF56"/>
    <mergeCell ref="NG56:NK56"/>
    <mergeCell ref="LD56:LH56"/>
    <mergeCell ref="LI56:LM56"/>
    <mergeCell ref="LN56:LR56"/>
    <mergeCell ref="LS56:LW56"/>
    <mergeCell ref="LX56:MB56"/>
    <mergeCell ref="MC56:MG56"/>
    <mergeCell ref="JZ56:KD56"/>
    <mergeCell ref="KE56:KI56"/>
    <mergeCell ref="KJ56:KN56"/>
    <mergeCell ref="KO56:KS56"/>
    <mergeCell ref="KT56:KX56"/>
    <mergeCell ref="KY56:LC56"/>
    <mergeCell ref="IV56:IZ56"/>
    <mergeCell ref="JA56:JE56"/>
    <mergeCell ref="JF56:JJ56"/>
    <mergeCell ref="JK56:JO56"/>
    <mergeCell ref="JP56:JT56"/>
    <mergeCell ref="JU56:JY56"/>
    <mergeCell ref="HR56:HV56"/>
    <mergeCell ref="HW56:IA56"/>
    <mergeCell ref="IB56:IF56"/>
    <mergeCell ref="IG56:IK56"/>
    <mergeCell ref="IL56:IP56"/>
    <mergeCell ref="IQ56:IU56"/>
    <mergeCell ref="GN56:GR56"/>
    <mergeCell ref="GS56:GW56"/>
    <mergeCell ref="GX56:HB56"/>
    <mergeCell ref="HC56:HG56"/>
    <mergeCell ref="HH56:HL56"/>
    <mergeCell ref="HM56:HQ56"/>
    <mergeCell ref="FJ56:FN56"/>
    <mergeCell ref="FO56:FS56"/>
    <mergeCell ref="FT56:FX56"/>
    <mergeCell ref="FY56:GC56"/>
    <mergeCell ref="GD56:GH56"/>
    <mergeCell ref="GI56:GM56"/>
    <mergeCell ref="EF56:EJ56"/>
    <mergeCell ref="EK56:EO56"/>
    <mergeCell ref="EP56:ET56"/>
    <mergeCell ref="EU56:EY56"/>
    <mergeCell ref="EZ56:FD56"/>
    <mergeCell ref="FE56:FI56"/>
    <mergeCell ref="DB56:DF56"/>
    <mergeCell ref="DG56:DK56"/>
    <mergeCell ref="DL56:DP56"/>
    <mergeCell ref="DQ56:DU56"/>
    <mergeCell ref="DV56:DZ56"/>
    <mergeCell ref="EA56:EE56"/>
    <mergeCell ref="BX56:CB56"/>
    <mergeCell ref="CC56:CG56"/>
    <mergeCell ref="CH56:CL56"/>
    <mergeCell ref="CM56:CQ56"/>
    <mergeCell ref="CR56:CV56"/>
    <mergeCell ref="CW56:DA56"/>
    <mergeCell ref="AT56:AX56"/>
    <mergeCell ref="AY56:BC56"/>
    <mergeCell ref="BD56:BH56"/>
    <mergeCell ref="BI56:BM56"/>
    <mergeCell ref="BN56:BR56"/>
    <mergeCell ref="BS56:BW56"/>
    <mergeCell ref="XFA55:XFD55"/>
    <mergeCell ref="A56:E56"/>
    <mergeCell ref="F56:J56"/>
    <mergeCell ref="K56:O56"/>
    <mergeCell ref="P56:T56"/>
    <mergeCell ref="U56:Y56"/>
    <mergeCell ref="Z56:AD56"/>
    <mergeCell ref="AE56:AI56"/>
    <mergeCell ref="AJ56:AN56"/>
    <mergeCell ref="AO56:AS56"/>
    <mergeCell ref="XDW55:XEA55"/>
    <mergeCell ref="XEB55:XEF55"/>
    <mergeCell ref="XEG55:XEK55"/>
    <mergeCell ref="XEL55:XEP55"/>
    <mergeCell ref="XEQ55:XEU55"/>
    <mergeCell ref="XEV55:XEZ55"/>
    <mergeCell ref="XCS55:XCW55"/>
    <mergeCell ref="XCX55:XDB55"/>
    <mergeCell ref="XDC55:XDG55"/>
    <mergeCell ref="XDH55:XDL55"/>
    <mergeCell ref="XDM55:XDQ55"/>
    <mergeCell ref="XDR55:XDV55"/>
    <mergeCell ref="XBO55:XBS55"/>
    <mergeCell ref="XBT55:XBX55"/>
    <mergeCell ref="XBY55:XCC55"/>
    <mergeCell ref="XCD55:XCH55"/>
    <mergeCell ref="XCI55:XCM55"/>
    <mergeCell ref="XCN55:XCR55"/>
    <mergeCell ref="XAK55:XAO55"/>
    <mergeCell ref="XAP55:XAT55"/>
    <mergeCell ref="XAU55:XAY55"/>
    <mergeCell ref="XAZ55:XBD55"/>
    <mergeCell ref="XBE55:XBI55"/>
    <mergeCell ref="XBJ55:XBN55"/>
    <mergeCell ref="WZG55:WZK55"/>
    <mergeCell ref="WZL55:WZP55"/>
    <mergeCell ref="WZQ55:WZU55"/>
    <mergeCell ref="WZV55:WZZ55"/>
    <mergeCell ref="XAA55:XAE55"/>
    <mergeCell ref="XAF55:XAJ55"/>
    <mergeCell ref="WYC55:WYG55"/>
    <mergeCell ref="WYH55:WYL55"/>
    <mergeCell ref="WYM55:WYQ55"/>
    <mergeCell ref="WYR55:WYV55"/>
    <mergeCell ref="WYW55:WZA55"/>
    <mergeCell ref="WZB55:WZF55"/>
    <mergeCell ref="WWY55:WXC55"/>
    <mergeCell ref="WXD55:WXH55"/>
    <mergeCell ref="WXI55:WXM55"/>
    <mergeCell ref="WXN55:WXR55"/>
    <mergeCell ref="WXS55:WXW55"/>
    <mergeCell ref="WXX55:WYB55"/>
    <mergeCell ref="WVU55:WVY55"/>
    <mergeCell ref="WVZ55:WWD55"/>
    <mergeCell ref="WWE55:WWI55"/>
    <mergeCell ref="WWJ55:WWN55"/>
    <mergeCell ref="WWO55:WWS55"/>
    <mergeCell ref="WWT55:WWX55"/>
    <mergeCell ref="WUQ55:WUU55"/>
    <mergeCell ref="WUV55:WUZ55"/>
    <mergeCell ref="WVA55:WVE55"/>
    <mergeCell ref="WVF55:WVJ55"/>
    <mergeCell ref="WVK55:WVO55"/>
    <mergeCell ref="WVP55:WVT55"/>
    <mergeCell ref="WTM55:WTQ55"/>
    <mergeCell ref="WTR55:WTV55"/>
    <mergeCell ref="WTW55:WUA55"/>
    <mergeCell ref="WUB55:WUF55"/>
    <mergeCell ref="WUG55:WUK55"/>
    <mergeCell ref="WUL55:WUP55"/>
    <mergeCell ref="WSI55:WSM55"/>
    <mergeCell ref="WSN55:WSR55"/>
    <mergeCell ref="WSS55:WSW55"/>
    <mergeCell ref="WSX55:WTB55"/>
    <mergeCell ref="WTC55:WTG55"/>
    <mergeCell ref="WTH55:WTL55"/>
    <mergeCell ref="WRE55:WRI55"/>
    <mergeCell ref="WRJ55:WRN55"/>
    <mergeCell ref="WRO55:WRS55"/>
    <mergeCell ref="WRT55:WRX55"/>
    <mergeCell ref="WRY55:WSC55"/>
    <mergeCell ref="WSD55:WSH55"/>
    <mergeCell ref="WQA55:WQE55"/>
    <mergeCell ref="WQF55:WQJ55"/>
    <mergeCell ref="WQK55:WQO55"/>
    <mergeCell ref="WQP55:WQT55"/>
    <mergeCell ref="WQU55:WQY55"/>
    <mergeCell ref="WQZ55:WRD55"/>
    <mergeCell ref="WOW55:WPA55"/>
    <mergeCell ref="WPB55:WPF55"/>
    <mergeCell ref="WPG55:WPK55"/>
    <mergeCell ref="WPL55:WPP55"/>
    <mergeCell ref="WPQ55:WPU55"/>
    <mergeCell ref="WPV55:WPZ55"/>
    <mergeCell ref="WNS55:WNW55"/>
    <mergeCell ref="WNX55:WOB55"/>
    <mergeCell ref="WOC55:WOG55"/>
    <mergeCell ref="WOH55:WOL55"/>
    <mergeCell ref="WOM55:WOQ55"/>
    <mergeCell ref="WOR55:WOV55"/>
    <mergeCell ref="WMO55:WMS55"/>
    <mergeCell ref="WMT55:WMX55"/>
    <mergeCell ref="WMY55:WNC55"/>
    <mergeCell ref="WND55:WNH55"/>
    <mergeCell ref="WNI55:WNM55"/>
    <mergeCell ref="WNN55:WNR55"/>
    <mergeCell ref="WLK55:WLO55"/>
    <mergeCell ref="WLP55:WLT55"/>
    <mergeCell ref="WLU55:WLY55"/>
    <mergeCell ref="WLZ55:WMD55"/>
    <mergeCell ref="WME55:WMI55"/>
    <mergeCell ref="WMJ55:WMN55"/>
    <mergeCell ref="WKG55:WKK55"/>
    <mergeCell ref="WKL55:WKP55"/>
    <mergeCell ref="WKQ55:WKU55"/>
    <mergeCell ref="WKV55:WKZ55"/>
    <mergeCell ref="WLA55:WLE55"/>
    <mergeCell ref="WLF55:WLJ55"/>
    <mergeCell ref="WJC55:WJG55"/>
    <mergeCell ref="WJH55:WJL55"/>
    <mergeCell ref="WJM55:WJQ55"/>
    <mergeCell ref="WJR55:WJV55"/>
    <mergeCell ref="WJW55:WKA55"/>
    <mergeCell ref="WKB55:WKF55"/>
    <mergeCell ref="WHY55:WIC55"/>
    <mergeCell ref="WID55:WIH55"/>
    <mergeCell ref="WII55:WIM55"/>
    <mergeCell ref="WIN55:WIR55"/>
    <mergeCell ref="WIS55:WIW55"/>
    <mergeCell ref="WIX55:WJB55"/>
    <mergeCell ref="WGU55:WGY55"/>
    <mergeCell ref="WGZ55:WHD55"/>
    <mergeCell ref="WHE55:WHI55"/>
    <mergeCell ref="WHJ55:WHN55"/>
    <mergeCell ref="WHO55:WHS55"/>
    <mergeCell ref="WHT55:WHX55"/>
    <mergeCell ref="WFQ55:WFU55"/>
    <mergeCell ref="WFV55:WFZ55"/>
    <mergeCell ref="WGA55:WGE55"/>
    <mergeCell ref="WGF55:WGJ55"/>
    <mergeCell ref="WGK55:WGO55"/>
    <mergeCell ref="WGP55:WGT55"/>
    <mergeCell ref="WEM55:WEQ55"/>
    <mergeCell ref="WER55:WEV55"/>
    <mergeCell ref="WEW55:WFA55"/>
    <mergeCell ref="WFB55:WFF55"/>
    <mergeCell ref="WFG55:WFK55"/>
    <mergeCell ref="WFL55:WFP55"/>
    <mergeCell ref="WDI55:WDM55"/>
    <mergeCell ref="WDN55:WDR55"/>
    <mergeCell ref="WDS55:WDW55"/>
    <mergeCell ref="WDX55:WEB55"/>
    <mergeCell ref="WEC55:WEG55"/>
    <mergeCell ref="WEH55:WEL55"/>
    <mergeCell ref="WCE55:WCI55"/>
    <mergeCell ref="WCJ55:WCN55"/>
    <mergeCell ref="WCO55:WCS55"/>
    <mergeCell ref="WCT55:WCX55"/>
    <mergeCell ref="WCY55:WDC55"/>
    <mergeCell ref="WDD55:WDH55"/>
    <mergeCell ref="WBA55:WBE55"/>
    <mergeCell ref="WBF55:WBJ55"/>
    <mergeCell ref="WBK55:WBO55"/>
    <mergeCell ref="WBP55:WBT55"/>
    <mergeCell ref="WBU55:WBY55"/>
    <mergeCell ref="WBZ55:WCD55"/>
    <mergeCell ref="VZW55:WAA55"/>
    <mergeCell ref="WAB55:WAF55"/>
    <mergeCell ref="WAG55:WAK55"/>
    <mergeCell ref="WAL55:WAP55"/>
    <mergeCell ref="WAQ55:WAU55"/>
    <mergeCell ref="WAV55:WAZ55"/>
    <mergeCell ref="VYS55:VYW55"/>
    <mergeCell ref="VYX55:VZB55"/>
    <mergeCell ref="VZC55:VZG55"/>
    <mergeCell ref="VZH55:VZL55"/>
    <mergeCell ref="VZM55:VZQ55"/>
    <mergeCell ref="VZR55:VZV55"/>
    <mergeCell ref="VXO55:VXS55"/>
    <mergeCell ref="VXT55:VXX55"/>
    <mergeCell ref="VXY55:VYC55"/>
    <mergeCell ref="VYD55:VYH55"/>
    <mergeCell ref="VYI55:VYM55"/>
    <mergeCell ref="VYN55:VYR55"/>
    <mergeCell ref="VWK55:VWO55"/>
    <mergeCell ref="VWP55:VWT55"/>
    <mergeCell ref="VWU55:VWY55"/>
    <mergeCell ref="VWZ55:VXD55"/>
    <mergeCell ref="VXE55:VXI55"/>
    <mergeCell ref="VXJ55:VXN55"/>
    <mergeCell ref="VVG55:VVK55"/>
    <mergeCell ref="VVL55:VVP55"/>
    <mergeCell ref="VVQ55:VVU55"/>
    <mergeCell ref="VVV55:VVZ55"/>
    <mergeCell ref="VWA55:VWE55"/>
    <mergeCell ref="VWF55:VWJ55"/>
    <mergeCell ref="VUC55:VUG55"/>
    <mergeCell ref="VUH55:VUL55"/>
    <mergeCell ref="VUM55:VUQ55"/>
    <mergeCell ref="VUR55:VUV55"/>
    <mergeCell ref="VUW55:VVA55"/>
    <mergeCell ref="VVB55:VVF55"/>
    <mergeCell ref="VSY55:VTC55"/>
    <mergeCell ref="VTD55:VTH55"/>
    <mergeCell ref="VTI55:VTM55"/>
    <mergeCell ref="VTN55:VTR55"/>
    <mergeCell ref="VTS55:VTW55"/>
    <mergeCell ref="VTX55:VUB55"/>
    <mergeCell ref="VRU55:VRY55"/>
    <mergeCell ref="VRZ55:VSD55"/>
    <mergeCell ref="VSE55:VSI55"/>
    <mergeCell ref="VSJ55:VSN55"/>
    <mergeCell ref="VSO55:VSS55"/>
    <mergeCell ref="VST55:VSX55"/>
    <mergeCell ref="VQQ55:VQU55"/>
    <mergeCell ref="VQV55:VQZ55"/>
    <mergeCell ref="VRA55:VRE55"/>
    <mergeCell ref="VRF55:VRJ55"/>
    <mergeCell ref="VRK55:VRO55"/>
    <mergeCell ref="VRP55:VRT55"/>
    <mergeCell ref="VPM55:VPQ55"/>
    <mergeCell ref="VPR55:VPV55"/>
    <mergeCell ref="VPW55:VQA55"/>
    <mergeCell ref="VQB55:VQF55"/>
    <mergeCell ref="VQG55:VQK55"/>
    <mergeCell ref="VQL55:VQP55"/>
    <mergeCell ref="VOI55:VOM55"/>
    <mergeCell ref="VON55:VOR55"/>
    <mergeCell ref="VOS55:VOW55"/>
    <mergeCell ref="VOX55:VPB55"/>
    <mergeCell ref="VPC55:VPG55"/>
    <mergeCell ref="VPH55:VPL55"/>
    <mergeCell ref="VNE55:VNI55"/>
    <mergeCell ref="VNJ55:VNN55"/>
    <mergeCell ref="VNO55:VNS55"/>
    <mergeCell ref="VNT55:VNX55"/>
    <mergeCell ref="VNY55:VOC55"/>
    <mergeCell ref="VOD55:VOH55"/>
    <mergeCell ref="VMA55:VME55"/>
    <mergeCell ref="VMF55:VMJ55"/>
    <mergeCell ref="VMK55:VMO55"/>
    <mergeCell ref="VMP55:VMT55"/>
    <mergeCell ref="VMU55:VMY55"/>
    <mergeCell ref="VMZ55:VND55"/>
    <mergeCell ref="VKW55:VLA55"/>
    <mergeCell ref="VLB55:VLF55"/>
    <mergeCell ref="VLG55:VLK55"/>
    <mergeCell ref="VLL55:VLP55"/>
    <mergeCell ref="VLQ55:VLU55"/>
    <mergeCell ref="VLV55:VLZ55"/>
    <mergeCell ref="VJS55:VJW55"/>
    <mergeCell ref="VJX55:VKB55"/>
    <mergeCell ref="VKC55:VKG55"/>
    <mergeCell ref="VKH55:VKL55"/>
    <mergeCell ref="VKM55:VKQ55"/>
    <mergeCell ref="VKR55:VKV55"/>
    <mergeCell ref="VIO55:VIS55"/>
    <mergeCell ref="VIT55:VIX55"/>
    <mergeCell ref="VIY55:VJC55"/>
    <mergeCell ref="VJD55:VJH55"/>
    <mergeCell ref="VJI55:VJM55"/>
    <mergeCell ref="VJN55:VJR55"/>
    <mergeCell ref="VHK55:VHO55"/>
    <mergeCell ref="VHP55:VHT55"/>
    <mergeCell ref="VHU55:VHY55"/>
    <mergeCell ref="VHZ55:VID55"/>
    <mergeCell ref="VIE55:VII55"/>
    <mergeCell ref="VIJ55:VIN55"/>
    <mergeCell ref="VGG55:VGK55"/>
    <mergeCell ref="VGL55:VGP55"/>
    <mergeCell ref="VGQ55:VGU55"/>
    <mergeCell ref="VGV55:VGZ55"/>
    <mergeCell ref="VHA55:VHE55"/>
    <mergeCell ref="VHF55:VHJ55"/>
    <mergeCell ref="VFC55:VFG55"/>
    <mergeCell ref="VFH55:VFL55"/>
    <mergeCell ref="VFM55:VFQ55"/>
    <mergeCell ref="VFR55:VFV55"/>
    <mergeCell ref="VFW55:VGA55"/>
    <mergeCell ref="VGB55:VGF55"/>
    <mergeCell ref="VDY55:VEC55"/>
    <mergeCell ref="VED55:VEH55"/>
    <mergeCell ref="VEI55:VEM55"/>
    <mergeCell ref="VEN55:VER55"/>
    <mergeCell ref="VES55:VEW55"/>
    <mergeCell ref="VEX55:VFB55"/>
    <mergeCell ref="VCU55:VCY55"/>
    <mergeCell ref="VCZ55:VDD55"/>
    <mergeCell ref="VDE55:VDI55"/>
    <mergeCell ref="VDJ55:VDN55"/>
    <mergeCell ref="VDO55:VDS55"/>
    <mergeCell ref="VDT55:VDX55"/>
    <mergeCell ref="VBQ55:VBU55"/>
    <mergeCell ref="VBV55:VBZ55"/>
    <mergeCell ref="VCA55:VCE55"/>
    <mergeCell ref="VCF55:VCJ55"/>
    <mergeCell ref="VCK55:VCO55"/>
    <mergeCell ref="VCP55:VCT55"/>
    <mergeCell ref="VAM55:VAQ55"/>
    <mergeCell ref="VAR55:VAV55"/>
    <mergeCell ref="VAW55:VBA55"/>
    <mergeCell ref="VBB55:VBF55"/>
    <mergeCell ref="VBG55:VBK55"/>
    <mergeCell ref="VBL55:VBP55"/>
    <mergeCell ref="UZI55:UZM55"/>
    <mergeCell ref="UZN55:UZR55"/>
    <mergeCell ref="UZS55:UZW55"/>
    <mergeCell ref="UZX55:VAB55"/>
    <mergeCell ref="VAC55:VAG55"/>
    <mergeCell ref="VAH55:VAL55"/>
    <mergeCell ref="UYE55:UYI55"/>
    <mergeCell ref="UYJ55:UYN55"/>
    <mergeCell ref="UYO55:UYS55"/>
    <mergeCell ref="UYT55:UYX55"/>
    <mergeCell ref="UYY55:UZC55"/>
    <mergeCell ref="UZD55:UZH55"/>
    <mergeCell ref="UXA55:UXE55"/>
    <mergeCell ref="UXF55:UXJ55"/>
    <mergeCell ref="UXK55:UXO55"/>
    <mergeCell ref="UXP55:UXT55"/>
    <mergeCell ref="UXU55:UXY55"/>
    <mergeCell ref="UXZ55:UYD55"/>
    <mergeCell ref="UVW55:UWA55"/>
    <mergeCell ref="UWB55:UWF55"/>
    <mergeCell ref="UWG55:UWK55"/>
    <mergeCell ref="UWL55:UWP55"/>
    <mergeCell ref="UWQ55:UWU55"/>
    <mergeCell ref="UWV55:UWZ55"/>
    <mergeCell ref="UUS55:UUW55"/>
    <mergeCell ref="UUX55:UVB55"/>
    <mergeCell ref="UVC55:UVG55"/>
    <mergeCell ref="UVH55:UVL55"/>
    <mergeCell ref="UVM55:UVQ55"/>
    <mergeCell ref="UVR55:UVV55"/>
    <mergeCell ref="UTO55:UTS55"/>
    <mergeCell ref="UTT55:UTX55"/>
    <mergeCell ref="UTY55:UUC55"/>
    <mergeCell ref="UUD55:UUH55"/>
    <mergeCell ref="UUI55:UUM55"/>
    <mergeCell ref="UUN55:UUR55"/>
    <mergeCell ref="USK55:USO55"/>
    <mergeCell ref="USP55:UST55"/>
    <mergeCell ref="USU55:USY55"/>
    <mergeCell ref="USZ55:UTD55"/>
    <mergeCell ref="UTE55:UTI55"/>
    <mergeCell ref="UTJ55:UTN55"/>
    <mergeCell ref="URG55:URK55"/>
    <mergeCell ref="URL55:URP55"/>
    <mergeCell ref="URQ55:URU55"/>
    <mergeCell ref="URV55:URZ55"/>
    <mergeCell ref="USA55:USE55"/>
    <mergeCell ref="USF55:USJ55"/>
    <mergeCell ref="UQC55:UQG55"/>
    <mergeCell ref="UQH55:UQL55"/>
    <mergeCell ref="UQM55:UQQ55"/>
    <mergeCell ref="UQR55:UQV55"/>
    <mergeCell ref="UQW55:URA55"/>
    <mergeCell ref="URB55:URF55"/>
    <mergeCell ref="UOY55:UPC55"/>
    <mergeCell ref="UPD55:UPH55"/>
    <mergeCell ref="UPI55:UPM55"/>
    <mergeCell ref="UPN55:UPR55"/>
    <mergeCell ref="UPS55:UPW55"/>
    <mergeCell ref="UPX55:UQB55"/>
    <mergeCell ref="UNU55:UNY55"/>
    <mergeCell ref="UNZ55:UOD55"/>
    <mergeCell ref="UOE55:UOI55"/>
    <mergeCell ref="UOJ55:UON55"/>
    <mergeCell ref="UOO55:UOS55"/>
    <mergeCell ref="UOT55:UOX55"/>
    <mergeCell ref="UMQ55:UMU55"/>
    <mergeCell ref="UMV55:UMZ55"/>
    <mergeCell ref="UNA55:UNE55"/>
    <mergeCell ref="UNF55:UNJ55"/>
    <mergeCell ref="UNK55:UNO55"/>
    <mergeCell ref="UNP55:UNT55"/>
    <mergeCell ref="ULM55:ULQ55"/>
    <mergeCell ref="ULR55:ULV55"/>
    <mergeCell ref="ULW55:UMA55"/>
    <mergeCell ref="UMB55:UMF55"/>
    <mergeCell ref="UMG55:UMK55"/>
    <mergeCell ref="UML55:UMP55"/>
    <mergeCell ref="UKI55:UKM55"/>
    <mergeCell ref="UKN55:UKR55"/>
    <mergeCell ref="UKS55:UKW55"/>
    <mergeCell ref="UKX55:ULB55"/>
    <mergeCell ref="ULC55:ULG55"/>
    <mergeCell ref="ULH55:ULL55"/>
    <mergeCell ref="UJE55:UJI55"/>
    <mergeCell ref="UJJ55:UJN55"/>
    <mergeCell ref="UJO55:UJS55"/>
    <mergeCell ref="UJT55:UJX55"/>
    <mergeCell ref="UJY55:UKC55"/>
    <mergeCell ref="UKD55:UKH55"/>
    <mergeCell ref="UIA55:UIE55"/>
    <mergeCell ref="UIF55:UIJ55"/>
    <mergeCell ref="UIK55:UIO55"/>
    <mergeCell ref="UIP55:UIT55"/>
    <mergeCell ref="UIU55:UIY55"/>
    <mergeCell ref="UIZ55:UJD55"/>
    <mergeCell ref="UGW55:UHA55"/>
    <mergeCell ref="UHB55:UHF55"/>
    <mergeCell ref="UHG55:UHK55"/>
    <mergeCell ref="UHL55:UHP55"/>
    <mergeCell ref="UHQ55:UHU55"/>
    <mergeCell ref="UHV55:UHZ55"/>
    <mergeCell ref="UFS55:UFW55"/>
    <mergeCell ref="UFX55:UGB55"/>
    <mergeCell ref="UGC55:UGG55"/>
    <mergeCell ref="UGH55:UGL55"/>
    <mergeCell ref="UGM55:UGQ55"/>
    <mergeCell ref="UGR55:UGV55"/>
    <mergeCell ref="UEO55:UES55"/>
    <mergeCell ref="UET55:UEX55"/>
    <mergeCell ref="UEY55:UFC55"/>
    <mergeCell ref="UFD55:UFH55"/>
    <mergeCell ref="UFI55:UFM55"/>
    <mergeCell ref="UFN55:UFR55"/>
    <mergeCell ref="UDK55:UDO55"/>
    <mergeCell ref="UDP55:UDT55"/>
    <mergeCell ref="UDU55:UDY55"/>
    <mergeCell ref="UDZ55:UED55"/>
    <mergeCell ref="UEE55:UEI55"/>
    <mergeCell ref="UEJ55:UEN55"/>
    <mergeCell ref="UCG55:UCK55"/>
    <mergeCell ref="UCL55:UCP55"/>
    <mergeCell ref="UCQ55:UCU55"/>
    <mergeCell ref="UCV55:UCZ55"/>
    <mergeCell ref="UDA55:UDE55"/>
    <mergeCell ref="UDF55:UDJ55"/>
    <mergeCell ref="UBC55:UBG55"/>
    <mergeCell ref="UBH55:UBL55"/>
    <mergeCell ref="UBM55:UBQ55"/>
    <mergeCell ref="UBR55:UBV55"/>
    <mergeCell ref="UBW55:UCA55"/>
    <mergeCell ref="UCB55:UCF55"/>
    <mergeCell ref="TZY55:UAC55"/>
    <mergeCell ref="UAD55:UAH55"/>
    <mergeCell ref="UAI55:UAM55"/>
    <mergeCell ref="UAN55:UAR55"/>
    <mergeCell ref="UAS55:UAW55"/>
    <mergeCell ref="UAX55:UBB55"/>
    <mergeCell ref="TYU55:TYY55"/>
    <mergeCell ref="TYZ55:TZD55"/>
    <mergeCell ref="TZE55:TZI55"/>
    <mergeCell ref="TZJ55:TZN55"/>
    <mergeCell ref="TZO55:TZS55"/>
    <mergeCell ref="TZT55:TZX55"/>
    <mergeCell ref="TXQ55:TXU55"/>
    <mergeCell ref="TXV55:TXZ55"/>
    <mergeCell ref="TYA55:TYE55"/>
    <mergeCell ref="TYF55:TYJ55"/>
    <mergeCell ref="TYK55:TYO55"/>
    <mergeCell ref="TYP55:TYT55"/>
    <mergeCell ref="TWM55:TWQ55"/>
    <mergeCell ref="TWR55:TWV55"/>
    <mergeCell ref="TWW55:TXA55"/>
    <mergeCell ref="TXB55:TXF55"/>
    <mergeCell ref="TXG55:TXK55"/>
    <mergeCell ref="TXL55:TXP55"/>
    <mergeCell ref="TVI55:TVM55"/>
    <mergeCell ref="TVN55:TVR55"/>
    <mergeCell ref="TVS55:TVW55"/>
    <mergeCell ref="TVX55:TWB55"/>
    <mergeCell ref="TWC55:TWG55"/>
    <mergeCell ref="TWH55:TWL55"/>
    <mergeCell ref="TUE55:TUI55"/>
    <mergeCell ref="TUJ55:TUN55"/>
    <mergeCell ref="TUO55:TUS55"/>
    <mergeCell ref="TUT55:TUX55"/>
    <mergeCell ref="TUY55:TVC55"/>
    <mergeCell ref="TVD55:TVH55"/>
    <mergeCell ref="TTA55:TTE55"/>
    <mergeCell ref="TTF55:TTJ55"/>
    <mergeCell ref="TTK55:TTO55"/>
    <mergeCell ref="TTP55:TTT55"/>
    <mergeCell ref="TTU55:TTY55"/>
    <mergeCell ref="TTZ55:TUD55"/>
    <mergeCell ref="TRW55:TSA55"/>
    <mergeCell ref="TSB55:TSF55"/>
    <mergeCell ref="TSG55:TSK55"/>
    <mergeCell ref="TSL55:TSP55"/>
    <mergeCell ref="TSQ55:TSU55"/>
    <mergeCell ref="TSV55:TSZ55"/>
    <mergeCell ref="TQS55:TQW55"/>
    <mergeCell ref="TQX55:TRB55"/>
    <mergeCell ref="TRC55:TRG55"/>
    <mergeCell ref="TRH55:TRL55"/>
    <mergeCell ref="TRM55:TRQ55"/>
    <mergeCell ref="TRR55:TRV55"/>
    <mergeCell ref="TPO55:TPS55"/>
    <mergeCell ref="TPT55:TPX55"/>
    <mergeCell ref="TPY55:TQC55"/>
    <mergeCell ref="TQD55:TQH55"/>
    <mergeCell ref="TQI55:TQM55"/>
    <mergeCell ref="TQN55:TQR55"/>
    <mergeCell ref="TOK55:TOO55"/>
    <mergeCell ref="TOP55:TOT55"/>
    <mergeCell ref="TOU55:TOY55"/>
    <mergeCell ref="TOZ55:TPD55"/>
    <mergeCell ref="TPE55:TPI55"/>
    <mergeCell ref="TPJ55:TPN55"/>
    <mergeCell ref="TNG55:TNK55"/>
    <mergeCell ref="TNL55:TNP55"/>
    <mergeCell ref="TNQ55:TNU55"/>
    <mergeCell ref="TNV55:TNZ55"/>
    <mergeCell ref="TOA55:TOE55"/>
    <mergeCell ref="TOF55:TOJ55"/>
    <mergeCell ref="TMC55:TMG55"/>
    <mergeCell ref="TMH55:TML55"/>
    <mergeCell ref="TMM55:TMQ55"/>
    <mergeCell ref="TMR55:TMV55"/>
    <mergeCell ref="TMW55:TNA55"/>
    <mergeCell ref="TNB55:TNF55"/>
    <mergeCell ref="TKY55:TLC55"/>
    <mergeCell ref="TLD55:TLH55"/>
    <mergeCell ref="TLI55:TLM55"/>
    <mergeCell ref="TLN55:TLR55"/>
    <mergeCell ref="TLS55:TLW55"/>
    <mergeCell ref="TLX55:TMB55"/>
    <mergeCell ref="TJU55:TJY55"/>
    <mergeCell ref="TJZ55:TKD55"/>
    <mergeCell ref="TKE55:TKI55"/>
    <mergeCell ref="TKJ55:TKN55"/>
    <mergeCell ref="TKO55:TKS55"/>
    <mergeCell ref="TKT55:TKX55"/>
    <mergeCell ref="TIQ55:TIU55"/>
    <mergeCell ref="TIV55:TIZ55"/>
    <mergeCell ref="TJA55:TJE55"/>
    <mergeCell ref="TJF55:TJJ55"/>
    <mergeCell ref="TJK55:TJO55"/>
    <mergeCell ref="TJP55:TJT55"/>
    <mergeCell ref="THM55:THQ55"/>
    <mergeCell ref="THR55:THV55"/>
    <mergeCell ref="THW55:TIA55"/>
    <mergeCell ref="TIB55:TIF55"/>
    <mergeCell ref="TIG55:TIK55"/>
    <mergeCell ref="TIL55:TIP55"/>
    <mergeCell ref="TGI55:TGM55"/>
    <mergeCell ref="TGN55:TGR55"/>
    <mergeCell ref="TGS55:TGW55"/>
    <mergeCell ref="TGX55:THB55"/>
    <mergeCell ref="THC55:THG55"/>
    <mergeCell ref="THH55:THL55"/>
    <mergeCell ref="TFE55:TFI55"/>
    <mergeCell ref="TFJ55:TFN55"/>
    <mergeCell ref="TFO55:TFS55"/>
    <mergeCell ref="TFT55:TFX55"/>
    <mergeCell ref="TFY55:TGC55"/>
    <mergeCell ref="TGD55:TGH55"/>
    <mergeCell ref="TEA55:TEE55"/>
    <mergeCell ref="TEF55:TEJ55"/>
    <mergeCell ref="TEK55:TEO55"/>
    <mergeCell ref="TEP55:TET55"/>
    <mergeCell ref="TEU55:TEY55"/>
    <mergeCell ref="TEZ55:TFD55"/>
    <mergeCell ref="TCW55:TDA55"/>
    <mergeCell ref="TDB55:TDF55"/>
    <mergeCell ref="TDG55:TDK55"/>
    <mergeCell ref="TDL55:TDP55"/>
    <mergeCell ref="TDQ55:TDU55"/>
    <mergeCell ref="TDV55:TDZ55"/>
    <mergeCell ref="TBS55:TBW55"/>
    <mergeCell ref="TBX55:TCB55"/>
    <mergeCell ref="TCC55:TCG55"/>
    <mergeCell ref="TCH55:TCL55"/>
    <mergeCell ref="TCM55:TCQ55"/>
    <mergeCell ref="TCR55:TCV55"/>
    <mergeCell ref="TAO55:TAS55"/>
    <mergeCell ref="TAT55:TAX55"/>
    <mergeCell ref="TAY55:TBC55"/>
    <mergeCell ref="TBD55:TBH55"/>
    <mergeCell ref="TBI55:TBM55"/>
    <mergeCell ref="TBN55:TBR55"/>
    <mergeCell ref="SZK55:SZO55"/>
    <mergeCell ref="SZP55:SZT55"/>
    <mergeCell ref="SZU55:SZY55"/>
    <mergeCell ref="SZZ55:TAD55"/>
    <mergeCell ref="TAE55:TAI55"/>
    <mergeCell ref="TAJ55:TAN55"/>
    <mergeCell ref="SYG55:SYK55"/>
    <mergeCell ref="SYL55:SYP55"/>
    <mergeCell ref="SYQ55:SYU55"/>
    <mergeCell ref="SYV55:SYZ55"/>
    <mergeCell ref="SZA55:SZE55"/>
    <mergeCell ref="SZF55:SZJ55"/>
    <mergeCell ref="SXC55:SXG55"/>
    <mergeCell ref="SXH55:SXL55"/>
    <mergeCell ref="SXM55:SXQ55"/>
    <mergeCell ref="SXR55:SXV55"/>
    <mergeCell ref="SXW55:SYA55"/>
    <mergeCell ref="SYB55:SYF55"/>
    <mergeCell ref="SVY55:SWC55"/>
    <mergeCell ref="SWD55:SWH55"/>
    <mergeCell ref="SWI55:SWM55"/>
    <mergeCell ref="SWN55:SWR55"/>
    <mergeCell ref="SWS55:SWW55"/>
    <mergeCell ref="SWX55:SXB55"/>
    <mergeCell ref="SUU55:SUY55"/>
    <mergeCell ref="SUZ55:SVD55"/>
    <mergeCell ref="SVE55:SVI55"/>
    <mergeCell ref="SVJ55:SVN55"/>
    <mergeCell ref="SVO55:SVS55"/>
    <mergeCell ref="SVT55:SVX55"/>
    <mergeCell ref="STQ55:STU55"/>
    <mergeCell ref="STV55:STZ55"/>
    <mergeCell ref="SUA55:SUE55"/>
    <mergeCell ref="SUF55:SUJ55"/>
    <mergeCell ref="SUK55:SUO55"/>
    <mergeCell ref="SUP55:SUT55"/>
    <mergeCell ref="SSM55:SSQ55"/>
    <mergeCell ref="SSR55:SSV55"/>
    <mergeCell ref="SSW55:STA55"/>
    <mergeCell ref="STB55:STF55"/>
    <mergeCell ref="STG55:STK55"/>
    <mergeCell ref="STL55:STP55"/>
    <mergeCell ref="SRI55:SRM55"/>
    <mergeCell ref="SRN55:SRR55"/>
    <mergeCell ref="SRS55:SRW55"/>
    <mergeCell ref="SRX55:SSB55"/>
    <mergeCell ref="SSC55:SSG55"/>
    <mergeCell ref="SSH55:SSL55"/>
    <mergeCell ref="SQE55:SQI55"/>
    <mergeCell ref="SQJ55:SQN55"/>
    <mergeCell ref="SQO55:SQS55"/>
    <mergeCell ref="SQT55:SQX55"/>
    <mergeCell ref="SQY55:SRC55"/>
    <mergeCell ref="SRD55:SRH55"/>
    <mergeCell ref="SPA55:SPE55"/>
    <mergeCell ref="SPF55:SPJ55"/>
    <mergeCell ref="SPK55:SPO55"/>
    <mergeCell ref="SPP55:SPT55"/>
    <mergeCell ref="SPU55:SPY55"/>
    <mergeCell ref="SPZ55:SQD55"/>
    <mergeCell ref="SNW55:SOA55"/>
    <mergeCell ref="SOB55:SOF55"/>
    <mergeCell ref="SOG55:SOK55"/>
    <mergeCell ref="SOL55:SOP55"/>
    <mergeCell ref="SOQ55:SOU55"/>
    <mergeCell ref="SOV55:SOZ55"/>
    <mergeCell ref="SMS55:SMW55"/>
    <mergeCell ref="SMX55:SNB55"/>
    <mergeCell ref="SNC55:SNG55"/>
    <mergeCell ref="SNH55:SNL55"/>
    <mergeCell ref="SNM55:SNQ55"/>
    <mergeCell ref="SNR55:SNV55"/>
    <mergeCell ref="SLO55:SLS55"/>
    <mergeCell ref="SLT55:SLX55"/>
    <mergeCell ref="SLY55:SMC55"/>
    <mergeCell ref="SMD55:SMH55"/>
    <mergeCell ref="SMI55:SMM55"/>
    <mergeCell ref="SMN55:SMR55"/>
    <mergeCell ref="SKK55:SKO55"/>
    <mergeCell ref="SKP55:SKT55"/>
    <mergeCell ref="SKU55:SKY55"/>
    <mergeCell ref="SKZ55:SLD55"/>
    <mergeCell ref="SLE55:SLI55"/>
    <mergeCell ref="SLJ55:SLN55"/>
    <mergeCell ref="SJG55:SJK55"/>
    <mergeCell ref="SJL55:SJP55"/>
    <mergeCell ref="SJQ55:SJU55"/>
    <mergeCell ref="SJV55:SJZ55"/>
    <mergeCell ref="SKA55:SKE55"/>
    <mergeCell ref="SKF55:SKJ55"/>
    <mergeCell ref="SIC55:SIG55"/>
    <mergeCell ref="SIH55:SIL55"/>
    <mergeCell ref="SIM55:SIQ55"/>
    <mergeCell ref="SIR55:SIV55"/>
    <mergeCell ref="SIW55:SJA55"/>
    <mergeCell ref="SJB55:SJF55"/>
    <mergeCell ref="SGY55:SHC55"/>
    <mergeCell ref="SHD55:SHH55"/>
    <mergeCell ref="SHI55:SHM55"/>
    <mergeCell ref="SHN55:SHR55"/>
    <mergeCell ref="SHS55:SHW55"/>
    <mergeCell ref="SHX55:SIB55"/>
    <mergeCell ref="SFU55:SFY55"/>
    <mergeCell ref="SFZ55:SGD55"/>
    <mergeCell ref="SGE55:SGI55"/>
    <mergeCell ref="SGJ55:SGN55"/>
    <mergeCell ref="SGO55:SGS55"/>
    <mergeCell ref="SGT55:SGX55"/>
    <mergeCell ref="SEQ55:SEU55"/>
    <mergeCell ref="SEV55:SEZ55"/>
    <mergeCell ref="SFA55:SFE55"/>
    <mergeCell ref="SFF55:SFJ55"/>
    <mergeCell ref="SFK55:SFO55"/>
    <mergeCell ref="SFP55:SFT55"/>
    <mergeCell ref="SDM55:SDQ55"/>
    <mergeCell ref="SDR55:SDV55"/>
    <mergeCell ref="SDW55:SEA55"/>
    <mergeCell ref="SEB55:SEF55"/>
    <mergeCell ref="SEG55:SEK55"/>
    <mergeCell ref="SEL55:SEP55"/>
    <mergeCell ref="SCI55:SCM55"/>
    <mergeCell ref="SCN55:SCR55"/>
    <mergeCell ref="SCS55:SCW55"/>
    <mergeCell ref="SCX55:SDB55"/>
    <mergeCell ref="SDC55:SDG55"/>
    <mergeCell ref="SDH55:SDL55"/>
    <mergeCell ref="SBE55:SBI55"/>
    <mergeCell ref="SBJ55:SBN55"/>
    <mergeCell ref="SBO55:SBS55"/>
    <mergeCell ref="SBT55:SBX55"/>
    <mergeCell ref="SBY55:SCC55"/>
    <mergeCell ref="SCD55:SCH55"/>
    <mergeCell ref="SAA55:SAE55"/>
    <mergeCell ref="SAF55:SAJ55"/>
    <mergeCell ref="SAK55:SAO55"/>
    <mergeCell ref="SAP55:SAT55"/>
    <mergeCell ref="SAU55:SAY55"/>
    <mergeCell ref="SAZ55:SBD55"/>
    <mergeCell ref="RYW55:RZA55"/>
    <mergeCell ref="RZB55:RZF55"/>
    <mergeCell ref="RZG55:RZK55"/>
    <mergeCell ref="RZL55:RZP55"/>
    <mergeCell ref="RZQ55:RZU55"/>
    <mergeCell ref="RZV55:RZZ55"/>
    <mergeCell ref="RXS55:RXW55"/>
    <mergeCell ref="RXX55:RYB55"/>
    <mergeCell ref="RYC55:RYG55"/>
    <mergeCell ref="RYH55:RYL55"/>
    <mergeCell ref="RYM55:RYQ55"/>
    <mergeCell ref="RYR55:RYV55"/>
    <mergeCell ref="RWO55:RWS55"/>
    <mergeCell ref="RWT55:RWX55"/>
    <mergeCell ref="RWY55:RXC55"/>
    <mergeCell ref="RXD55:RXH55"/>
    <mergeCell ref="RXI55:RXM55"/>
    <mergeCell ref="RXN55:RXR55"/>
    <mergeCell ref="RVK55:RVO55"/>
    <mergeCell ref="RVP55:RVT55"/>
    <mergeCell ref="RVU55:RVY55"/>
    <mergeCell ref="RVZ55:RWD55"/>
    <mergeCell ref="RWE55:RWI55"/>
    <mergeCell ref="RWJ55:RWN55"/>
    <mergeCell ref="RUG55:RUK55"/>
    <mergeCell ref="RUL55:RUP55"/>
    <mergeCell ref="RUQ55:RUU55"/>
    <mergeCell ref="RUV55:RUZ55"/>
    <mergeCell ref="RVA55:RVE55"/>
    <mergeCell ref="RVF55:RVJ55"/>
    <mergeCell ref="RTC55:RTG55"/>
    <mergeCell ref="RTH55:RTL55"/>
    <mergeCell ref="RTM55:RTQ55"/>
    <mergeCell ref="RTR55:RTV55"/>
    <mergeCell ref="RTW55:RUA55"/>
    <mergeCell ref="RUB55:RUF55"/>
    <mergeCell ref="RRY55:RSC55"/>
    <mergeCell ref="RSD55:RSH55"/>
    <mergeCell ref="RSI55:RSM55"/>
    <mergeCell ref="RSN55:RSR55"/>
    <mergeCell ref="RSS55:RSW55"/>
    <mergeCell ref="RSX55:RTB55"/>
    <mergeCell ref="RQU55:RQY55"/>
    <mergeCell ref="RQZ55:RRD55"/>
    <mergeCell ref="RRE55:RRI55"/>
    <mergeCell ref="RRJ55:RRN55"/>
    <mergeCell ref="RRO55:RRS55"/>
    <mergeCell ref="RRT55:RRX55"/>
    <mergeCell ref="RPQ55:RPU55"/>
    <mergeCell ref="RPV55:RPZ55"/>
    <mergeCell ref="RQA55:RQE55"/>
    <mergeCell ref="RQF55:RQJ55"/>
    <mergeCell ref="RQK55:RQO55"/>
    <mergeCell ref="RQP55:RQT55"/>
    <mergeCell ref="ROM55:ROQ55"/>
    <mergeCell ref="ROR55:ROV55"/>
    <mergeCell ref="ROW55:RPA55"/>
    <mergeCell ref="RPB55:RPF55"/>
    <mergeCell ref="RPG55:RPK55"/>
    <mergeCell ref="RPL55:RPP55"/>
    <mergeCell ref="RNI55:RNM55"/>
    <mergeCell ref="RNN55:RNR55"/>
    <mergeCell ref="RNS55:RNW55"/>
    <mergeCell ref="RNX55:ROB55"/>
    <mergeCell ref="ROC55:ROG55"/>
    <mergeCell ref="ROH55:ROL55"/>
    <mergeCell ref="RME55:RMI55"/>
    <mergeCell ref="RMJ55:RMN55"/>
    <mergeCell ref="RMO55:RMS55"/>
    <mergeCell ref="RMT55:RMX55"/>
    <mergeCell ref="RMY55:RNC55"/>
    <mergeCell ref="RND55:RNH55"/>
    <mergeCell ref="RLA55:RLE55"/>
    <mergeCell ref="RLF55:RLJ55"/>
    <mergeCell ref="RLK55:RLO55"/>
    <mergeCell ref="RLP55:RLT55"/>
    <mergeCell ref="RLU55:RLY55"/>
    <mergeCell ref="RLZ55:RMD55"/>
    <mergeCell ref="RJW55:RKA55"/>
    <mergeCell ref="RKB55:RKF55"/>
    <mergeCell ref="RKG55:RKK55"/>
    <mergeCell ref="RKL55:RKP55"/>
    <mergeCell ref="RKQ55:RKU55"/>
    <mergeCell ref="RKV55:RKZ55"/>
    <mergeCell ref="RIS55:RIW55"/>
    <mergeCell ref="RIX55:RJB55"/>
    <mergeCell ref="RJC55:RJG55"/>
    <mergeCell ref="RJH55:RJL55"/>
    <mergeCell ref="RJM55:RJQ55"/>
    <mergeCell ref="RJR55:RJV55"/>
    <mergeCell ref="RHO55:RHS55"/>
    <mergeCell ref="RHT55:RHX55"/>
    <mergeCell ref="RHY55:RIC55"/>
    <mergeCell ref="RID55:RIH55"/>
    <mergeCell ref="RII55:RIM55"/>
    <mergeCell ref="RIN55:RIR55"/>
    <mergeCell ref="RGK55:RGO55"/>
    <mergeCell ref="RGP55:RGT55"/>
    <mergeCell ref="RGU55:RGY55"/>
    <mergeCell ref="RGZ55:RHD55"/>
    <mergeCell ref="RHE55:RHI55"/>
    <mergeCell ref="RHJ55:RHN55"/>
    <mergeCell ref="RFG55:RFK55"/>
    <mergeCell ref="RFL55:RFP55"/>
    <mergeCell ref="RFQ55:RFU55"/>
    <mergeCell ref="RFV55:RFZ55"/>
    <mergeCell ref="RGA55:RGE55"/>
    <mergeCell ref="RGF55:RGJ55"/>
    <mergeCell ref="REC55:REG55"/>
    <mergeCell ref="REH55:REL55"/>
    <mergeCell ref="REM55:REQ55"/>
    <mergeCell ref="RER55:REV55"/>
    <mergeCell ref="REW55:RFA55"/>
    <mergeCell ref="RFB55:RFF55"/>
    <mergeCell ref="RCY55:RDC55"/>
    <mergeCell ref="RDD55:RDH55"/>
    <mergeCell ref="RDI55:RDM55"/>
    <mergeCell ref="RDN55:RDR55"/>
    <mergeCell ref="RDS55:RDW55"/>
    <mergeCell ref="RDX55:REB55"/>
    <mergeCell ref="RBU55:RBY55"/>
    <mergeCell ref="RBZ55:RCD55"/>
    <mergeCell ref="RCE55:RCI55"/>
    <mergeCell ref="RCJ55:RCN55"/>
    <mergeCell ref="RCO55:RCS55"/>
    <mergeCell ref="RCT55:RCX55"/>
    <mergeCell ref="RAQ55:RAU55"/>
    <mergeCell ref="RAV55:RAZ55"/>
    <mergeCell ref="RBA55:RBE55"/>
    <mergeCell ref="RBF55:RBJ55"/>
    <mergeCell ref="RBK55:RBO55"/>
    <mergeCell ref="RBP55:RBT55"/>
    <mergeCell ref="QZM55:QZQ55"/>
    <mergeCell ref="QZR55:QZV55"/>
    <mergeCell ref="QZW55:RAA55"/>
    <mergeCell ref="RAB55:RAF55"/>
    <mergeCell ref="RAG55:RAK55"/>
    <mergeCell ref="RAL55:RAP55"/>
    <mergeCell ref="QYI55:QYM55"/>
    <mergeCell ref="QYN55:QYR55"/>
    <mergeCell ref="QYS55:QYW55"/>
    <mergeCell ref="QYX55:QZB55"/>
    <mergeCell ref="QZC55:QZG55"/>
    <mergeCell ref="QZH55:QZL55"/>
    <mergeCell ref="QXE55:QXI55"/>
    <mergeCell ref="QXJ55:QXN55"/>
    <mergeCell ref="QXO55:QXS55"/>
    <mergeCell ref="QXT55:QXX55"/>
    <mergeCell ref="QXY55:QYC55"/>
    <mergeCell ref="QYD55:QYH55"/>
    <mergeCell ref="QWA55:QWE55"/>
    <mergeCell ref="QWF55:QWJ55"/>
    <mergeCell ref="QWK55:QWO55"/>
    <mergeCell ref="QWP55:QWT55"/>
    <mergeCell ref="QWU55:QWY55"/>
    <mergeCell ref="QWZ55:QXD55"/>
    <mergeCell ref="QUW55:QVA55"/>
    <mergeCell ref="QVB55:QVF55"/>
    <mergeCell ref="QVG55:QVK55"/>
    <mergeCell ref="QVL55:QVP55"/>
    <mergeCell ref="QVQ55:QVU55"/>
    <mergeCell ref="QVV55:QVZ55"/>
    <mergeCell ref="QTS55:QTW55"/>
    <mergeCell ref="QTX55:QUB55"/>
    <mergeCell ref="QUC55:QUG55"/>
    <mergeCell ref="QUH55:QUL55"/>
    <mergeCell ref="QUM55:QUQ55"/>
    <mergeCell ref="QUR55:QUV55"/>
    <mergeCell ref="QSO55:QSS55"/>
    <mergeCell ref="QST55:QSX55"/>
    <mergeCell ref="QSY55:QTC55"/>
    <mergeCell ref="QTD55:QTH55"/>
    <mergeCell ref="QTI55:QTM55"/>
    <mergeCell ref="QTN55:QTR55"/>
    <mergeCell ref="QRK55:QRO55"/>
    <mergeCell ref="QRP55:QRT55"/>
    <mergeCell ref="QRU55:QRY55"/>
    <mergeCell ref="QRZ55:QSD55"/>
    <mergeCell ref="QSE55:QSI55"/>
    <mergeCell ref="QSJ55:QSN55"/>
    <mergeCell ref="QQG55:QQK55"/>
    <mergeCell ref="QQL55:QQP55"/>
    <mergeCell ref="QQQ55:QQU55"/>
    <mergeCell ref="QQV55:QQZ55"/>
    <mergeCell ref="QRA55:QRE55"/>
    <mergeCell ref="QRF55:QRJ55"/>
    <mergeCell ref="QPC55:QPG55"/>
    <mergeCell ref="QPH55:QPL55"/>
    <mergeCell ref="QPM55:QPQ55"/>
    <mergeCell ref="QPR55:QPV55"/>
    <mergeCell ref="QPW55:QQA55"/>
    <mergeCell ref="QQB55:QQF55"/>
    <mergeCell ref="QNY55:QOC55"/>
    <mergeCell ref="QOD55:QOH55"/>
    <mergeCell ref="QOI55:QOM55"/>
    <mergeCell ref="QON55:QOR55"/>
    <mergeCell ref="QOS55:QOW55"/>
    <mergeCell ref="QOX55:QPB55"/>
    <mergeCell ref="QMU55:QMY55"/>
    <mergeCell ref="QMZ55:QND55"/>
    <mergeCell ref="QNE55:QNI55"/>
    <mergeCell ref="QNJ55:QNN55"/>
    <mergeCell ref="QNO55:QNS55"/>
    <mergeCell ref="QNT55:QNX55"/>
    <mergeCell ref="QLQ55:QLU55"/>
    <mergeCell ref="QLV55:QLZ55"/>
    <mergeCell ref="QMA55:QME55"/>
    <mergeCell ref="QMF55:QMJ55"/>
    <mergeCell ref="QMK55:QMO55"/>
    <mergeCell ref="QMP55:QMT55"/>
    <mergeCell ref="QKM55:QKQ55"/>
    <mergeCell ref="QKR55:QKV55"/>
    <mergeCell ref="QKW55:QLA55"/>
    <mergeCell ref="QLB55:QLF55"/>
    <mergeCell ref="QLG55:QLK55"/>
    <mergeCell ref="QLL55:QLP55"/>
    <mergeCell ref="QJI55:QJM55"/>
    <mergeCell ref="QJN55:QJR55"/>
    <mergeCell ref="QJS55:QJW55"/>
    <mergeCell ref="QJX55:QKB55"/>
    <mergeCell ref="QKC55:QKG55"/>
    <mergeCell ref="QKH55:QKL55"/>
    <mergeCell ref="QIE55:QII55"/>
    <mergeCell ref="QIJ55:QIN55"/>
    <mergeCell ref="QIO55:QIS55"/>
    <mergeCell ref="QIT55:QIX55"/>
    <mergeCell ref="QIY55:QJC55"/>
    <mergeCell ref="QJD55:QJH55"/>
    <mergeCell ref="QHA55:QHE55"/>
    <mergeCell ref="QHF55:QHJ55"/>
    <mergeCell ref="QHK55:QHO55"/>
    <mergeCell ref="QHP55:QHT55"/>
    <mergeCell ref="QHU55:QHY55"/>
    <mergeCell ref="QHZ55:QID55"/>
    <mergeCell ref="QFW55:QGA55"/>
    <mergeCell ref="QGB55:QGF55"/>
    <mergeCell ref="QGG55:QGK55"/>
    <mergeCell ref="QGL55:QGP55"/>
    <mergeCell ref="QGQ55:QGU55"/>
    <mergeCell ref="QGV55:QGZ55"/>
    <mergeCell ref="QES55:QEW55"/>
    <mergeCell ref="QEX55:QFB55"/>
    <mergeCell ref="QFC55:QFG55"/>
    <mergeCell ref="QFH55:QFL55"/>
    <mergeCell ref="QFM55:QFQ55"/>
    <mergeCell ref="QFR55:QFV55"/>
    <mergeCell ref="QDO55:QDS55"/>
    <mergeCell ref="QDT55:QDX55"/>
    <mergeCell ref="QDY55:QEC55"/>
    <mergeCell ref="QED55:QEH55"/>
    <mergeCell ref="QEI55:QEM55"/>
    <mergeCell ref="QEN55:QER55"/>
    <mergeCell ref="QCK55:QCO55"/>
    <mergeCell ref="QCP55:QCT55"/>
    <mergeCell ref="QCU55:QCY55"/>
    <mergeCell ref="QCZ55:QDD55"/>
    <mergeCell ref="QDE55:QDI55"/>
    <mergeCell ref="QDJ55:QDN55"/>
    <mergeCell ref="QBG55:QBK55"/>
    <mergeCell ref="QBL55:QBP55"/>
    <mergeCell ref="QBQ55:QBU55"/>
    <mergeCell ref="QBV55:QBZ55"/>
    <mergeCell ref="QCA55:QCE55"/>
    <mergeCell ref="QCF55:QCJ55"/>
    <mergeCell ref="QAC55:QAG55"/>
    <mergeCell ref="QAH55:QAL55"/>
    <mergeCell ref="QAM55:QAQ55"/>
    <mergeCell ref="QAR55:QAV55"/>
    <mergeCell ref="QAW55:QBA55"/>
    <mergeCell ref="QBB55:QBF55"/>
    <mergeCell ref="PYY55:PZC55"/>
    <mergeCell ref="PZD55:PZH55"/>
    <mergeCell ref="PZI55:PZM55"/>
    <mergeCell ref="PZN55:PZR55"/>
    <mergeCell ref="PZS55:PZW55"/>
    <mergeCell ref="PZX55:QAB55"/>
    <mergeCell ref="PXU55:PXY55"/>
    <mergeCell ref="PXZ55:PYD55"/>
    <mergeCell ref="PYE55:PYI55"/>
    <mergeCell ref="PYJ55:PYN55"/>
    <mergeCell ref="PYO55:PYS55"/>
    <mergeCell ref="PYT55:PYX55"/>
    <mergeCell ref="PWQ55:PWU55"/>
    <mergeCell ref="PWV55:PWZ55"/>
    <mergeCell ref="PXA55:PXE55"/>
    <mergeCell ref="PXF55:PXJ55"/>
    <mergeCell ref="PXK55:PXO55"/>
    <mergeCell ref="PXP55:PXT55"/>
    <mergeCell ref="PVM55:PVQ55"/>
    <mergeCell ref="PVR55:PVV55"/>
    <mergeCell ref="PVW55:PWA55"/>
    <mergeCell ref="PWB55:PWF55"/>
    <mergeCell ref="PWG55:PWK55"/>
    <mergeCell ref="PWL55:PWP55"/>
    <mergeCell ref="PUI55:PUM55"/>
    <mergeCell ref="PUN55:PUR55"/>
    <mergeCell ref="PUS55:PUW55"/>
    <mergeCell ref="PUX55:PVB55"/>
    <mergeCell ref="PVC55:PVG55"/>
    <mergeCell ref="PVH55:PVL55"/>
    <mergeCell ref="PTE55:PTI55"/>
    <mergeCell ref="PTJ55:PTN55"/>
    <mergeCell ref="PTO55:PTS55"/>
    <mergeCell ref="PTT55:PTX55"/>
    <mergeCell ref="PTY55:PUC55"/>
    <mergeCell ref="PUD55:PUH55"/>
    <mergeCell ref="PSA55:PSE55"/>
    <mergeCell ref="PSF55:PSJ55"/>
    <mergeCell ref="PSK55:PSO55"/>
    <mergeCell ref="PSP55:PST55"/>
    <mergeCell ref="PSU55:PSY55"/>
    <mergeCell ref="PSZ55:PTD55"/>
    <mergeCell ref="PQW55:PRA55"/>
    <mergeCell ref="PRB55:PRF55"/>
    <mergeCell ref="PRG55:PRK55"/>
    <mergeCell ref="PRL55:PRP55"/>
    <mergeCell ref="PRQ55:PRU55"/>
    <mergeCell ref="PRV55:PRZ55"/>
    <mergeCell ref="PPS55:PPW55"/>
    <mergeCell ref="PPX55:PQB55"/>
    <mergeCell ref="PQC55:PQG55"/>
    <mergeCell ref="PQH55:PQL55"/>
    <mergeCell ref="PQM55:PQQ55"/>
    <mergeCell ref="PQR55:PQV55"/>
    <mergeCell ref="POO55:POS55"/>
    <mergeCell ref="POT55:POX55"/>
    <mergeCell ref="POY55:PPC55"/>
    <mergeCell ref="PPD55:PPH55"/>
    <mergeCell ref="PPI55:PPM55"/>
    <mergeCell ref="PPN55:PPR55"/>
    <mergeCell ref="PNK55:PNO55"/>
    <mergeCell ref="PNP55:PNT55"/>
    <mergeCell ref="PNU55:PNY55"/>
    <mergeCell ref="PNZ55:POD55"/>
    <mergeCell ref="POE55:POI55"/>
    <mergeCell ref="POJ55:PON55"/>
    <mergeCell ref="PMG55:PMK55"/>
    <mergeCell ref="PML55:PMP55"/>
    <mergeCell ref="PMQ55:PMU55"/>
    <mergeCell ref="PMV55:PMZ55"/>
    <mergeCell ref="PNA55:PNE55"/>
    <mergeCell ref="PNF55:PNJ55"/>
    <mergeCell ref="PLC55:PLG55"/>
    <mergeCell ref="PLH55:PLL55"/>
    <mergeCell ref="PLM55:PLQ55"/>
    <mergeCell ref="PLR55:PLV55"/>
    <mergeCell ref="PLW55:PMA55"/>
    <mergeCell ref="PMB55:PMF55"/>
    <mergeCell ref="PJY55:PKC55"/>
    <mergeCell ref="PKD55:PKH55"/>
    <mergeCell ref="PKI55:PKM55"/>
    <mergeCell ref="PKN55:PKR55"/>
    <mergeCell ref="PKS55:PKW55"/>
    <mergeCell ref="PKX55:PLB55"/>
    <mergeCell ref="PIU55:PIY55"/>
    <mergeCell ref="PIZ55:PJD55"/>
    <mergeCell ref="PJE55:PJI55"/>
    <mergeCell ref="PJJ55:PJN55"/>
    <mergeCell ref="PJO55:PJS55"/>
    <mergeCell ref="PJT55:PJX55"/>
    <mergeCell ref="PHQ55:PHU55"/>
    <mergeCell ref="PHV55:PHZ55"/>
    <mergeCell ref="PIA55:PIE55"/>
    <mergeCell ref="PIF55:PIJ55"/>
    <mergeCell ref="PIK55:PIO55"/>
    <mergeCell ref="PIP55:PIT55"/>
    <mergeCell ref="PGM55:PGQ55"/>
    <mergeCell ref="PGR55:PGV55"/>
    <mergeCell ref="PGW55:PHA55"/>
    <mergeCell ref="PHB55:PHF55"/>
    <mergeCell ref="PHG55:PHK55"/>
    <mergeCell ref="PHL55:PHP55"/>
    <mergeCell ref="PFI55:PFM55"/>
    <mergeCell ref="PFN55:PFR55"/>
    <mergeCell ref="PFS55:PFW55"/>
    <mergeCell ref="PFX55:PGB55"/>
    <mergeCell ref="PGC55:PGG55"/>
    <mergeCell ref="PGH55:PGL55"/>
    <mergeCell ref="PEE55:PEI55"/>
    <mergeCell ref="PEJ55:PEN55"/>
    <mergeCell ref="PEO55:PES55"/>
    <mergeCell ref="PET55:PEX55"/>
    <mergeCell ref="PEY55:PFC55"/>
    <mergeCell ref="PFD55:PFH55"/>
    <mergeCell ref="PDA55:PDE55"/>
    <mergeCell ref="PDF55:PDJ55"/>
    <mergeCell ref="PDK55:PDO55"/>
    <mergeCell ref="PDP55:PDT55"/>
    <mergeCell ref="PDU55:PDY55"/>
    <mergeCell ref="PDZ55:PED55"/>
    <mergeCell ref="PBW55:PCA55"/>
    <mergeCell ref="PCB55:PCF55"/>
    <mergeCell ref="PCG55:PCK55"/>
    <mergeCell ref="PCL55:PCP55"/>
    <mergeCell ref="PCQ55:PCU55"/>
    <mergeCell ref="PCV55:PCZ55"/>
    <mergeCell ref="PAS55:PAW55"/>
    <mergeCell ref="PAX55:PBB55"/>
    <mergeCell ref="PBC55:PBG55"/>
    <mergeCell ref="PBH55:PBL55"/>
    <mergeCell ref="PBM55:PBQ55"/>
    <mergeCell ref="PBR55:PBV55"/>
    <mergeCell ref="OZO55:OZS55"/>
    <mergeCell ref="OZT55:OZX55"/>
    <mergeCell ref="OZY55:PAC55"/>
    <mergeCell ref="PAD55:PAH55"/>
    <mergeCell ref="PAI55:PAM55"/>
    <mergeCell ref="PAN55:PAR55"/>
    <mergeCell ref="OYK55:OYO55"/>
    <mergeCell ref="OYP55:OYT55"/>
    <mergeCell ref="OYU55:OYY55"/>
    <mergeCell ref="OYZ55:OZD55"/>
    <mergeCell ref="OZE55:OZI55"/>
    <mergeCell ref="OZJ55:OZN55"/>
    <mergeCell ref="OXG55:OXK55"/>
    <mergeCell ref="OXL55:OXP55"/>
    <mergeCell ref="OXQ55:OXU55"/>
    <mergeCell ref="OXV55:OXZ55"/>
    <mergeCell ref="OYA55:OYE55"/>
    <mergeCell ref="OYF55:OYJ55"/>
    <mergeCell ref="OWC55:OWG55"/>
    <mergeCell ref="OWH55:OWL55"/>
    <mergeCell ref="OWM55:OWQ55"/>
    <mergeCell ref="OWR55:OWV55"/>
    <mergeCell ref="OWW55:OXA55"/>
    <mergeCell ref="OXB55:OXF55"/>
    <mergeCell ref="OUY55:OVC55"/>
    <mergeCell ref="OVD55:OVH55"/>
    <mergeCell ref="OVI55:OVM55"/>
    <mergeCell ref="OVN55:OVR55"/>
    <mergeCell ref="OVS55:OVW55"/>
    <mergeCell ref="OVX55:OWB55"/>
    <mergeCell ref="OTU55:OTY55"/>
    <mergeCell ref="OTZ55:OUD55"/>
    <mergeCell ref="OUE55:OUI55"/>
    <mergeCell ref="OUJ55:OUN55"/>
    <mergeCell ref="OUO55:OUS55"/>
    <mergeCell ref="OUT55:OUX55"/>
    <mergeCell ref="OSQ55:OSU55"/>
    <mergeCell ref="OSV55:OSZ55"/>
    <mergeCell ref="OTA55:OTE55"/>
    <mergeCell ref="OTF55:OTJ55"/>
    <mergeCell ref="OTK55:OTO55"/>
    <mergeCell ref="OTP55:OTT55"/>
    <mergeCell ref="ORM55:ORQ55"/>
    <mergeCell ref="ORR55:ORV55"/>
    <mergeCell ref="ORW55:OSA55"/>
    <mergeCell ref="OSB55:OSF55"/>
    <mergeCell ref="OSG55:OSK55"/>
    <mergeCell ref="OSL55:OSP55"/>
    <mergeCell ref="OQI55:OQM55"/>
    <mergeCell ref="OQN55:OQR55"/>
    <mergeCell ref="OQS55:OQW55"/>
    <mergeCell ref="OQX55:ORB55"/>
    <mergeCell ref="ORC55:ORG55"/>
    <mergeCell ref="ORH55:ORL55"/>
    <mergeCell ref="OPE55:OPI55"/>
    <mergeCell ref="OPJ55:OPN55"/>
    <mergeCell ref="OPO55:OPS55"/>
    <mergeCell ref="OPT55:OPX55"/>
    <mergeCell ref="OPY55:OQC55"/>
    <mergeCell ref="OQD55:OQH55"/>
    <mergeCell ref="OOA55:OOE55"/>
    <mergeCell ref="OOF55:OOJ55"/>
    <mergeCell ref="OOK55:OOO55"/>
    <mergeCell ref="OOP55:OOT55"/>
    <mergeCell ref="OOU55:OOY55"/>
    <mergeCell ref="OOZ55:OPD55"/>
    <mergeCell ref="OMW55:ONA55"/>
    <mergeCell ref="ONB55:ONF55"/>
    <mergeCell ref="ONG55:ONK55"/>
    <mergeCell ref="ONL55:ONP55"/>
    <mergeCell ref="ONQ55:ONU55"/>
    <mergeCell ref="ONV55:ONZ55"/>
    <mergeCell ref="OLS55:OLW55"/>
    <mergeCell ref="OLX55:OMB55"/>
    <mergeCell ref="OMC55:OMG55"/>
    <mergeCell ref="OMH55:OML55"/>
    <mergeCell ref="OMM55:OMQ55"/>
    <mergeCell ref="OMR55:OMV55"/>
    <mergeCell ref="OKO55:OKS55"/>
    <mergeCell ref="OKT55:OKX55"/>
    <mergeCell ref="OKY55:OLC55"/>
    <mergeCell ref="OLD55:OLH55"/>
    <mergeCell ref="OLI55:OLM55"/>
    <mergeCell ref="OLN55:OLR55"/>
    <mergeCell ref="OJK55:OJO55"/>
    <mergeCell ref="OJP55:OJT55"/>
    <mergeCell ref="OJU55:OJY55"/>
    <mergeCell ref="OJZ55:OKD55"/>
    <mergeCell ref="OKE55:OKI55"/>
    <mergeCell ref="OKJ55:OKN55"/>
    <mergeCell ref="OIG55:OIK55"/>
    <mergeCell ref="OIL55:OIP55"/>
    <mergeCell ref="OIQ55:OIU55"/>
    <mergeCell ref="OIV55:OIZ55"/>
    <mergeCell ref="OJA55:OJE55"/>
    <mergeCell ref="OJF55:OJJ55"/>
    <mergeCell ref="OHC55:OHG55"/>
    <mergeCell ref="OHH55:OHL55"/>
    <mergeCell ref="OHM55:OHQ55"/>
    <mergeCell ref="OHR55:OHV55"/>
    <mergeCell ref="OHW55:OIA55"/>
    <mergeCell ref="OIB55:OIF55"/>
    <mergeCell ref="OFY55:OGC55"/>
    <mergeCell ref="OGD55:OGH55"/>
    <mergeCell ref="OGI55:OGM55"/>
    <mergeCell ref="OGN55:OGR55"/>
    <mergeCell ref="OGS55:OGW55"/>
    <mergeCell ref="OGX55:OHB55"/>
    <mergeCell ref="OEU55:OEY55"/>
    <mergeCell ref="OEZ55:OFD55"/>
    <mergeCell ref="OFE55:OFI55"/>
    <mergeCell ref="OFJ55:OFN55"/>
    <mergeCell ref="OFO55:OFS55"/>
    <mergeCell ref="OFT55:OFX55"/>
    <mergeCell ref="ODQ55:ODU55"/>
    <mergeCell ref="ODV55:ODZ55"/>
    <mergeCell ref="OEA55:OEE55"/>
    <mergeCell ref="OEF55:OEJ55"/>
    <mergeCell ref="OEK55:OEO55"/>
    <mergeCell ref="OEP55:OET55"/>
    <mergeCell ref="OCM55:OCQ55"/>
    <mergeCell ref="OCR55:OCV55"/>
    <mergeCell ref="OCW55:ODA55"/>
    <mergeCell ref="ODB55:ODF55"/>
    <mergeCell ref="ODG55:ODK55"/>
    <mergeCell ref="ODL55:ODP55"/>
    <mergeCell ref="OBI55:OBM55"/>
    <mergeCell ref="OBN55:OBR55"/>
    <mergeCell ref="OBS55:OBW55"/>
    <mergeCell ref="OBX55:OCB55"/>
    <mergeCell ref="OCC55:OCG55"/>
    <mergeCell ref="OCH55:OCL55"/>
    <mergeCell ref="OAE55:OAI55"/>
    <mergeCell ref="OAJ55:OAN55"/>
    <mergeCell ref="OAO55:OAS55"/>
    <mergeCell ref="OAT55:OAX55"/>
    <mergeCell ref="OAY55:OBC55"/>
    <mergeCell ref="OBD55:OBH55"/>
    <mergeCell ref="NZA55:NZE55"/>
    <mergeCell ref="NZF55:NZJ55"/>
    <mergeCell ref="NZK55:NZO55"/>
    <mergeCell ref="NZP55:NZT55"/>
    <mergeCell ref="NZU55:NZY55"/>
    <mergeCell ref="NZZ55:OAD55"/>
    <mergeCell ref="NXW55:NYA55"/>
    <mergeCell ref="NYB55:NYF55"/>
    <mergeCell ref="NYG55:NYK55"/>
    <mergeCell ref="NYL55:NYP55"/>
    <mergeCell ref="NYQ55:NYU55"/>
    <mergeCell ref="NYV55:NYZ55"/>
    <mergeCell ref="NWS55:NWW55"/>
    <mergeCell ref="NWX55:NXB55"/>
    <mergeCell ref="NXC55:NXG55"/>
    <mergeCell ref="NXH55:NXL55"/>
    <mergeCell ref="NXM55:NXQ55"/>
    <mergeCell ref="NXR55:NXV55"/>
    <mergeCell ref="NVO55:NVS55"/>
    <mergeCell ref="NVT55:NVX55"/>
    <mergeCell ref="NVY55:NWC55"/>
    <mergeCell ref="NWD55:NWH55"/>
    <mergeCell ref="NWI55:NWM55"/>
    <mergeCell ref="NWN55:NWR55"/>
    <mergeCell ref="NUK55:NUO55"/>
    <mergeCell ref="NUP55:NUT55"/>
    <mergeCell ref="NUU55:NUY55"/>
    <mergeCell ref="NUZ55:NVD55"/>
    <mergeCell ref="NVE55:NVI55"/>
    <mergeCell ref="NVJ55:NVN55"/>
    <mergeCell ref="NTG55:NTK55"/>
    <mergeCell ref="NTL55:NTP55"/>
    <mergeCell ref="NTQ55:NTU55"/>
    <mergeCell ref="NTV55:NTZ55"/>
    <mergeCell ref="NUA55:NUE55"/>
    <mergeCell ref="NUF55:NUJ55"/>
    <mergeCell ref="NSC55:NSG55"/>
    <mergeCell ref="NSH55:NSL55"/>
    <mergeCell ref="NSM55:NSQ55"/>
    <mergeCell ref="NSR55:NSV55"/>
    <mergeCell ref="NSW55:NTA55"/>
    <mergeCell ref="NTB55:NTF55"/>
    <mergeCell ref="NQY55:NRC55"/>
    <mergeCell ref="NRD55:NRH55"/>
    <mergeCell ref="NRI55:NRM55"/>
    <mergeCell ref="NRN55:NRR55"/>
    <mergeCell ref="NRS55:NRW55"/>
    <mergeCell ref="NRX55:NSB55"/>
    <mergeCell ref="NPU55:NPY55"/>
    <mergeCell ref="NPZ55:NQD55"/>
    <mergeCell ref="NQE55:NQI55"/>
    <mergeCell ref="NQJ55:NQN55"/>
    <mergeCell ref="NQO55:NQS55"/>
    <mergeCell ref="NQT55:NQX55"/>
    <mergeCell ref="NOQ55:NOU55"/>
    <mergeCell ref="NOV55:NOZ55"/>
    <mergeCell ref="NPA55:NPE55"/>
    <mergeCell ref="NPF55:NPJ55"/>
    <mergeCell ref="NPK55:NPO55"/>
    <mergeCell ref="NPP55:NPT55"/>
    <mergeCell ref="NNM55:NNQ55"/>
    <mergeCell ref="NNR55:NNV55"/>
    <mergeCell ref="NNW55:NOA55"/>
    <mergeCell ref="NOB55:NOF55"/>
    <mergeCell ref="NOG55:NOK55"/>
    <mergeCell ref="NOL55:NOP55"/>
    <mergeCell ref="NMI55:NMM55"/>
    <mergeCell ref="NMN55:NMR55"/>
    <mergeCell ref="NMS55:NMW55"/>
    <mergeCell ref="NMX55:NNB55"/>
    <mergeCell ref="NNC55:NNG55"/>
    <mergeCell ref="NNH55:NNL55"/>
    <mergeCell ref="NLE55:NLI55"/>
    <mergeCell ref="NLJ55:NLN55"/>
    <mergeCell ref="NLO55:NLS55"/>
    <mergeCell ref="NLT55:NLX55"/>
    <mergeCell ref="NLY55:NMC55"/>
    <mergeCell ref="NMD55:NMH55"/>
    <mergeCell ref="NKA55:NKE55"/>
    <mergeCell ref="NKF55:NKJ55"/>
    <mergeCell ref="NKK55:NKO55"/>
    <mergeCell ref="NKP55:NKT55"/>
    <mergeCell ref="NKU55:NKY55"/>
    <mergeCell ref="NKZ55:NLD55"/>
    <mergeCell ref="NIW55:NJA55"/>
    <mergeCell ref="NJB55:NJF55"/>
    <mergeCell ref="NJG55:NJK55"/>
    <mergeCell ref="NJL55:NJP55"/>
    <mergeCell ref="NJQ55:NJU55"/>
    <mergeCell ref="NJV55:NJZ55"/>
    <mergeCell ref="NHS55:NHW55"/>
    <mergeCell ref="NHX55:NIB55"/>
    <mergeCell ref="NIC55:NIG55"/>
    <mergeCell ref="NIH55:NIL55"/>
    <mergeCell ref="NIM55:NIQ55"/>
    <mergeCell ref="NIR55:NIV55"/>
    <mergeCell ref="NGO55:NGS55"/>
    <mergeCell ref="NGT55:NGX55"/>
    <mergeCell ref="NGY55:NHC55"/>
    <mergeCell ref="NHD55:NHH55"/>
    <mergeCell ref="NHI55:NHM55"/>
    <mergeCell ref="NHN55:NHR55"/>
    <mergeCell ref="NFK55:NFO55"/>
    <mergeCell ref="NFP55:NFT55"/>
    <mergeCell ref="NFU55:NFY55"/>
    <mergeCell ref="NFZ55:NGD55"/>
    <mergeCell ref="NGE55:NGI55"/>
    <mergeCell ref="NGJ55:NGN55"/>
    <mergeCell ref="NEG55:NEK55"/>
    <mergeCell ref="NEL55:NEP55"/>
    <mergeCell ref="NEQ55:NEU55"/>
    <mergeCell ref="NEV55:NEZ55"/>
    <mergeCell ref="NFA55:NFE55"/>
    <mergeCell ref="NFF55:NFJ55"/>
    <mergeCell ref="NDC55:NDG55"/>
    <mergeCell ref="NDH55:NDL55"/>
    <mergeCell ref="NDM55:NDQ55"/>
    <mergeCell ref="NDR55:NDV55"/>
    <mergeCell ref="NDW55:NEA55"/>
    <mergeCell ref="NEB55:NEF55"/>
    <mergeCell ref="NBY55:NCC55"/>
    <mergeCell ref="NCD55:NCH55"/>
    <mergeCell ref="NCI55:NCM55"/>
    <mergeCell ref="NCN55:NCR55"/>
    <mergeCell ref="NCS55:NCW55"/>
    <mergeCell ref="NCX55:NDB55"/>
    <mergeCell ref="NAU55:NAY55"/>
    <mergeCell ref="NAZ55:NBD55"/>
    <mergeCell ref="NBE55:NBI55"/>
    <mergeCell ref="NBJ55:NBN55"/>
    <mergeCell ref="NBO55:NBS55"/>
    <mergeCell ref="NBT55:NBX55"/>
    <mergeCell ref="MZQ55:MZU55"/>
    <mergeCell ref="MZV55:MZZ55"/>
    <mergeCell ref="NAA55:NAE55"/>
    <mergeCell ref="NAF55:NAJ55"/>
    <mergeCell ref="NAK55:NAO55"/>
    <mergeCell ref="NAP55:NAT55"/>
    <mergeCell ref="MYM55:MYQ55"/>
    <mergeCell ref="MYR55:MYV55"/>
    <mergeCell ref="MYW55:MZA55"/>
    <mergeCell ref="MZB55:MZF55"/>
    <mergeCell ref="MZG55:MZK55"/>
    <mergeCell ref="MZL55:MZP55"/>
    <mergeCell ref="MXI55:MXM55"/>
    <mergeCell ref="MXN55:MXR55"/>
    <mergeCell ref="MXS55:MXW55"/>
    <mergeCell ref="MXX55:MYB55"/>
    <mergeCell ref="MYC55:MYG55"/>
    <mergeCell ref="MYH55:MYL55"/>
    <mergeCell ref="MWE55:MWI55"/>
    <mergeCell ref="MWJ55:MWN55"/>
    <mergeCell ref="MWO55:MWS55"/>
    <mergeCell ref="MWT55:MWX55"/>
    <mergeCell ref="MWY55:MXC55"/>
    <mergeCell ref="MXD55:MXH55"/>
    <mergeCell ref="MVA55:MVE55"/>
    <mergeCell ref="MVF55:MVJ55"/>
    <mergeCell ref="MVK55:MVO55"/>
    <mergeCell ref="MVP55:MVT55"/>
    <mergeCell ref="MVU55:MVY55"/>
    <mergeCell ref="MVZ55:MWD55"/>
    <mergeCell ref="MTW55:MUA55"/>
    <mergeCell ref="MUB55:MUF55"/>
    <mergeCell ref="MUG55:MUK55"/>
    <mergeCell ref="MUL55:MUP55"/>
    <mergeCell ref="MUQ55:MUU55"/>
    <mergeCell ref="MUV55:MUZ55"/>
    <mergeCell ref="MSS55:MSW55"/>
    <mergeCell ref="MSX55:MTB55"/>
    <mergeCell ref="MTC55:MTG55"/>
    <mergeCell ref="MTH55:MTL55"/>
    <mergeCell ref="MTM55:MTQ55"/>
    <mergeCell ref="MTR55:MTV55"/>
    <mergeCell ref="MRO55:MRS55"/>
    <mergeCell ref="MRT55:MRX55"/>
    <mergeCell ref="MRY55:MSC55"/>
    <mergeCell ref="MSD55:MSH55"/>
    <mergeCell ref="MSI55:MSM55"/>
    <mergeCell ref="MSN55:MSR55"/>
    <mergeCell ref="MQK55:MQO55"/>
    <mergeCell ref="MQP55:MQT55"/>
    <mergeCell ref="MQU55:MQY55"/>
    <mergeCell ref="MQZ55:MRD55"/>
    <mergeCell ref="MRE55:MRI55"/>
    <mergeCell ref="MRJ55:MRN55"/>
    <mergeCell ref="MPG55:MPK55"/>
    <mergeCell ref="MPL55:MPP55"/>
    <mergeCell ref="MPQ55:MPU55"/>
    <mergeCell ref="MPV55:MPZ55"/>
    <mergeCell ref="MQA55:MQE55"/>
    <mergeCell ref="MQF55:MQJ55"/>
    <mergeCell ref="MOC55:MOG55"/>
    <mergeCell ref="MOH55:MOL55"/>
    <mergeCell ref="MOM55:MOQ55"/>
    <mergeCell ref="MOR55:MOV55"/>
    <mergeCell ref="MOW55:MPA55"/>
    <mergeCell ref="MPB55:MPF55"/>
    <mergeCell ref="MMY55:MNC55"/>
    <mergeCell ref="MND55:MNH55"/>
    <mergeCell ref="MNI55:MNM55"/>
    <mergeCell ref="MNN55:MNR55"/>
    <mergeCell ref="MNS55:MNW55"/>
    <mergeCell ref="MNX55:MOB55"/>
    <mergeCell ref="MLU55:MLY55"/>
    <mergeCell ref="MLZ55:MMD55"/>
    <mergeCell ref="MME55:MMI55"/>
    <mergeCell ref="MMJ55:MMN55"/>
    <mergeCell ref="MMO55:MMS55"/>
    <mergeCell ref="MMT55:MMX55"/>
    <mergeCell ref="MKQ55:MKU55"/>
    <mergeCell ref="MKV55:MKZ55"/>
    <mergeCell ref="MLA55:MLE55"/>
    <mergeCell ref="MLF55:MLJ55"/>
    <mergeCell ref="MLK55:MLO55"/>
    <mergeCell ref="MLP55:MLT55"/>
    <mergeCell ref="MJM55:MJQ55"/>
    <mergeCell ref="MJR55:MJV55"/>
    <mergeCell ref="MJW55:MKA55"/>
    <mergeCell ref="MKB55:MKF55"/>
    <mergeCell ref="MKG55:MKK55"/>
    <mergeCell ref="MKL55:MKP55"/>
    <mergeCell ref="MII55:MIM55"/>
    <mergeCell ref="MIN55:MIR55"/>
    <mergeCell ref="MIS55:MIW55"/>
    <mergeCell ref="MIX55:MJB55"/>
    <mergeCell ref="MJC55:MJG55"/>
    <mergeCell ref="MJH55:MJL55"/>
    <mergeCell ref="MHE55:MHI55"/>
    <mergeCell ref="MHJ55:MHN55"/>
    <mergeCell ref="MHO55:MHS55"/>
    <mergeCell ref="MHT55:MHX55"/>
    <mergeCell ref="MHY55:MIC55"/>
    <mergeCell ref="MID55:MIH55"/>
    <mergeCell ref="MGA55:MGE55"/>
    <mergeCell ref="MGF55:MGJ55"/>
    <mergeCell ref="MGK55:MGO55"/>
    <mergeCell ref="MGP55:MGT55"/>
    <mergeCell ref="MGU55:MGY55"/>
    <mergeCell ref="MGZ55:MHD55"/>
    <mergeCell ref="MEW55:MFA55"/>
    <mergeCell ref="MFB55:MFF55"/>
    <mergeCell ref="MFG55:MFK55"/>
    <mergeCell ref="MFL55:MFP55"/>
    <mergeCell ref="MFQ55:MFU55"/>
    <mergeCell ref="MFV55:MFZ55"/>
    <mergeCell ref="MDS55:MDW55"/>
    <mergeCell ref="MDX55:MEB55"/>
    <mergeCell ref="MEC55:MEG55"/>
    <mergeCell ref="MEH55:MEL55"/>
    <mergeCell ref="MEM55:MEQ55"/>
    <mergeCell ref="MER55:MEV55"/>
    <mergeCell ref="MCO55:MCS55"/>
    <mergeCell ref="MCT55:MCX55"/>
    <mergeCell ref="MCY55:MDC55"/>
    <mergeCell ref="MDD55:MDH55"/>
    <mergeCell ref="MDI55:MDM55"/>
    <mergeCell ref="MDN55:MDR55"/>
    <mergeCell ref="MBK55:MBO55"/>
    <mergeCell ref="MBP55:MBT55"/>
    <mergeCell ref="MBU55:MBY55"/>
    <mergeCell ref="MBZ55:MCD55"/>
    <mergeCell ref="MCE55:MCI55"/>
    <mergeCell ref="MCJ55:MCN55"/>
    <mergeCell ref="MAG55:MAK55"/>
    <mergeCell ref="MAL55:MAP55"/>
    <mergeCell ref="MAQ55:MAU55"/>
    <mergeCell ref="MAV55:MAZ55"/>
    <mergeCell ref="MBA55:MBE55"/>
    <mergeCell ref="MBF55:MBJ55"/>
    <mergeCell ref="LZC55:LZG55"/>
    <mergeCell ref="LZH55:LZL55"/>
    <mergeCell ref="LZM55:LZQ55"/>
    <mergeCell ref="LZR55:LZV55"/>
    <mergeCell ref="LZW55:MAA55"/>
    <mergeCell ref="MAB55:MAF55"/>
    <mergeCell ref="LXY55:LYC55"/>
    <mergeCell ref="LYD55:LYH55"/>
    <mergeCell ref="LYI55:LYM55"/>
    <mergeCell ref="LYN55:LYR55"/>
    <mergeCell ref="LYS55:LYW55"/>
    <mergeCell ref="LYX55:LZB55"/>
    <mergeCell ref="LWU55:LWY55"/>
    <mergeCell ref="LWZ55:LXD55"/>
    <mergeCell ref="LXE55:LXI55"/>
    <mergeCell ref="LXJ55:LXN55"/>
    <mergeCell ref="LXO55:LXS55"/>
    <mergeCell ref="LXT55:LXX55"/>
    <mergeCell ref="LVQ55:LVU55"/>
    <mergeCell ref="LVV55:LVZ55"/>
    <mergeCell ref="LWA55:LWE55"/>
    <mergeCell ref="LWF55:LWJ55"/>
    <mergeCell ref="LWK55:LWO55"/>
    <mergeCell ref="LWP55:LWT55"/>
    <mergeCell ref="LUM55:LUQ55"/>
    <mergeCell ref="LUR55:LUV55"/>
    <mergeCell ref="LUW55:LVA55"/>
    <mergeCell ref="LVB55:LVF55"/>
    <mergeCell ref="LVG55:LVK55"/>
    <mergeCell ref="LVL55:LVP55"/>
    <mergeCell ref="LTI55:LTM55"/>
    <mergeCell ref="LTN55:LTR55"/>
    <mergeCell ref="LTS55:LTW55"/>
    <mergeCell ref="LTX55:LUB55"/>
    <mergeCell ref="LUC55:LUG55"/>
    <mergeCell ref="LUH55:LUL55"/>
    <mergeCell ref="LSE55:LSI55"/>
    <mergeCell ref="LSJ55:LSN55"/>
    <mergeCell ref="LSO55:LSS55"/>
    <mergeCell ref="LST55:LSX55"/>
    <mergeCell ref="LSY55:LTC55"/>
    <mergeCell ref="LTD55:LTH55"/>
    <mergeCell ref="LRA55:LRE55"/>
    <mergeCell ref="LRF55:LRJ55"/>
    <mergeCell ref="LRK55:LRO55"/>
    <mergeCell ref="LRP55:LRT55"/>
    <mergeCell ref="LRU55:LRY55"/>
    <mergeCell ref="LRZ55:LSD55"/>
    <mergeCell ref="LPW55:LQA55"/>
    <mergeCell ref="LQB55:LQF55"/>
    <mergeCell ref="LQG55:LQK55"/>
    <mergeCell ref="LQL55:LQP55"/>
    <mergeCell ref="LQQ55:LQU55"/>
    <mergeCell ref="LQV55:LQZ55"/>
    <mergeCell ref="LOS55:LOW55"/>
    <mergeCell ref="LOX55:LPB55"/>
    <mergeCell ref="LPC55:LPG55"/>
    <mergeCell ref="LPH55:LPL55"/>
    <mergeCell ref="LPM55:LPQ55"/>
    <mergeCell ref="LPR55:LPV55"/>
    <mergeCell ref="LNO55:LNS55"/>
    <mergeCell ref="LNT55:LNX55"/>
    <mergeCell ref="LNY55:LOC55"/>
    <mergeCell ref="LOD55:LOH55"/>
    <mergeCell ref="LOI55:LOM55"/>
    <mergeCell ref="LON55:LOR55"/>
    <mergeCell ref="LMK55:LMO55"/>
    <mergeCell ref="LMP55:LMT55"/>
    <mergeCell ref="LMU55:LMY55"/>
    <mergeCell ref="LMZ55:LND55"/>
    <mergeCell ref="LNE55:LNI55"/>
    <mergeCell ref="LNJ55:LNN55"/>
    <mergeCell ref="LLG55:LLK55"/>
    <mergeCell ref="LLL55:LLP55"/>
    <mergeCell ref="LLQ55:LLU55"/>
    <mergeCell ref="LLV55:LLZ55"/>
    <mergeCell ref="LMA55:LME55"/>
    <mergeCell ref="LMF55:LMJ55"/>
    <mergeCell ref="LKC55:LKG55"/>
    <mergeCell ref="LKH55:LKL55"/>
    <mergeCell ref="LKM55:LKQ55"/>
    <mergeCell ref="LKR55:LKV55"/>
    <mergeCell ref="LKW55:LLA55"/>
    <mergeCell ref="LLB55:LLF55"/>
    <mergeCell ref="LIY55:LJC55"/>
    <mergeCell ref="LJD55:LJH55"/>
    <mergeCell ref="LJI55:LJM55"/>
    <mergeCell ref="LJN55:LJR55"/>
    <mergeCell ref="LJS55:LJW55"/>
    <mergeCell ref="LJX55:LKB55"/>
    <mergeCell ref="LHU55:LHY55"/>
    <mergeCell ref="LHZ55:LID55"/>
    <mergeCell ref="LIE55:LII55"/>
    <mergeCell ref="LIJ55:LIN55"/>
    <mergeCell ref="LIO55:LIS55"/>
    <mergeCell ref="LIT55:LIX55"/>
    <mergeCell ref="LGQ55:LGU55"/>
    <mergeCell ref="LGV55:LGZ55"/>
    <mergeCell ref="LHA55:LHE55"/>
    <mergeCell ref="LHF55:LHJ55"/>
    <mergeCell ref="LHK55:LHO55"/>
    <mergeCell ref="LHP55:LHT55"/>
    <mergeCell ref="LFM55:LFQ55"/>
    <mergeCell ref="LFR55:LFV55"/>
    <mergeCell ref="LFW55:LGA55"/>
    <mergeCell ref="LGB55:LGF55"/>
    <mergeCell ref="LGG55:LGK55"/>
    <mergeCell ref="LGL55:LGP55"/>
    <mergeCell ref="LEI55:LEM55"/>
    <mergeCell ref="LEN55:LER55"/>
    <mergeCell ref="LES55:LEW55"/>
    <mergeCell ref="LEX55:LFB55"/>
    <mergeCell ref="LFC55:LFG55"/>
    <mergeCell ref="LFH55:LFL55"/>
    <mergeCell ref="LDE55:LDI55"/>
    <mergeCell ref="LDJ55:LDN55"/>
    <mergeCell ref="LDO55:LDS55"/>
    <mergeCell ref="LDT55:LDX55"/>
    <mergeCell ref="LDY55:LEC55"/>
    <mergeCell ref="LED55:LEH55"/>
    <mergeCell ref="LCA55:LCE55"/>
    <mergeCell ref="LCF55:LCJ55"/>
    <mergeCell ref="LCK55:LCO55"/>
    <mergeCell ref="LCP55:LCT55"/>
    <mergeCell ref="LCU55:LCY55"/>
    <mergeCell ref="LCZ55:LDD55"/>
    <mergeCell ref="LAW55:LBA55"/>
    <mergeCell ref="LBB55:LBF55"/>
    <mergeCell ref="LBG55:LBK55"/>
    <mergeCell ref="LBL55:LBP55"/>
    <mergeCell ref="LBQ55:LBU55"/>
    <mergeCell ref="LBV55:LBZ55"/>
    <mergeCell ref="KZS55:KZW55"/>
    <mergeCell ref="KZX55:LAB55"/>
    <mergeCell ref="LAC55:LAG55"/>
    <mergeCell ref="LAH55:LAL55"/>
    <mergeCell ref="LAM55:LAQ55"/>
    <mergeCell ref="LAR55:LAV55"/>
    <mergeCell ref="KYO55:KYS55"/>
    <mergeCell ref="KYT55:KYX55"/>
    <mergeCell ref="KYY55:KZC55"/>
    <mergeCell ref="KZD55:KZH55"/>
    <mergeCell ref="KZI55:KZM55"/>
    <mergeCell ref="KZN55:KZR55"/>
    <mergeCell ref="KXK55:KXO55"/>
    <mergeCell ref="KXP55:KXT55"/>
    <mergeCell ref="KXU55:KXY55"/>
    <mergeCell ref="KXZ55:KYD55"/>
    <mergeCell ref="KYE55:KYI55"/>
    <mergeCell ref="KYJ55:KYN55"/>
    <mergeCell ref="KWG55:KWK55"/>
    <mergeCell ref="KWL55:KWP55"/>
    <mergeCell ref="KWQ55:KWU55"/>
    <mergeCell ref="KWV55:KWZ55"/>
    <mergeCell ref="KXA55:KXE55"/>
    <mergeCell ref="KXF55:KXJ55"/>
    <mergeCell ref="KVC55:KVG55"/>
    <mergeCell ref="KVH55:KVL55"/>
    <mergeCell ref="KVM55:KVQ55"/>
    <mergeCell ref="KVR55:KVV55"/>
    <mergeCell ref="KVW55:KWA55"/>
    <mergeCell ref="KWB55:KWF55"/>
    <mergeCell ref="KTY55:KUC55"/>
    <mergeCell ref="KUD55:KUH55"/>
    <mergeCell ref="KUI55:KUM55"/>
    <mergeCell ref="KUN55:KUR55"/>
    <mergeCell ref="KUS55:KUW55"/>
    <mergeCell ref="KUX55:KVB55"/>
    <mergeCell ref="KSU55:KSY55"/>
    <mergeCell ref="KSZ55:KTD55"/>
    <mergeCell ref="KTE55:KTI55"/>
    <mergeCell ref="KTJ55:KTN55"/>
    <mergeCell ref="KTO55:KTS55"/>
    <mergeCell ref="KTT55:KTX55"/>
    <mergeCell ref="KRQ55:KRU55"/>
    <mergeCell ref="KRV55:KRZ55"/>
    <mergeCell ref="KSA55:KSE55"/>
    <mergeCell ref="KSF55:KSJ55"/>
    <mergeCell ref="KSK55:KSO55"/>
    <mergeCell ref="KSP55:KST55"/>
    <mergeCell ref="KQM55:KQQ55"/>
    <mergeCell ref="KQR55:KQV55"/>
    <mergeCell ref="KQW55:KRA55"/>
    <mergeCell ref="KRB55:KRF55"/>
    <mergeCell ref="KRG55:KRK55"/>
    <mergeCell ref="KRL55:KRP55"/>
    <mergeCell ref="KPI55:KPM55"/>
    <mergeCell ref="KPN55:KPR55"/>
    <mergeCell ref="KPS55:KPW55"/>
    <mergeCell ref="KPX55:KQB55"/>
    <mergeCell ref="KQC55:KQG55"/>
    <mergeCell ref="KQH55:KQL55"/>
    <mergeCell ref="KOE55:KOI55"/>
    <mergeCell ref="KOJ55:KON55"/>
    <mergeCell ref="KOO55:KOS55"/>
    <mergeCell ref="KOT55:KOX55"/>
    <mergeCell ref="KOY55:KPC55"/>
    <mergeCell ref="KPD55:KPH55"/>
    <mergeCell ref="KNA55:KNE55"/>
    <mergeCell ref="KNF55:KNJ55"/>
    <mergeCell ref="KNK55:KNO55"/>
    <mergeCell ref="KNP55:KNT55"/>
    <mergeCell ref="KNU55:KNY55"/>
    <mergeCell ref="KNZ55:KOD55"/>
    <mergeCell ref="KLW55:KMA55"/>
    <mergeCell ref="KMB55:KMF55"/>
    <mergeCell ref="KMG55:KMK55"/>
    <mergeCell ref="KML55:KMP55"/>
    <mergeCell ref="KMQ55:KMU55"/>
    <mergeCell ref="KMV55:KMZ55"/>
    <mergeCell ref="KKS55:KKW55"/>
    <mergeCell ref="KKX55:KLB55"/>
    <mergeCell ref="KLC55:KLG55"/>
    <mergeCell ref="KLH55:KLL55"/>
    <mergeCell ref="KLM55:KLQ55"/>
    <mergeCell ref="KLR55:KLV55"/>
    <mergeCell ref="KJO55:KJS55"/>
    <mergeCell ref="KJT55:KJX55"/>
    <mergeCell ref="KJY55:KKC55"/>
    <mergeCell ref="KKD55:KKH55"/>
    <mergeCell ref="KKI55:KKM55"/>
    <mergeCell ref="KKN55:KKR55"/>
    <mergeCell ref="KIK55:KIO55"/>
    <mergeCell ref="KIP55:KIT55"/>
    <mergeCell ref="KIU55:KIY55"/>
    <mergeCell ref="KIZ55:KJD55"/>
    <mergeCell ref="KJE55:KJI55"/>
    <mergeCell ref="KJJ55:KJN55"/>
    <mergeCell ref="KHG55:KHK55"/>
    <mergeCell ref="KHL55:KHP55"/>
    <mergeCell ref="KHQ55:KHU55"/>
    <mergeCell ref="KHV55:KHZ55"/>
    <mergeCell ref="KIA55:KIE55"/>
    <mergeCell ref="KIF55:KIJ55"/>
    <mergeCell ref="KGC55:KGG55"/>
    <mergeCell ref="KGH55:KGL55"/>
    <mergeCell ref="KGM55:KGQ55"/>
    <mergeCell ref="KGR55:KGV55"/>
    <mergeCell ref="KGW55:KHA55"/>
    <mergeCell ref="KHB55:KHF55"/>
    <mergeCell ref="KEY55:KFC55"/>
    <mergeCell ref="KFD55:KFH55"/>
    <mergeCell ref="KFI55:KFM55"/>
    <mergeCell ref="KFN55:KFR55"/>
    <mergeCell ref="KFS55:KFW55"/>
    <mergeCell ref="KFX55:KGB55"/>
    <mergeCell ref="KDU55:KDY55"/>
    <mergeCell ref="KDZ55:KED55"/>
    <mergeCell ref="KEE55:KEI55"/>
    <mergeCell ref="KEJ55:KEN55"/>
    <mergeCell ref="KEO55:KES55"/>
    <mergeCell ref="KET55:KEX55"/>
    <mergeCell ref="KCQ55:KCU55"/>
    <mergeCell ref="KCV55:KCZ55"/>
    <mergeCell ref="KDA55:KDE55"/>
    <mergeCell ref="KDF55:KDJ55"/>
    <mergeCell ref="KDK55:KDO55"/>
    <mergeCell ref="KDP55:KDT55"/>
    <mergeCell ref="KBM55:KBQ55"/>
    <mergeCell ref="KBR55:KBV55"/>
    <mergeCell ref="KBW55:KCA55"/>
    <mergeCell ref="KCB55:KCF55"/>
    <mergeCell ref="KCG55:KCK55"/>
    <mergeCell ref="KCL55:KCP55"/>
    <mergeCell ref="KAI55:KAM55"/>
    <mergeCell ref="KAN55:KAR55"/>
    <mergeCell ref="KAS55:KAW55"/>
    <mergeCell ref="KAX55:KBB55"/>
    <mergeCell ref="KBC55:KBG55"/>
    <mergeCell ref="KBH55:KBL55"/>
    <mergeCell ref="JZE55:JZI55"/>
    <mergeCell ref="JZJ55:JZN55"/>
    <mergeCell ref="JZO55:JZS55"/>
    <mergeCell ref="JZT55:JZX55"/>
    <mergeCell ref="JZY55:KAC55"/>
    <mergeCell ref="KAD55:KAH55"/>
    <mergeCell ref="JYA55:JYE55"/>
    <mergeCell ref="JYF55:JYJ55"/>
    <mergeCell ref="JYK55:JYO55"/>
    <mergeCell ref="JYP55:JYT55"/>
    <mergeCell ref="JYU55:JYY55"/>
    <mergeCell ref="JYZ55:JZD55"/>
    <mergeCell ref="JWW55:JXA55"/>
    <mergeCell ref="JXB55:JXF55"/>
    <mergeCell ref="JXG55:JXK55"/>
    <mergeCell ref="JXL55:JXP55"/>
    <mergeCell ref="JXQ55:JXU55"/>
    <mergeCell ref="JXV55:JXZ55"/>
    <mergeCell ref="JVS55:JVW55"/>
    <mergeCell ref="JVX55:JWB55"/>
    <mergeCell ref="JWC55:JWG55"/>
    <mergeCell ref="JWH55:JWL55"/>
    <mergeCell ref="JWM55:JWQ55"/>
    <mergeCell ref="JWR55:JWV55"/>
    <mergeCell ref="JUO55:JUS55"/>
    <mergeCell ref="JUT55:JUX55"/>
    <mergeCell ref="JUY55:JVC55"/>
    <mergeCell ref="JVD55:JVH55"/>
    <mergeCell ref="JVI55:JVM55"/>
    <mergeCell ref="JVN55:JVR55"/>
    <mergeCell ref="JTK55:JTO55"/>
    <mergeCell ref="JTP55:JTT55"/>
    <mergeCell ref="JTU55:JTY55"/>
    <mergeCell ref="JTZ55:JUD55"/>
    <mergeCell ref="JUE55:JUI55"/>
    <mergeCell ref="JUJ55:JUN55"/>
    <mergeCell ref="JSG55:JSK55"/>
    <mergeCell ref="JSL55:JSP55"/>
    <mergeCell ref="JSQ55:JSU55"/>
    <mergeCell ref="JSV55:JSZ55"/>
    <mergeCell ref="JTA55:JTE55"/>
    <mergeCell ref="JTF55:JTJ55"/>
    <mergeCell ref="JRC55:JRG55"/>
    <mergeCell ref="JRH55:JRL55"/>
    <mergeCell ref="JRM55:JRQ55"/>
    <mergeCell ref="JRR55:JRV55"/>
    <mergeCell ref="JRW55:JSA55"/>
    <mergeCell ref="JSB55:JSF55"/>
    <mergeCell ref="JPY55:JQC55"/>
    <mergeCell ref="JQD55:JQH55"/>
    <mergeCell ref="JQI55:JQM55"/>
    <mergeCell ref="JQN55:JQR55"/>
    <mergeCell ref="JQS55:JQW55"/>
    <mergeCell ref="JQX55:JRB55"/>
    <mergeCell ref="JOU55:JOY55"/>
    <mergeCell ref="JOZ55:JPD55"/>
    <mergeCell ref="JPE55:JPI55"/>
    <mergeCell ref="JPJ55:JPN55"/>
    <mergeCell ref="JPO55:JPS55"/>
    <mergeCell ref="JPT55:JPX55"/>
    <mergeCell ref="JNQ55:JNU55"/>
    <mergeCell ref="JNV55:JNZ55"/>
    <mergeCell ref="JOA55:JOE55"/>
    <mergeCell ref="JOF55:JOJ55"/>
    <mergeCell ref="JOK55:JOO55"/>
    <mergeCell ref="JOP55:JOT55"/>
    <mergeCell ref="JMM55:JMQ55"/>
    <mergeCell ref="JMR55:JMV55"/>
    <mergeCell ref="JMW55:JNA55"/>
    <mergeCell ref="JNB55:JNF55"/>
    <mergeCell ref="JNG55:JNK55"/>
    <mergeCell ref="JNL55:JNP55"/>
    <mergeCell ref="JLI55:JLM55"/>
    <mergeCell ref="JLN55:JLR55"/>
    <mergeCell ref="JLS55:JLW55"/>
    <mergeCell ref="JLX55:JMB55"/>
    <mergeCell ref="JMC55:JMG55"/>
    <mergeCell ref="JMH55:JML55"/>
    <mergeCell ref="JKE55:JKI55"/>
    <mergeCell ref="JKJ55:JKN55"/>
    <mergeCell ref="JKO55:JKS55"/>
    <mergeCell ref="JKT55:JKX55"/>
    <mergeCell ref="JKY55:JLC55"/>
    <mergeCell ref="JLD55:JLH55"/>
    <mergeCell ref="JJA55:JJE55"/>
    <mergeCell ref="JJF55:JJJ55"/>
    <mergeCell ref="JJK55:JJO55"/>
    <mergeCell ref="JJP55:JJT55"/>
    <mergeCell ref="JJU55:JJY55"/>
    <mergeCell ref="JJZ55:JKD55"/>
    <mergeCell ref="JHW55:JIA55"/>
    <mergeCell ref="JIB55:JIF55"/>
    <mergeCell ref="JIG55:JIK55"/>
    <mergeCell ref="JIL55:JIP55"/>
    <mergeCell ref="JIQ55:JIU55"/>
    <mergeCell ref="JIV55:JIZ55"/>
    <mergeCell ref="JGS55:JGW55"/>
    <mergeCell ref="JGX55:JHB55"/>
    <mergeCell ref="JHC55:JHG55"/>
    <mergeCell ref="JHH55:JHL55"/>
    <mergeCell ref="JHM55:JHQ55"/>
    <mergeCell ref="JHR55:JHV55"/>
    <mergeCell ref="JFO55:JFS55"/>
    <mergeCell ref="JFT55:JFX55"/>
    <mergeCell ref="JFY55:JGC55"/>
    <mergeCell ref="JGD55:JGH55"/>
    <mergeCell ref="JGI55:JGM55"/>
    <mergeCell ref="JGN55:JGR55"/>
    <mergeCell ref="JEK55:JEO55"/>
    <mergeCell ref="JEP55:JET55"/>
    <mergeCell ref="JEU55:JEY55"/>
    <mergeCell ref="JEZ55:JFD55"/>
    <mergeCell ref="JFE55:JFI55"/>
    <mergeCell ref="JFJ55:JFN55"/>
    <mergeCell ref="JDG55:JDK55"/>
    <mergeCell ref="JDL55:JDP55"/>
    <mergeCell ref="JDQ55:JDU55"/>
    <mergeCell ref="JDV55:JDZ55"/>
    <mergeCell ref="JEA55:JEE55"/>
    <mergeCell ref="JEF55:JEJ55"/>
    <mergeCell ref="JCC55:JCG55"/>
    <mergeCell ref="JCH55:JCL55"/>
    <mergeCell ref="JCM55:JCQ55"/>
    <mergeCell ref="JCR55:JCV55"/>
    <mergeCell ref="JCW55:JDA55"/>
    <mergeCell ref="JDB55:JDF55"/>
    <mergeCell ref="JAY55:JBC55"/>
    <mergeCell ref="JBD55:JBH55"/>
    <mergeCell ref="JBI55:JBM55"/>
    <mergeCell ref="JBN55:JBR55"/>
    <mergeCell ref="JBS55:JBW55"/>
    <mergeCell ref="JBX55:JCB55"/>
    <mergeCell ref="IZU55:IZY55"/>
    <mergeCell ref="IZZ55:JAD55"/>
    <mergeCell ref="JAE55:JAI55"/>
    <mergeCell ref="JAJ55:JAN55"/>
    <mergeCell ref="JAO55:JAS55"/>
    <mergeCell ref="JAT55:JAX55"/>
    <mergeCell ref="IYQ55:IYU55"/>
    <mergeCell ref="IYV55:IYZ55"/>
    <mergeCell ref="IZA55:IZE55"/>
    <mergeCell ref="IZF55:IZJ55"/>
    <mergeCell ref="IZK55:IZO55"/>
    <mergeCell ref="IZP55:IZT55"/>
    <mergeCell ref="IXM55:IXQ55"/>
    <mergeCell ref="IXR55:IXV55"/>
    <mergeCell ref="IXW55:IYA55"/>
    <mergeCell ref="IYB55:IYF55"/>
    <mergeCell ref="IYG55:IYK55"/>
    <mergeCell ref="IYL55:IYP55"/>
    <mergeCell ref="IWI55:IWM55"/>
    <mergeCell ref="IWN55:IWR55"/>
    <mergeCell ref="IWS55:IWW55"/>
    <mergeCell ref="IWX55:IXB55"/>
    <mergeCell ref="IXC55:IXG55"/>
    <mergeCell ref="IXH55:IXL55"/>
    <mergeCell ref="IVE55:IVI55"/>
    <mergeCell ref="IVJ55:IVN55"/>
    <mergeCell ref="IVO55:IVS55"/>
    <mergeCell ref="IVT55:IVX55"/>
    <mergeCell ref="IVY55:IWC55"/>
    <mergeCell ref="IWD55:IWH55"/>
    <mergeCell ref="IUA55:IUE55"/>
    <mergeCell ref="IUF55:IUJ55"/>
    <mergeCell ref="IUK55:IUO55"/>
    <mergeCell ref="IUP55:IUT55"/>
    <mergeCell ref="IUU55:IUY55"/>
    <mergeCell ref="IUZ55:IVD55"/>
    <mergeCell ref="ISW55:ITA55"/>
    <mergeCell ref="ITB55:ITF55"/>
    <mergeCell ref="ITG55:ITK55"/>
    <mergeCell ref="ITL55:ITP55"/>
    <mergeCell ref="ITQ55:ITU55"/>
    <mergeCell ref="ITV55:ITZ55"/>
    <mergeCell ref="IRS55:IRW55"/>
    <mergeCell ref="IRX55:ISB55"/>
    <mergeCell ref="ISC55:ISG55"/>
    <mergeCell ref="ISH55:ISL55"/>
    <mergeCell ref="ISM55:ISQ55"/>
    <mergeCell ref="ISR55:ISV55"/>
    <mergeCell ref="IQO55:IQS55"/>
    <mergeCell ref="IQT55:IQX55"/>
    <mergeCell ref="IQY55:IRC55"/>
    <mergeCell ref="IRD55:IRH55"/>
    <mergeCell ref="IRI55:IRM55"/>
    <mergeCell ref="IRN55:IRR55"/>
    <mergeCell ref="IPK55:IPO55"/>
    <mergeCell ref="IPP55:IPT55"/>
    <mergeCell ref="IPU55:IPY55"/>
    <mergeCell ref="IPZ55:IQD55"/>
    <mergeCell ref="IQE55:IQI55"/>
    <mergeCell ref="IQJ55:IQN55"/>
    <mergeCell ref="IOG55:IOK55"/>
    <mergeCell ref="IOL55:IOP55"/>
    <mergeCell ref="IOQ55:IOU55"/>
    <mergeCell ref="IOV55:IOZ55"/>
    <mergeCell ref="IPA55:IPE55"/>
    <mergeCell ref="IPF55:IPJ55"/>
    <mergeCell ref="INC55:ING55"/>
    <mergeCell ref="INH55:INL55"/>
    <mergeCell ref="INM55:INQ55"/>
    <mergeCell ref="INR55:INV55"/>
    <mergeCell ref="INW55:IOA55"/>
    <mergeCell ref="IOB55:IOF55"/>
    <mergeCell ref="ILY55:IMC55"/>
    <mergeCell ref="IMD55:IMH55"/>
    <mergeCell ref="IMI55:IMM55"/>
    <mergeCell ref="IMN55:IMR55"/>
    <mergeCell ref="IMS55:IMW55"/>
    <mergeCell ref="IMX55:INB55"/>
    <mergeCell ref="IKU55:IKY55"/>
    <mergeCell ref="IKZ55:ILD55"/>
    <mergeCell ref="ILE55:ILI55"/>
    <mergeCell ref="ILJ55:ILN55"/>
    <mergeCell ref="ILO55:ILS55"/>
    <mergeCell ref="ILT55:ILX55"/>
    <mergeCell ref="IJQ55:IJU55"/>
    <mergeCell ref="IJV55:IJZ55"/>
    <mergeCell ref="IKA55:IKE55"/>
    <mergeCell ref="IKF55:IKJ55"/>
    <mergeCell ref="IKK55:IKO55"/>
    <mergeCell ref="IKP55:IKT55"/>
    <mergeCell ref="IIM55:IIQ55"/>
    <mergeCell ref="IIR55:IIV55"/>
    <mergeCell ref="IIW55:IJA55"/>
    <mergeCell ref="IJB55:IJF55"/>
    <mergeCell ref="IJG55:IJK55"/>
    <mergeCell ref="IJL55:IJP55"/>
    <mergeCell ref="IHI55:IHM55"/>
    <mergeCell ref="IHN55:IHR55"/>
    <mergeCell ref="IHS55:IHW55"/>
    <mergeCell ref="IHX55:IIB55"/>
    <mergeCell ref="IIC55:IIG55"/>
    <mergeCell ref="IIH55:IIL55"/>
    <mergeCell ref="IGE55:IGI55"/>
    <mergeCell ref="IGJ55:IGN55"/>
    <mergeCell ref="IGO55:IGS55"/>
    <mergeCell ref="IGT55:IGX55"/>
    <mergeCell ref="IGY55:IHC55"/>
    <mergeCell ref="IHD55:IHH55"/>
    <mergeCell ref="IFA55:IFE55"/>
    <mergeCell ref="IFF55:IFJ55"/>
    <mergeCell ref="IFK55:IFO55"/>
    <mergeCell ref="IFP55:IFT55"/>
    <mergeCell ref="IFU55:IFY55"/>
    <mergeCell ref="IFZ55:IGD55"/>
    <mergeCell ref="IDW55:IEA55"/>
    <mergeCell ref="IEB55:IEF55"/>
    <mergeCell ref="IEG55:IEK55"/>
    <mergeCell ref="IEL55:IEP55"/>
    <mergeCell ref="IEQ55:IEU55"/>
    <mergeCell ref="IEV55:IEZ55"/>
    <mergeCell ref="ICS55:ICW55"/>
    <mergeCell ref="ICX55:IDB55"/>
    <mergeCell ref="IDC55:IDG55"/>
    <mergeCell ref="IDH55:IDL55"/>
    <mergeCell ref="IDM55:IDQ55"/>
    <mergeCell ref="IDR55:IDV55"/>
    <mergeCell ref="IBO55:IBS55"/>
    <mergeCell ref="IBT55:IBX55"/>
    <mergeCell ref="IBY55:ICC55"/>
    <mergeCell ref="ICD55:ICH55"/>
    <mergeCell ref="ICI55:ICM55"/>
    <mergeCell ref="ICN55:ICR55"/>
    <mergeCell ref="IAK55:IAO55"/>
    <mergeCell ref="IAP55:IAT55"/>
    <mergeCell ref="IAU55:IAY55"/>
    <mergeCell ref="IAZ55:IBD55"/>
    <mergeCell ref="IBE55:IBI55"/>
    <mergeCell ref="IBJ55:IBN55"/>
    <mergeCell ref="HZG55:HZK55"/>
    <mergeCell ref="HZL55:HZP55"/>
    <mergeCell ref="HZQ55:HZU55"/>
    <mergeCell ref="HZV55:HZZ55"/>
    <mergeCell ref="IAA55:IAE55"/>
    <mergeCell ref="IAF55:IAJ55"/>
    <mergeCell ref="HYC55:HYG55"/>
    <mergeCell ref="HYH55:HYL55"/>
    <mergeCell ref="HYM55:HYQ55"/>
    <mergeCell ref="HYR55:HYV55"/>
    <mergeCell ref="HYW55:HZA55"/>
    <mergeCell ref="HZB55:HZF55"/>
    <mergeCell ref="HWY55:HXC55"/>
    <mergeCell ref="HXD55:HXH55"/>
    <mergeCell ref="HXI55:HXM55"/>
    <mergeCell ref="HXN55:HXR55"/>
    <mergeCell ref="HXS55:HXW55"/>
    <mergeCell ref="HXX55:HYB55"/>
    <mergeCell ref="HVU55:HVY55"/>
    <mergeCell ref="HVZ55:HWD55"/>
    <mergeCell ref="HWE55:HWI55"/>
    <mergeCell ref="HWJ55:HWN55"/>
    <mergeCell ref="HWO55:HWS55"/>
    <mergeCell ref="HWT55:HWX55"/>
    <mergeCell ref="HUQ55:HUU55"/>
    <mergeCell ref="HUV55:HUZ55"/>
    <mergeCell ref="HVA55:HVE55"/>
    <mergeCell ref="HVF55:HVJ55"/>
    <mergeCell ref="HVK55:HVO55"/>
    <mergeCell ref="HVP55:HVT55"/>
    <mergeCell ref="HTM55:HTQ55"/>
    <mergeCell ref="HTR55:HTV55"/>
    <mergeCell ref="HTW55:HUA55"/>
    <mergeCell ref="HUB55:HUF55"/>
    <mergeCell ref="HUG55:HUK55"/>
    <mergeCell ref="HUL55:HUP55"/>
    <mergeCell ref="HSI55:HSM55"/>
    <mergeCell ref="HSN55:HSR55"/>
    <mergeCell ref="HSS55:HSW55"/>
    <mergeCell ref="HSX55:HTB55"/>
    <mergeCell ref="HTC55:HTG55"/>
    <mergeCell ref="HTH55:HTL55"/>
    <mergeCell ref="HRE55:HRI55"/>
    <mergeCell ref="HRJ55:HRN55"/>
    <mergeCell ref="HRO55:HRS55"/>
    <mergeCell ref="HRT55:HRX55"/>
    <mergeCell ref="HRY55:HSC55"/>
    <mergeCell ref="HSD55:HSH55"/>
    <mergeCell ref="HQA55:HQE55"/>
    <mergeCell ref="HQF55:HQJ55"/>
    <mergeCell ref="HQK55:HQO55"/>
    <mergeCell ref="HQP55:HQT55"/>
    <mergeCell ref="HQU55:HQY55"/>
    <mergeCell ref="HQZ55:HRD55"/>
    <mergeCell ref="HOW55:HPA55"/>
    <mergeCell ref="HPB55:HPF55"/>
    <mergeCell ref="HPG55:HPK55"/>
    <mergeCell ref="HPL55:HPP55"/>
    <mergeCell ref="HPQ55:HPU55"/>
    <mergeCell ref="HPV55:HPZ55"/>
    <mergeCell ref="HNS55:HNW55"/>
    <mergeCell ref="HNX55:HOB55"/>
    <mergeCell ref="HOC55:HOG55"/>
    <mergeCell ref="HOH55:HOL55"/>
    <mergeCell ref="HOM55:HOQ55"/>
    <mergeCell ref="HOR55:HOV55"/>
    <mergeCell ref="HMO55:HMS55"/>
    <mergeCell ref="HMT55:HMX55"/>
    <mergeCell ref="HMY55:HNC55"/>
    <mergeCell ref="HND55:HNH55"/>
    <mergeCell ref="HNI55:HNM55"/>
    <mergeCell ref="HNN55:HNR55"/>
    <mergeCell ref="HLK55:HLO55"/>
    <mergeCell ref="HLP55:HLT55"/>
    <mergeCell ref="HLU55:HLY55"/>
    <mergeCell ref="HLZ55:HMD55"/>
    <mergeCell ref="HME55:HMI55"/>
    <mergeCell ref="HMJ55:HMN55"/>
    <mergeCell ref="HKG55:HKK55"/>
    <mergeCell ref="HKL55:HKP55"/>
    <mergeCell ref="HKQ55:HKU55"/>
    <mergeCell ref="HKV55:HKZ55"/>
    <mergeCell ref="HLA55:HLE55"/>
    <mergeCell ref="HLF55:HLJ55"/>
    <mergeCell ref="HJC55:HJG55"/>
    <mergeCell ref="HJH55:HJL55"/>
    <mergeCell ref="HJM55:HJQ55"/>
    <mergeCell ref="HJR55:HJV55"/>
    <mergeCell ref="HJW55:HKA55"/>
    <mergeCell ref="HKB55:HKF55"/>
    <mergeCell ref="HHY55:HIC55"/>
    <mergeCell ref="HID55:HIH55"/>
    <mergeCell ref="HII55:HIM55"/>
    <mergeCell ref="HIN55:HIR55"/>
    <mergeCell ref="HIS55:HIW55"/>
    <mergeCell ref="HIX55:HJB55"/>
    <mergeCell ref="HGU55:HGY55"/>
    <mergeCell ref="HGZ55:HHD55"/>
    <mergeCell ref="HHE55:HHI55"/>
    <mergeCell ref="HHJ55:HHN55"/>
    <mergeCell ref="HHO55:HHS55"/>
    <mergeCell ref="HHT55:HHX55"/>
    <mergeCell ref="HFQ55:HFU55"/>
    <mergeCell ref="HFV55:HFZ55"/>
    <mergeCell ref="HGA55:HGE55"/>
    <mergeCell ref="HGF55:HGJ55"/>
    <mergeCell ref="HGK55:HGO55"/>
    <mergeCell ref="HGP55:HGT55"/>
    <mergeCell ref="HEM55:HEQ55"/>
    <mergeCell ref="HER55:HEV55"/>
    <mergeCell ref="HEW55:HFA55"/>
    <mergeCell ref="HFB55:HFF55"/>
    <mergeCell ref="HFG55:HFK55"/>
    <mergeCell ref="HFL55:HFP55"/>
    <mergeCell ref="HDI55:HDM55"/>
    <mergeCell ref="HDN55:HDR55"/>
    <mergeCell ref="HDS55:HDW55"/>
    <mergeCell ref="HDX55:HEB55"/>
    <mergeCell ref="HEC55:HEG55"/>
    <mergeCell ref="HEH55:HEL55"/>
    <mergeCell ref="HCE55:HCI55"/>
    <mergeCell ref="HCJ55:HCN55"/>
    <mergeCell ref="HCO55:HCS55"/>
    <mergeCell ref="HCT55:HCX55"/>
    <mergeCell ref="HCY55:HDC55"/>
    <mergeCell ref="HDD55:HDH55"/>
    <mergeCell ref="HBA55:HBE55"/>
    <mergeCell ref="HBF55:HBJ55"/>
    <mergeCell ref="HBK55:HBO55"/>
    <mergeCell ref="HBP55:HBT55"/>
    <mergeCell ref="HBU55:HBY55"/>
    <mergeCell ref="HBZ55:HCD55"/>
    <mergeCell ref="GZW55:HAA55"/>
    <mergeCell ref="HAB55:HAF55"/>
    <mergeCell ref="HAG55:HAK55"/>
    <mergeCell ref="HAL55:HAP55"/>
    <mergeCell ref="HAQ55:HAU55"/>
    <mergeCell ref="HAV55:HAZ55"/>
    <mergeCell ref="GYS55:GYW55"/>
    <mergeCell ref="GYX55:GZB55"/>
    <mergeCell ref="GZC55:GZG55"/>
    <mergeCell ref="GZH55:GZL55"/>
    <mergeCell ref="GZM55:GZQ55"/>
    <mergeCell ref="GZR55:GZV55"/>
    <mergeCell ref="GXO55:GXS55"/>
    <mergeCell ref="GXT55:GXX55"/>
    <mergeCell ref="GXY55:GYC55"/>
    <mergeCell ref="GYD55:GYH55"/>
    <mergeCell ref="GYI55:GYM55"/>
    <mergeCell ref="GYN55:GYR55"/>
    <mergeCell ref="GWK55:GWO55"/>
    <mergeCell ref="GWP55:GWT55"/>
    <mergeCell ref="GWU55:GWY55"/>
    <mergeCell ref="GWZ55:GXD55"/>
    <mergeCell ref="GXE55:GXI55"/>
    <mergeCell ref="GXJ55:GXN55"/>
    <mergeCell ref="GVG55:GVK55"/>
    <mergeCell ref="GVL55:GVP55"/>
    <mergeCell ref="GVQ55:GVU55"/>
    <mergeCell ref="GVV55:GVZ55"/>
    <mergeCell ref="GWA55:GWE55"/>
    <mergeCell ref="GWF55:GWJ55"/>
    <mergeCell ref="GUC55:GUG55"/>
    <mergeCell ref="GUH55:GUL55"/>
    <mergeCell ref="GUM55:GUQ55"/>
    <mergeCell ref="GUR55:GUV55"/>
    <mergeCell ref="GUW55:GVA55"/>
    <mergeCell ref="GVB55:GVF55"/>
    <mergeCell ref="GSY55:GTC55"/>
    <mergeCell ref="GTD55:GTH55"/>
    <mergeCell ref="GTI55:GTM55"/>
    <mergeCell ref="GTN55:GTR55"/>
    <mergeCell ref="GTS55:GTW55"/>
    <mergeCell ref="GTX55:GUB55"/>
    <mergeCell ref="GRU55:GRY55"/>
    <mergeCell ref="GRZ55:GSD55"/>
    <mergeCell ref="GSE55:GSI55"/>
    <mergeCell ref="GSJ55:GSN55"/>
    <mergeCell ref="GSO55:GSS55"/>
    <mergeCell ref="GST55:GSX55"/>
    <mergeCell ref="GQQ55:GQU55"/>
    <mergeCell ref="GQV55:GQZ55"/>
    <mergeCell ref="GRA55:GRE55"/>
    <mergeCell ref="GRF55:GRJ55"/>
    <mergeCell ref="GRK55:GRO55"/>
    <mergeCell ref="GRP55:GRT55"/>
    <mergeCell ref="GPM55:GPQ55"/>
    <mergeCell ref="GPR55:GPV55"/>
    <mergeCell ref="GPW55:GQA55"/>
    <mergeCell ref="GQB55:GQF55"/>
    <mergeCell ref="GQG55:GQK55"/>
    <mergeCell ref="GQL55:GQP55"/>
    <mergeCell ref="GOI55:GOM55"/>
    <mergeCell ref="GON55:GOR55"/>
    <mergeCell ref="GOS55:GOW55"/>
    <mergeCell ref="GOX55:GPB55"/>
    <mergeCell ref="GPC55:GPG55"/>
    <mergeCell ref="GPH55:GPL55"/>
    <mergeCell ref="GNE55:GNI55"/>
    <mergeCell ref="GNJ55:GNN55"/>
    <mergeCell ref="GNO55:GNS55"/>
    <mergeCell ref="GNT55:GNX55"/>
    <mergeCell ref="GNY55:GOC55"/>
    <mergeCell ref="GOD55:GOH55"/>
    <mergeCell ref="GMA55:GME55"/>
    <mergeCell ref="GMF55:GMJ55"/>
    <mergeCell ref="GMK55:GMO55"/>
    <mergeCell ref="GMP55:GMT55"/>
    <mergeCell ref="GMU55:GMY55"/>
    <mergeCell ref="GMZ55:GND55"/>
    <mergeCell ref="GKW55:GLA55"/>
    <mergeCell ref="GLB55:GLF55"/>
    <mergeCell ref="GLG55:GLK55"/>
    <mergeCell ref="GLL55:GLP55"/>
    <mergeCell ref="GLQ55:GLU55"/>
    <mergeCell ref="GLV55:GLZ55"/>
    <mergeCell ref="GJS55:GJW55"/>
    <mergeCell ref="GJX55:GKB55"/>
    <mergeCell ref="GKC55:GKG55"/>
    <mergeCell ref="GKH55:GKL55"/>
    <mergeCell ref="GKM55:GKQ55"/>
    <mergeCell ref="GKR55:GKV55"/>
    <mergeCell ref="GIO55:GIS55"/>
    <mergeCell ref="GIT55:GIX55"/>
    <mergeCell ref="GIY55:GJC55"/>
    <mergeCell ref="GJD55:GJH55"/>
    <mergeCell ref="GJI55:GJM55"/>
    <mergeCell ref="GJN55:GJR55"/>
    <mergeCell ref="GHK55:GHO55"/>
    <mergeCell ref="GHP55:GHT55"/>
    <mergeCell ref="GHU55:GHY55"/>
    <mergeCell ref="GHZ55:GID55"/>
    <mergeCell ref="GIE55:GII55"/>
    <mergeCell ref="GIJ55:GIN55"/>
    <mergeCell ref="GGG55:GGK55"/>
    <mergeCell ref="GGL55:GGP55"/>
    <mergeCell ref="GGQ55:GGU55"/>
    <mergeCell ref="GGV55:GGZ55"/>
    <mergeCell ref="GHA55:GHE55"/>
    <mergeCell ref="GHF55:GHJ55"/>
    <mergeCell ref="GFC55:GFG55"/>
    <mergeCell ref="GFH55:GFL55"/>
    <mergeCell ref="GFM55:GFQ55"/>
    <mergeCell ref="GFR55:GFV55"/>
    <mergeCell ref="GFW55:GGA55"/>
    <mergeCell ref="GGB55:GGF55"/>
    <mergeCell ref="GDY55:GEC55"/>
    <mergeCell ref="GED55:GEH55"/>
    <mergeCell ref="GEI55:GEM55"/>
    <mergeCell ref="GEN55:GER55"/>
    <mergeCell ref="GES55:GEW55"/>
    <mergeCell ref="GEX55:GFB55"/>
    <mergeCell ref="GCU55:GCY55"/>
    <mergeCell ref="GCZ55:GDD55"/>
    <mergeCell ref="GDE55:GDI55"/>
    <mergeCell ref="GDJ55:GDN55"/>
    <mergeCell ref="GDO55:GDS55"/>
    <mergeCell ref="GDT55:GDX55"/>
    <mergeCell ref="GBQ55:GBU55"/>
    <mergeCell ref="GBV55:GBZ55"/>
    <mergeCell ref="GCA55:GCE55"/>
    <mergeCell ref="GCF55:GCJ55"/>
    <mergeCell ref="GCK55:GCO55"/>
    <mergeCell ref="GCP55:GCT55"/>
    <mergeCell ref="GAM55:GAQ55"/>
    <mergeCell ref="GAR55:GAV55"/>
    <mergeCell ref="GAW55:GBA55"/>
    <mergeCell ref="GBB55:GBF55"/>
    <mergeCell ref="GBG55:GBK55"/>
    <mergeCell ref="GBL55:GBP55"/>
    <mergeCell ref="FZI55:FZM55"/>
    <mergeCell ref="FZN55:FZR55"/>
    <mergeCell ref="FZS55:FZW55"/>
    <mergeCell ref="FZX55:GAB55"/>
    <mergeCell ref="GAC55:GAG55"/>
    <mergeCell ref="GAH55:GAL55"/>
    <mergeCell ref="FYE55:FYI55"/>
    <mergeCell ref="FYJ55:FYN55"/>
    <mergeCell ref="FYO55:FYS55"/>
    <mergeCell ref="FYT55:FYX55"/>
    <mergeCell ref="FYY55:FZC55"/>
    <mergeCell ref="FZD55:FZH55"/>
    <mergeCell ref="FXA55:FXE55"/>
    <mergeCell ref="FXF55:FXJ55"/>
    <mergeCell ref="FXK55:FXO55"/>
    <mergeCell ref="FXP55:FXT55"/>
    <mergeCell ref="FXU55:FXY55"/>
    <mergeCell ref="FXZ55:FYD55"/>
    <mergeCell ref="FVW55:FWA55"/>
    <mergeCell ref="FWB55:FWF55"/>
    <mergeCell ref="FWG55:FWK55"/>
    <mergeCell ref="FWL55:FWP55"/>
    <mergeCell ref="FWQ55:FWU55"/>
    <mergeCell ref="FWV55:FWZ55"/>
    <mergeCell ref="FUS55:FUW55"/>
    <mergeCell ref="FUX55:FVB55"/>
    <mergeCell ref="FVC55:FVG55"/>
    <mergeCell ref="FVH55:FVL55"/>
    <mergeCell ref="FVM55:FVQ55"/>
    <mergeCell ref="FVR55:FVV55"/>
    <mergeCell ref="FTO55:FTS55"/>
    <mergeCell ref="FTT55:FTX55"/>
    <mergeCell ref="FTY55:FUC55"/>
    <mergeCell ref="FUD55:FUH55"/>
    <mergeCell ref="FUI55:FUM55"/>
    <mergeCell ref="FUN55:FUR55"/>
    <mergeCell ref="FSK55:FSO55"/>
    <mergeCell ref="FSP55:FST55"/>
    <mergeCell ref="FSU55:FSY55"/>
    <mergeCell ref="FSZ55:FTD55"/>
    <mergeCell ref="FTE55:FTI55"/>
    <mergeCell ref="FTJ55:FTN55"/>
    <mergeCell ref="FRG55:FRK55"/>
    <mergeCell ref="FRL55:FRP55"/>
    <mergeCell ref="FRQ55:FRU55"/>
    <mergeCell ref="FRV55:FRZ55"/>
    <mergeCell ref="FSA55:FSE55"/>
    <mergeCell ref="FSF55:FSJ55"/>
    <mergeCell ref="FQC55:FQG55"/>
    <mergeCell ref="FQH55:FQL55"/>
    <mergeCell ref="FQM55:FQQ55"/>
    <mergeCell ref="FQR55:FQV55"/>
    <mergeCell ref="FQW55:FRA55"/>
    <mergeCell ref="FRB55:FRF55"/>
    <mergeCell ref="FOY55:FPC55"/>
    <mergeCell ref="FPD55:FPH55"/>
    <mergeCell ref="FPI55:FPM55"/>
    <mergeCell ref="FPN55:FPR55"/>
    <mergeCell ref="FPS55:FPW55"/>
    <mergeCell ref="FPX55:FQB55"/>
    <mergeCell ref="FNU55:FNY55"/>
    <mergeCell ref="FNZ55:FOD55"/>
    <mergeCell ref="FOE55:FOI55"/>
    <mergeCell ref="FOJ55:FON55"/>
    <mergeCell ref="FOO55:FOS55"/>
    <mergeCell ref="FOT55:FOX55"/>
    <mergeCell ref="FMQ55:FMU55"/>
    <mergeCell ref="FMV55:FMZ55"/>
    <mergeCell ref="FNA55:FNE55"/>
    <mergeCell ref="FNF55:FNJ55"/>
    <mergeCell ref="FNK55:FNO55"/>
    <mergeCell ref="FNP55:FNT55"/>
    <mergeCell ref="FLM55:FLQ55"/>
    <mergeCell ref="FLR55:FLV55"/>
    <mergeCell ref="FLW55:FMA55"/>
    <mergeCell ref="FMB55:FMF55"/>
    <mergeCell ref="FMG55:FMK55"/>
    <mergeCell ref="FML55:FMP55"/>
    <mergeCell ref="FKI55:FKM55"/>
    <mergeCell ref="FKN55:FKR55"/>
    <mergeCell ref="FKS55:FKW55"/>
    <mergeCell ref="FKX55:FLB55"/>
    <mergeCell ref="FLC55:FLG55"/>
    <mergeCell ref="FLH55:FLL55"/>
    <mergeCell ref="FJE55:FJI55"/>
    <mergeCell ref="FJJ55:FJN55"/>
    <mergeCell ref="FJO55:FJS55"/>
    <mergeCell ref="FJT55:FJX55"/>
    <mergeCell ref="FJY55:FKC55"/>
    <mergeCell ref="FKD55:FKH55"/>
    <mergeCell ref="FIA55:FIE55"/>
    <mergeCell ref="FIF55:FIJ55"/>
    <mergeCell ref="FIK55:FIO55"/>
    <mergeCell ref="FIP55:FIT55"/>
    <mergeCell ref="FIU55:FIY55"/>
    <mergeCell ref="FIZ55:FJD55"/>
    <mergeCell ref="FGW55:FHA55"/>
    <mergeCell ref="FHB55:FHF55"/>
    <mergeCell ref="FHG55:FHK55"/>
    <mergeCell ref="FHL55:FHP55"/>
    <mergeCell ref="FHQ55:FHU55"/>
    <mergeCell ref="FHV55:FHZ55"/>
    <mergeCell ref="FFS55:FFW55"/>
    <mergeCell ref="FFX55:FGB55"/>
    <mergeCell ref="FGC55:FGG55"/>
    <mergeCell ref="FGH55:FGL55"/>
    <mergeCell ref="FGM55:FGQ55"/>
    <mergeCell ref="FGR55:FGV55"/>
    <mergeCell ref="FEO55:FES55"/>
    <mergeCell ref="FET55:FEX55"/>
    <mergeCell ref="FEY55:FFC55"/>
    <mergeCell ref="FFD55:FFH55"/>
    <mergeCell ref="FFI55:FFM55"/>
    <mergeCell ref="FFN55:FFR55"/>
    <mergeCell ref="FDK55:FDO55"/>
    <mergeCell ref="FDP55:FDT55"/>
    <mergeCell ref="FDU55:FDY55"/>
    <mergeCell ref="FDZ55:FED55"/>
    <mergeCell ref="FEE55:FEI55"/>
    <mergeCell ref="FEJ55:FEN55"/>
    <mergeCell ref="FCG55:FCK55"/>
    <mergeCell ref="FCL55:FCP55"/>
    <mergeCell ref="FCQ55:FCU55"/>
    <mergeCell ref="FCV55:FCZ55"/>
    <mergeCell ref="FDA55:FDE55"/>
    <mergeCell ref="FDF55:FDJ55"/>
    <mergeCell ref="FBC55:FBG55"/>
    <mergeCell ref="FBH55:FBL55"/>
    <mergeCell ref="FBM55:FBQ55"/>
    <mergeCell ref="FBR55:FBV55"/>
    <mergeCell ref="FBW55:FCA55"/>
    <mergeCell ref="FCB55:FCF55"/>
    <mergeCell ref="EZY55:FAC55"/>
    <mergeCell ref="FAD55:FAH55"/>
    <mergeCell ref="FAI55:FAM55"/>
    <mergeCell ref="FAN55:FAR55"/>
    <mergeCell ref="FAS55:FAW55"/>
    <mergeCell ref="FAX55:FBB55"/>
    <mergeCell ref="EYU55:EYY55"/>
    <mergeCell ref="EYZ55:EZD55"/>
    <mergeCell ref="EZE55:EZI55"/>
    <mergeCell ref="EZJ55:EZN55"/>
    <mergeCell ref="EZO55:EZS55"/>
    <mergeCell ref="EZT55:EZX55"/>
    <mergeCell ref="EXQ55:EXU55"/>
    <mergeCell ref="EXV55:EXZ55"/>
    <mergeCell ref="EYA55:EYE55"/>
    <mergeCell ref="EYF55:EYJ55"/>
    <mergeCell ref="EYK55:EYO55"/>
    <mergeCell ref="EYP55:EYT55"/>
    <mergeCell ref="EWM55:EWQ55"/>
    <mergeCell ref="EWR55:EWV55"/>
    <mergeCell ref="EWW55:EXA55"/>
    <mergeCell ref="EXB55:EXF55"/>
    <mergeCell ref="EXG55:EXK55"/>
    <mergeCell ref="EXL55:EXP55"/>
    <mergeCell ref="EVI55:EVM55"/>
    <mergeCell ref="EVN55:EVR55"/>
    <mergeCell ref="EVS55:EVW55"/>
    <mergeCell ref="EVX55:EWB55"/>
    <mergeCell ref="EWC55:EWG55"/>
    <mergeCell ref="EWH55:EWL55"/>
    <mergeCell ref="EUE55:EUI55"/>
    <mergeCell ref="EUJ55:EUN55"/>
    <mergeCell ref="EUO55:EUS55"/>
    <mergeCell ref="EUT55:EUX55"/>
    <mergeCell ref="EUY55:EVC55"/>
    <mergeCell ref="EVD55:EVH55"/>
    <mergeCell ref="ETA55:ETE55"/>
    <mergeCell ref="ETF55:ETJ55"/>
    <mergeCell ref="ETK55:ETO55"/>
    <mergeCell ref="ETP55:ETT55"/>
    <mergeCell ref="ETU55:ETY55"/>
    <mergeCell ref="ETZ55:EUD55"/>
    <mergeCell ref="ERW55:ESA55"/>
    <mergeCell ref="ESB55:ESF55"/>
    <mergeCell ref="ESG55:ESK55"/>
    <mergeCell ref="ESL55:ESP55"/>
    <mergeCell ref="ESQ55:ESU55"/>
    <mergeCell ref="ESV55:ESZ55"/>
    <mergeCell ref="EQS55:EQW55"/>
    <mergeCell ref="EQX55:ERB55"/>
    <mergeCell ref="ERC55:ERG55"/>
    <mergeCell ref="ERH55:ERL55"/>
    <mergeCell ref="ERM55:ERQ55"/>
    <mergeCell ref="ERR55:ERV55"/>
    <mergeCell ref="EPO55:EPS55"/>
    <mergeCell ref="EPT55:EPX55"/>
    <mergeCell ref="EPY55:EQC55"/>
    <mergeCell ref="EQD55:EQH55"/>
    <mergeCell ref="EQI55:EQM55"/>
    <mergeCell ref="EQN55:EQR55"/>
    <mergeCell ref="EOK55:EOO55"/>
    <mergeCell ref="EOP55:EOT55"/>
    <mergeCell ref="EOU55:EOY55"/>
    <mergeCell ref="EOZ55:EPD55"/>
    <mergeCell ref="EPE55:EPI55"/>
    <mergeCell ref="EPJ55:EPN55"/>
    <mergeCell ref="ENG55:ENK55"/>
    <mergeCell ref="ENL55:ENP55"/>
    <mergeCell ref="ENQ55:ENU55"/>
    <mergeCell ref="ENV55:ENZ55"/>
    <mergeCell ref="EOA55:EOE55"/>
    <mergeCell ref="EOF55:EOJ55"/>
    <mergeCell ref="EMC55:EMG55"/>
    <mergeCell ref="EMH55:EML55"/>
    <mergeCell ref="EMM55:EMQ55"/>
    <mergeCell ref="EMR55:EMV55"/>
    <mergeCell ref="EMW55:ENA55"/>
    <mergeCell ref="ENB55:ENF55"/>
    <mergeCell ref="EKY55:ELC55"/>
    <mergeCell ref="ELD55:ELH55"/>
    <mergeCell ref="ELI55:ELM55"/>
    <mergeCell ref="ELN55:ELR55"/>
    <mergeCell ref="ELS55:ELW55"/>
    <mergeCell ref="ELX55:EMB55"/>
    <mergeCell ref="EJU55:EJY55"/>
    <mergeCell ref="EJZ55:EKD55"/>
    <mergeCell ref="EKE55:EKI55"/>
    <mergeCell ref="EKJ55:EKN55"/>
    <mergeCell ref="EKO55:EKS55"/>
    <mergeCell ref="EKT55:EKX55"/>
    <mergeCell ref="EIQ55:EIU55"/>
    <mergeCell ref="EIV55:EIZ55"/>
    <mergeCell ref="EJA55:EJE55"/>
    <mergeCell ref="EJF55:EJJ55"/>
    <mergeCell ref="EJK55:EJO55"/>
    <mergeCell ref="EJP55:EJT55"/>
    <mergeCell ref="EHM55:EHQ55"/>
    <mergeCell ref="EHR55:EHV55"/>
    <mergeCell ref="EHW55:EIA55"/>
    <mergeCell ref="EIB55:EIF55"/>
    <mergeCell ref="EIG55:EIK55"/>
    <mergeCell ref="EIL55:EIP55"/>
    <mergeCell ref="EGI55:EGM55"/>
    <mergeCell ref="EGN55:EGR55"/>
    <mergeCell ref="EGS55:EGW55"/>
    <mergeCell ref="EGX55:EHB55"/>
    <mergeCell ref="EHC55:EHG55"/>
    <mergeCell ref="EHH55:EHL55"/>
    <mergeCell ref="EFE55:EFI55"/>
    <mergeCell ref="EFJ55:EFN55"/>
    <mergeCell ref="EFO55:EFS55"/>
    <mergeCell ref="EFT55:EFX55"/>
    <mergeCell ref="EFY55:EGC55"/>
    <mergeCell ref="EGD55:EGH55"/>
    <mergeCell ref="EEA55:EEE55"/>
    <mergeCell ref="EEF55:EEJ55"/>
    <mergeCell ref="EEK55:EEO55"/>
    <mergeCell ref="EEP55:EET55"/>
    <mergeCell ref="EEU55:EEY55"/>
    <mergeCell ref="EEZ55:EFD55"/>
    <mergeCell ref="ECW55:EDA55"/>
    <mergeCell ref="EDB55:EDF55"/>
    <mergeCell ref="EDG55:EDK55"/>
    <mergeCell ref="EDL55:EDP55"/>
    <mergeCell ref="EDQ55:EDU55"/>
    <mergeCell ref="EDV55:EDZ55"/>
    <mergeCell ref="EBS55:EBW55"/>
    <mergeCell ref="EBX55:ECB55"/>
    <mergeCell ref="ECC55:ECG55"/>
    <mergeCell ref="ECH55:ECL55"/>
    <mergeCell ref="ECM55:ECQ55"/>
    <mergeCell ref="ECR55:ECV55"/>
    <mergeCell ref="EAO55:EAS55"/>
    <mergeCell ref="EAT55:EAX55"/>
    <mergeCell ref="EAY55:EBC55"/>
    <mergeCell ref="EBD55:EBH55"/>
    <mergeCell ref="EBI55:EBM55"/>
    <mergeCell ref="EBN55:EBR55"/>
    <mergeCell ref="DZK55:DZO55"/>
    <mergeCell ref="DZP55:DZT55"/>
    <mergeCell ref="DZU55:DZY55"/>
    <mergeCell ref="DZZ55:EAD55"/>
    <mergeCell ref="EAE55:EAI55"/>
    <mergeCell ref="EAJ55:EAN55"/>
    <mergeCell ref="DYG55:DYK55"/>
    <mergeCell ref="DYL55:DYP55"/>
    <mergeCell ref="DYQ55:DYU55"/>
    <mergeCell ref="DYV55:DYZ55"/>
    <mergeCell ref="DZA55:DZE55"/>
    <mergeCell ref="DZF55:DZJ55"/>
    <mergeCell ref="DXC55:DXG55"/>
    <mergeCell ref="DXH55:DXL55"/>
    <mergeCell ref="DXM55:DXQ55"/>
    <mergeCell ref="DXR55:DXV55"/>
    <mergeCell ref="DXW55:DYA55"/>
    <mergeCell ref="DYB55:DYF55"/>
    <mergeCell ref="DVY55:DWC55"/>
    <mergeCell ref="DWD55:DWH55"/>
    <mergeCell ref="DWI55:DWM55"/>
    <mergeCell ref="DWN55:DWR55"/>
    <mergeCell ref="DWS55:DWW55"/>
    <mergeCell ref="DWX55:DXB55"/>
    <mergeCell ref="DUU55:DUY55"/>
    <mergeCell ref="DUZ55:DVD55"/>
    <mergeCell ref="DVE55:DVI55"/>
    <mergeCell ref="DVJ55:DVN55"/>
    <mergeCell ref="DVO55:DVS55"/>
    <mergeCell ref="DVT55:DVX55"/>
    <mergeCell ref="DTQ55:DTU55"/>
    <mergeCell ref="DTV55:DTZ55"/>
    <mergeCell ref="DUA55:DUE55"/>
    <mergeCell ref="DUF55:DUJ55"/>
    <mergeCell ref="DUK55:DUO55"/>
    <mergeCell ref="DUP55:DUT55"/>
    <mergeCell ref="DSM55:DSQ55"/>
    <mergeCell ref="DSR55:DSV55"/>
    <mergeCell ref="DSW55:DTA55"/>
    <mergeCell ref="DTB55:DTF55"/>
    <mergeCell ref="DTG55:DTK55"/>
    <mergeCell ref="DTL55:DTP55"/>
    <mergeCell ref="DRI55:DRM55"/>
    <mergeCell ref="DRN55:DRR55"/>
    <mergeCell ref="DRS55:DRW55"/>
    <mergeCell ref="DRX55:DSB55"/>
    <mergeCell ref="DSC55:DSG55"/>
    <mergeCell ref="DSH55:DSL55"/>
    <mergeCell ref="DQE55:DQI55"/>
    <mergeCell ref="DQJ55:DQN55"/>
    <mergeCell ref="DQO55:DQS55"/>
    <mergeCell ref="DQT55:DQX55"/>
    <mergeCell ref="DQY55:DRC55"/>
    <mergeCell ref="DRD55:DRH55"/>
    <mergeCell ref="DPA55:DPE55"/>
    <mergeCell ref="DPF55:DPJ55"/>
    <mergeCell ref="DPK55:DPO55"/>
    <mergeCell ref="DPP55:DPT55"/>
    <mergeCell ref="DPU55:DPY55"/>
    <mergeCell ref="DPZ55:DQD55"/>
    <mergeCell ref="DNW55:DOA55"/>
    <mergeCell ref="DOB55:DOF55"/>
    <mergeCell ref="DOG55:DOK55"/>
    <mergeCell ref="DOL55:DOP55"/>
    <mergeCell ref="DOQ55:DOU55"/>
    <mergeCell ref="DOV55:DOZ55"/>
    <mergeCell ref="DMS55:DMW55"/>
    <mergeCell ref="DMX55:DNB55"/>
    <mergeCell ref="DNC55:DNG55"/>
    <mergeCell ref="DNH55:DNL55"/>
    <mergeCell ref="DNM55:DNQ55"/>
    <mergeCell ref="DNR55:DNV55"/>
    <mergeCell ref="DLO55:DLS55"/>
    <mergeCell ref="DLT55:DLX55"/>
    <mergeCell ref="DLY55:DMC55"/>
    <mergeCell ref="DMD55:DMH55"/>
    <mergeCell ref="DMI55:DMM55"/>
    <mergeCell ref="DMN55:DMR55"/>
    <mergeCell ref="DKK55:DKO55"/>
    <mergeCell ref="DKP55:DKT55"/>
    <mergeCell ref="DKU55:DKY55"/>
    <mergeCell ref="DKZ55:DLD55"/>
    <mergeCell ref="DLE55:DLI55"/>
    <mergeCell ref="DLJ55:DLN55"/>
    <mergeCell ref="DJG55:DJK55"/>
    <mergeCell ref="DJL55:DJP55"/>
    <mergeCell ref="DJQ55:DJU55"/>
    <mergeCell ref="DJV55:DJZ55"/>
    <mergeCell ref="DKA55:DKE55"/>
    <mergeCell ref="DKF55:DKJ55"/>
    <mergeCell ref="DIC55:DIG55"/>
    <mergeCell ref="DIH55:DIL55"/>
    <mergeCell ref="DIM55:DIQ55"/>
    <mergeCell ref="DIR55:DIV55"/>
    <mergeCell ref="DIW55:DJA55"/>
    <mergeCell ref="DJB55:DJF55"/>
    <mergeCell ref="DGY55:DHC55"/>
    <mergeCell ref="DHD55:DHH55"/>
    <mergeCell ref="DHI55:DHM55"/>
    <mergeCell ref="DHN55:DHR55"/>
    <mergeCell ref="DHS55:DHW55"/>
    <mergeCell ref="DHX55:DIB55"/>
    <mergeCell ref="DFU55:DFY55"/>
    <mergeCell ref="DFZ55:DGD55"/>
    <mergeCell ref="DGE55:DGI55"/>
    <mergeCell ref="DGJ55:DGN55"/>
    <mergeCell ref="DGO55:DGS55"/>
    <mergeCell ref="DGT55:DGX55"/>
    <mergeCell ref="DEQ55:DEU55"/>
    <mergeCell ref="DEV55:DEZ55"/>
    <mergeCell ref="DFA55:DFE55"/>
    <mergeCell ref="DFF55:DFJ55"/>
    <mergeCell ref="DFK55:DFO55"/>
    <mergeCell ref="DFP55:DFT55"/>
    <mergeCell ref="DDM55:DDQ55"/>
    <mergeCell ref="DDR55:DDV55"/>
    <mergeCell ref="DDW55:DEA55"/>
    <mergeCell ref="DEB55:DEF55"/>
    <mergeCell ref="DEG55:DEK55"/>
    <mergeCell ref="DEL55:DEP55"/>
    <mergeCell ref="DCI55:DCM55"/>
    <mergeCell ref="DCN55:DCR55"/>
    <mergeCell ref="DCS55:DCW55"/>
    <mergeCell ref="DCX55:DDB55"/>
    <mergeCell ref="DDC55:DDG55"/>
    <mergeCell ref="DDH55:DDL55"/>
    <mergeCell ref="DBE55:DBI55"/>
    <mergeCell ref="DBJ55:DBN55"/>
    <mergeCell ref="DBO55:DBS55"/>
    <mergeCell ref="DBT55:DBX55"/>
    <mergeCell ref="DBY55:DCC55"/>
    <mergeCell ref="DCD55:DCH55"/>
    <mergeCell ref="DAA55:DAE55"/>
    <mergeCell ref="DAF55:DAJ55"/>
    <mergeCell ref="DAK55:DAO55"/>
    <mergeCell ref="DAP55:DAT55"/>
    <mergeCell ref="DAU55:DAY55"/>
    <mergeCell ref="DAZ55:DBD55"/>
    <mergeCell ref="CYW55:CZA55"/>
    <mergeCell ref="CZB55:CZF55"/>
    <mergeCell ref="CZG55:CZK55"/>
    <mergeCell ref="CZL55:CZP55"/>
    <mergeCell ref="CZQ55:CZU55"/>
    <mergeCell ref="CZV55:CZZ55"/>
    <mergeCell ref="CXS55:CXW55"/>
    <mergeCell ref="CXX55:CYB55"/>
    <mergeCell ref="CYC55:CYG55"/>
    <mergeCell ref="CYH55:CYL55"/>
    <mergeCell ref="CYM55:CYQ55"/>
    <mergeCell ref="CYR55:CYV55"/>
    <mergeCell ref="CWO55:CWS55"/>
    <mergeCell ref="CWT55:CWX55"/>
    <mergeCell ref="CWY55:CXC55"/>
    <mergeCell ref="CXD55:CXH55"/>
    <mergeCell ref="CXI55:CXM55"/>
    <mergeCell ref="CXN55:CXR55"/>
    <mergeCell ref="CVK55:CVO55"/>
    <mergeCell ref="CVP55:CVT55"/>
    <mergeCell ref="CVU55:CVY55"/>
    <mergeCell ref="CVZ55:CWD55"/>
    <mergeCell ref="CWE55:CWI55"/>
    <mergeCell ref="CWJ55:CWN55"/>
    <mergeCell ref="CUG55:CUK55"/>
    <mergeCell ref="CUL55:CUP55"/>
    <mergeCell ref="CUQ55:CUU55"/>
    <mergeCell ref="CUV55:CUZ55"/>
    <mergeCell ref="CVA55:CVE55"/>
    <mergeCell ref="CVF55:CVJ55"/>
    <mergeCell ref="CTC55:CTG55"/>
    <mergeCell ref="CTH55:CTL55"/>
    <mergeCell ref="CTM55:CTQ55"/>
    <mergeCell ref="CTR55:CTV55"/>
    <mergeCell ref="CTW55:CUA55"/>
    <mergeCell ref="CUB55:CUF55"/>
    <mergeCell ref="CRY55:CSC55"/>
    <mergeCell ref="CSD55:CSH55"/>
    <mergeCell ref="CSI55:CSM55"/>
    <mergeCell ref="CSN55:CSR55"/>
    <mergeCell ref="CSS55:CSW55"/>
    <mergeCell ref="CSX55:CTB55"/>
    <mergeCell ref="CQU55:CQY55"/>
    <mergeCell ref="CQZ55:CRD55"/>
    <mergeCell ref="CRE55:CRI55"/>
    <mergeCell ref="CRJ55:CRN55"/>
    <mergeCell ref="CRO55:CRS55"/>
    <mergeCell ref="CRT55:CRX55"/>
    <mergeCell ref="CPQ55:CPU55"/>
    <mergeCell ref="CPV55:CPZ55"/>
    <mergeCell ref="CQA55:CQE55"/>
    <mergeCell ref="CQF55:CQJ55"/>
    <mergeCell ref="CQK55:CQO55"/>
    <mergeCell ref="CQP55:CQT55"/>
    <mergeCell ref="COM55:COQ55"/>
    <mergeCell ref="COR55:COV55"/>
    <mergeCell ref="COW55:CPA55"/>
    <mergeCell ref="CPB55:CPF55"/>
    <mergeCell ref="CPG55:CPK55"/>
    <mergeCell ref="CPL55:CPP55"/>
    <mergeCell ref="CNI55:CNM55"/>
    <mergeCell ref="CNN55:CNR55"/>
    <mergeCell ref="CNS55:CNW55"/>
    <mergeCell ref="CNX55:COB55"/>
    <mergeCell ref="COC55:COG55"/>
    <mergeCell ref="COH55:COL55"/>
    <mergeCell ref="CME55:CMI55"/>
    <mergeCell ref="CMJ55:CMN55"/>
    <mergeCell ref="CMO55:CMS55"/>
    <mergeCell ref="CMT55:CMX55"/>
    <mergeCell ref="CMY55:CNC55"/>
    <mergeCell ref="CND55:CNH55"/>
    <mergeCell ref="CLA55:CLE55"/>
    <mergeCell ref="CLF55:CLJ55"/>
    <mergeCell ref="CLK55:CLO55"/>
    <mergeCell ref="CLP55:CLT55"/>
    <mergeCell ref="CLU55:CLY55"/>
    <mergeCell ref="CLZ55:CMD55"/>
    <mergeCell ref="CJW55:CKA55"/>
    <mergeCell ref="CKB55:CKF55"/>
    <mergeCell ref="CKG55:CKK55"/>
    <mergeCell ref="CKL55:CKP55"/>
    <mergeCell ref="CKQ55:CKU55"/>
    <mergeCell ref="CKV55:CKZ55"/>
    <mergeCell ref="CIS55:CIW55"/>
    <mergeCell ref="CIX55:CJB55"/>
    <mergeCell ref="CJC55:CJG55"/>
    <mergeCell ref="CJH55:CJL55"/>
    <mergeCell ref="CJM55:CJQ55"/>
    <mergeCell ref="CJR55:CJV55"/>
    <mergeCell ref="CHO55:CHS55"/>
    <mergeCell ref="CHT55:CHX55"/>
    <mergeCell ref="CHY55:CIC55"/>
    <mergeCell ref="CID55:CIH55"/>
    <mergeCell ref="CII55:CIM55"/>
    <mergeCell ref="CIN55:CIR55"/>
    <mergeCell ref="CGK55:CGO55"/>
    <mergeCell ref="CGP55:CGT55"/>
    <mergeCell ref="CGU55:CGY55"/>
    <mergeCell ref="CGZ55:CHD55"/>
    <mergeCell ref="CHE55:CHI55"/>
    <mergeCell ref="CHJ55:CHN55"/>
    <mergeCell ref="CFG55:CFK55"/>
    <mergeCell ref="CFL55:CFP55"/>
    <mergeCell ref="CFQ55:CFU55"/>
    <mergeCell ref="CFV55:CFZ55"/>
    <mergeCell ref="CGA55:CGE55"/>
    <mergeCell ref="CGF55:CGJ55"/>
    <mergeCell ref="CEC55:CEG55"/>
    <mergeCell ref="CEH55:CEL55"/>
    <mergeCell ref="CEM55:CEQ55"/>
    <mergeCell ref="CER55:CEV55"/>
    <mergeCell ref="CEW55:CFA55"/>
    <mergeCell ref="CFB55:CFF55"/>
    <mergeCell ref="CCY55:CDC55"/>
    <mergeCell ref="CDD55:CDH55"/>
    <mergeCell ref="CDI55:CDM55"/>
    <mergeCell ref="CDN55:CDR55"/>
    <mergeCell ref="CDS55:CDW55"/>
    <mergeCell ref="CDX55:CEB55"/>
    <mergeCell ref="CBU55:CBY55"/>
    <mergeCell ref="CBZ55:CCD55"/>
    <mergeCell ref="CCE55:CCI55"/>
    <mergeCell ref="CCJ55:CCN55"/>
    <mergeCell ref="CCO55:CCS55"/>
    <mergeCell ref="CCT55:CCX55"/>
    <mergeCell ref="CAQ55:CAU55"/>
    <mergeCell ref="CAV55:CAZ55"/>
    <mergeCell ref="CBA55:CBE55"/>
    <mergeCell ref="CBF55:CBJ55"/>
    <mergeCell ref="CBK55:CBO55"/>
    <mergeCell ref="CBP55:CBT55"/>
    <mergeCell ref="BZM55:BZQ55"/>
    <mergeCell ref="BZR55:BZV55"/>
    <mergeCell ref="BZW55:CAA55"/>
    <mergeCell ref="CAB55:CAF55"/>
    <mergeCell ref="CAG55:CAK55"/>
    <mergeCell ref="CAL55:CAP55"/>
    <mergeCell ref="BYI55:BYM55"/>
    <mergeCell ref="BYN55:BYR55"/>
    <mergeCell ref="BYS55:BYW55"/>
    <mergeCell ref="BYX55:BZB55"/>
    <mergeCell ref="BZC55:BZG55"/>
    <mergeCell ref="BZH55:BZL55"/>
    <mergeCell ref="BXE55:BXI55"/>
    <mergeCell ref="BXJ55:BXN55"/>
    <mergeCell ref="BXO55:BXS55"/>
    <mergeCell ref="BXT55:BXX55"/>
    <mergeCell ref="BXY55:BYC55"/>
    <mergeCell ref="BYD55:BYH55"/>
    <mergeCell ref="BWA55:BWE55"/>
    <mergeCell ref="BWF55:BWJ55"/>
    <mergeCell ref="BWK55:BWO55"/>
    <mergeCell ref="BWP55:BWT55"/>
    <mergeCell ref="BWU55:BWY55"/>
    <mergeCell ref="BWZ55:BXD55"/>
    <mergeCell ref="BUW55:BVA55"/>
    <mergeCell ref="BVB55:BVF55"/>
    <mergeCell ref="BVG55:BVK55"/>
    <mergeCell ref="BVL55:BVP55"/>
    <mergeCell ref="BVQ55:BVU55"/>
    <mergeCell ref="BVV55:BVZ55"/>
    <mergeCell ref="BTS55:BTW55"/>
    <mergeCell ref="BTX55:BUB55"/>
    <mergeCell ref="BUC55:BUG55"/>
    <mergeCell ref="BUH55:BUL55"/>
    <mergeCell ref="BUM55:BUQ55"/>
    <mergeCell ref="BUR55:BUV55"/>
    <mergeCell ref="BSO55:BSS55"/>
    <mergeCell ref="BST55:BSX55"/>
    <mergeCell ref="BSY55:BTC55"/>
    <mergeCell ref="BTD55:BTH55"/>
    <mergeCell ref="BTI55:BTM55"/>
    <mergeCell ref="BTN55:BTR55"/>
    <mergeCell ref="BRK55:BRO55"/>
    <mergeCell ref="BRP55:BRT55"/>
    <mergeCell ref="BRU55:BRY55"/>
    <mergeCell ref="BRZ55:BSD55"/>
    <mergeCell ref="BSE55:BSI55"/>
    <mergeCell ref="BSJ55:BSN55"/>
    <mergeCell ref="BQG55:BQK55"/>
    <mergeCell ref="BQL55:BQP55"/>
    <mergeCell ref="BQQ55:BQU55"/>
    <mergeCell ref="BQV55:BQZ55"/>
    <mergeCell ref="BRA55:BRE55"/>
    <mergeCell ref="BRF55:BRJ55"/>
    <mergeCell ref="BPC55:BPG55"/>
    <mergeCell ref="BPH55:BPL55"/>
    <mergeCell ref="BPM55:BPQ55"/>
    <mergeCell ref="BPR55:BPV55"/>
    <mergeCell ref="BPW55:BQA55"/>
    <mergeCell ref="BQB55:BQF55"/>
    <mergeCell ref="BNY55:BOC55"/>
    <mergeCell ref="BOD55:BOH55"/>
    <mergeCell ref="BOI55:BOM55"/>
    <mergeCell ref="BON55:BOR55"/>
    <mergeCell ref="BOS55:BOW55"/>
    <mergeCell ref="BOX55:BPB55"/>
    <mergeCell ref="BMU55:BMY55"/>
    <mergeCell ref="BMZ55:BND55"/>
    <mergeCell ref="BNE55:BNI55"/>
    <mergeCell ref="BNJ55:BNN55"/>
    <mergeCell ref="BNO55:BNS55"/>
    <mergeCell ref="BNT55:BNX55"/>
    <mergeCell ref="BLQ55:BLU55"/>
    <mergeCell ref="BLV55:BLZ55"/>
    <mergeCell ref="BMA55:BME55"/>
    <mergeCell ref="BMF55:BMJ55"/>
    <mergeCell ref="BMK55:BMO55"/>
    <mergeCell ref="BMP55:BMT55"/>
    <mergeCell ref="BKM55:BKQ55"/>
    <mergeCell ref="BKR55:BKV55"/>
    <mergeCell ref="BKW55:BLA55"/>
    <mergeCell ref="BLB55:BLF55"/>
    <mergeCell ref="BLG55:BLK55"/>
    <mergeCell ref="BLL55:BLP55"/>
    <mergeCell ref="BJI55:BJM55"/>
    <mergeCell ref="BJN55:BJR55"/>
    <mergeCell ref="BJS55:BJW55"/>
    <mergeCell ref="BJX55:BKB55"/>
    <mergeCell ref="BKC55:BKG55"/>
    <mergeCell ref="BKH55:BKL55"/>
    <mergeCell ref="BIE55:BII55"/>
    <mergeCell ref="BIJ55:BIN55"/>
    <mergeCell ref="BIO55:BIS55"/>
    <mergeCell ref="BIT55:BIX55"/>
    <mergeCell ref="BIY55:BJC55"/>
    <mergeCell ref="BJD55:BJH55"/>
    <mergeCell ref="BHA55:BHE55"/>
    <mergeCell ref="BHF55:BHJ55"/>
    <mergeCell ref="BHK55:BHO55"/>
    <mergeCell ref="BHP55:BHT55"/>
    <mergeCell ref="BHU55:BHY55"/>
    <mergeCell ref="BHZ55:BID55"/>
    <mergeCell ref="BFW55:BGA55"/>
    <mergeCell ref="BGB55:BGF55"/>
    <mergeCell ref="BGG55:BGK55"/>
    <mergeCell ref="BGL55:BGP55"/>
    <mergeCell ref="BGQ55:BGU55"/>
    <mergeCell ref="BGV55:BGZ55"/>
    <mergeCell ref="BES55:BEW55"/>
    <mergeCell ref="BEX55:BFB55"/>
    <mergeCell ref="BFC55:BFG55"/>
    <mergeCell ref="BFH55:BFL55"/>
    <mergeCell ref="BFM55:BFQ55"/>
    <mergeCell ref="BFR55:BFV55"/>
    <mergeCell ref="BDO55:BDS55"/>
    <mergeCell ref="BDT55:BDX55"/>
    <mergeCell ref="BDY55:BEC55"/>
    <mergeCell ref="BED55:BEH55"/>
    <mergeCell ref="BEI55:BEM55"/>
    <mergeCell ref="BEN55:BER55"/>
    <mergeCell ref="BCK55:BCO55"/>
    <mergeCell ref="BCP55:BCT55"/>
    <mergeCell ref="BCU55:BCY55"/>
    <mergeCell ref="BCZ55:BDD55"/>
    <mergeCell ref="BDE55:BDI55"/>
    <mergeCell ref="BDJ55:BDN55"/>
    <mergeCell ref="BBG55:BBK55"/>
    <mergeCell ref="BBL55:BBP55"/>
    <mergeCell ref="BBQ55:BBU55"/>
    <mergeCell ref="BBV55:BBZ55"/>
    <mergeCell ref="BCA55:BCE55"/>
    <mergeCell ref="BCF55:BCJ55"/>
    <mergeCell ref="BAC55:BAG55"/>
    <mergeCell ref="BAH55:BAL55"/>
    <mergeCell ref="BAM55:BAQ55"/>
    <mergeCell ref="BAR55:BAV55"/>
    <mergeCell ref="BAW55:BBA55"/>
    <mergeCell ref="BBB55:BBF55"/>
    <mergeCell ref="AYY55:AZC55"/>
    <mergeCell ref="AZD55:AZH55"/>
    <mergeCell ref="AZI55:AZM55"/>
    <mergeCell ref="AZN55:AZR55"/>
    <mergeCell ref="AZS55:AZW55"/>
    <mergeCell ref="AZX55:BAB55"/>
    <mergeCell ref="AXU55:AXY55"/>
    <mergeCell ref="AXZ55:AYD55"/>
    <mergeCell ref="AYE55:AYI55"/>
    <mergeCell ref="AYJ55:AYN55"/>
    <mergeCell ref="AYO55:AYS55"/>
    <mergeCell ref="AYT55:AYX55"/>
    <mergeCell ref="AWQ55:AWU55"/>
    <mergeCell ref="AWV55:AWZ55"/>
    <mergeCell ref="AXA55:AXE55"/>
    <mergeCell ref="AXF55:AXJ55"/>
    <mergeCell ref="AXK55:AXO55"/>
    <mergeCell ref="AXP55:AXT55"/>
    <mergeCell ref="AVM55:AVQ55"/>
    <mergeCell ref="AVR55:AVV55"/>
    <mergeCell ref="AVW55:AWA55"/>
    <mergeCell ref="AWB55:AWF55"/>
    <mergeCell ref="AWG55:AWK55"/>
    <mergeCell ref="AWL55:AWP55"/>
    <mergeCell ref="AUI55:AUM55"/>
    <mergeCell ref="AUN55:AUR55"/>
    <mergeCell ref="AUS55:AUW55"/>
    <mergeCell ref="AUX55:AVB55"/>
    <mergeCell ref="AVC55:AVG55"/>
    <mergeCell ref="AVH55:AVL55"/>
    <mergeCell ref="ATE55:ATI55"/>
    <mergeCell ref="ATJ55:ATN55"/>
    <mergeCell ref="ATO55:ATS55"/>
    <mergeCell ref="ATT55:ATX55"/>
    <mergeCell ref="ATY55:AUC55"/>
    <mergeCell ref="AUD55:AUH55"/>
    <mergeCell ref="ASA55:ASE55"/>
    <mergeCell ref="ASF55:ASJ55"/>
    <mergeCell ref="ASK55:ASO55"/>
    <mergeCell ref="ASP55:AST55"/>
    <mergeCell ref="ASU55:ASY55"/>
    <mergeCell ref="ASZ55:ATD55"/>
    <mergeCell ref="AQW55:ARA55"/>
    <mergeCell ref="ARB55:ARF55"/>
    <mergeCell ref="ARG55:ARK55"/>
    <mergeCell ref="ARL55:ARP55"/>
    <mergeCell ref="ARQ55:ARU55"/>
    <mergeCell ref="ARV55:ARZ55"/>
    <mergeCell ref="APS55:APW55"/>
    <mergeCell ref="APX55:AQB55"/>
    <mergeCell ref="AQC55:AQG55"/>
    <mergeCell ref="AQH55:AQL55"/>
    <mergeCell ref="AQM55:AQQ55"/>
    <mergeCell ref="AQR55:AQV55"/>
    <mergeCell ref="AOO55:AOS55"/>
    <mergeCell ref="AOT55:AOX55"/>
    <mergeCell ref="AOY55:APC55"/>
    <mergeCell ref="APD55:APH55"/>
    <mergeCell ref="API55:APM55"/>
    <mergeCell ref="APN55:APR55"/>
    <mergeCell ref="ANK55:ANO55"/>
    <mergeCell ref="ANP55:ANT55"/>
    <mergeCell ref="ANU55:ANY55"/>
    <mergeCell ref="ANZ55:AOD55"/>
    <mergeCell ref="AOE55:AOI55"/>
    <mergeCell ref="AOJ55:AON55"/>
    <mergeCell ref="AMG55:AMK55"/>
    <mergeCell ref="AML55:AMP55"/>
    <mergeCell ref="AMQ55:AMU55"/>
    <mergeCell ref="AMV55:AMZ55"/>
    <mergeCell ref="ANA55:ANE55"/>
    <mergeCell ref="ANF55:ANJ55"/>
    <mergeCell ref="ALC55:ALG55"/>
    <mergeCell ref="ALH55:ALL55"/>
    <mergeCell ref="ALM55:ALQ55"/>
    <mergeCell ref="ALR55:ALV55"/>
    <mergeCell ref="ALW55:AMA55"/>
    <mergeCell ref="AMB55:AMF55"/>
    <mergeCell ref="AJY55:AKC55"/>
    <mergeCell ref="AKD55:AKH55"/>
    <mergeCell ref="AKI55:AKM55"/>
    <mergeCell ref="AKN55:AKR55"/>
    <mergeCell ref="AKS55:AKW55"/>
    <mergeCell ref="AKX55:ALB55"/>
    <mergeCell ref="AIU55:AIY55"/>
    <mergeCell ref="AIZ55:AJD55"/>
    <mergeCell ref="AJE55:AJI55"/>
    <mergeCell ref="AJJ55:AJN55"/>
    <mergeCell ref="AJO55:AJS55"/>
    <mergeCell ref="AJT55:AJX55"/>
    <mergeCell ref="AHQ55:AHU55"/>
    <mergeCell ref="AHV55:AHZ55"/>
    <mergeCell ref="AIA55:AIE55"/>
    <mergeCell ref="AIF55:AIJ55"/>
    <mergeCell ref="AIK55:AIO55"/>
    <mergeCell ref="AIP55:AIT55"/>
    <mergeCell ref="AGM55:AGQ55"/>
    <mergeCell ref="AGR55:AGV55"/>
    <mergeCell ref="AGW55:AHA55"/>
    <mergeCell ref="AHB55:AHF55"/>
    <mergeCell ref="AHG55:AHK55"/>
    <mergeCell ref="AHL55:AHP55"/>
    <mergeCell ref="AFI55:AFM55"/>
    <mergeCell ref="AFN55:AFR55"/>
    <mergeCell ref="AFS55:AFW55"/>
    <mergeCell ref="AFX55:AGB55"/>
    <mergeCell ref="AGC55:AGG55"/>
    <mergeCell ref="AGH55:AGL55"/>
    <mergeCell ref="AEE55:AEI55"/>
    <mergeCell ref="AEJ55:AEN55"/>
    <mergeCell ref="AEO55:AES55"/>
    <mergeCell ref="AET55:AEX55"/>
    <mergeCell ref="AEY55:AFC55"/>
    <mergeCell ref="AFD55:AFH55"/>
    <mergeCell ref="ADA55:ADE55"/>
    <mergeCell ref="ADF55:ADJ55"/>
    <mergeCell ref="ADK55:ADO55"/>
    <mergeCell ref="ADP55:ADT55"/>
    <mergeCell ref="ADU55:ADY55"/>
    <mergeCell ref="ADZ55:AED55"/>
    <mergeCell ref="ABW55:ACA55"/>
    <mergeCell ref="ACB55:ACF55"/>
    <mergeCell ref="ACG55:ACK55"/>
    <mergeCell ref="ACL55:ACP55"/>
    <mergeCell ref="ACQ55:ACU55"/>
    <mergeCell ref="ACV55:ACZ55"/>
    <mergeCell ref="AAS55:AAW55"/>
    <mergeCell ref="AAX55:ABB55"/>
    <mergeCell ref="ABC55:ABG55"/>
    <mergeCell ref="ABH55:ABL55"/>
    <mergeCell ref="ABM55:ABQ55"/>
    <mergeCell ref="ABR55:ABV55"/>
    <mergeCell ref="ZO55:ZS55"/>
    <mergeCell ref="ZT55:ZX55"/>
    <mergeCell ref="ZY55:AAC55"/>
    <mergeCell ref="AAD55:AAH55"/>
    <mergeCell ref="AAI55:AAM55"/>
    <mergeCell ref="AAN55:AAR55"/>
    <mergeCell ref="YK55:YO55"/>
    <mergeCell ref="YP55:YT55"/>
    <mergeCell ref="YU55:YY55"/>
    <mergeCell ref="YZ55:ZD55"/>
    <mergeCell ref="ZE55:ZI55"/>
    <mergeCell ref="ZJ55:ZN55"/>
    <mergeCell ref="XG55:XK55"/>
    <mergeCell ref="XL55:XP55"/>
    <mergeCell ref="XQ55:XU55"/>
    <mergeCell ref="XV55:XZ55"/>
    <mergeCell ref="YA55:YE55"/>
    <mergeCell ref="YF55:YJ55"/>
    <mergeCell ref="WC55:WG55"/>
    <mergeCell ref="WH55:WL55"/>
    <mergeCell ref="WM55:WQ55"/>
    <mergeCell ref="WR55:WV55"/>
    <mergeCell ref="WW55:XA55"/>
    <mergeCell ref="XB55:XF55"/>
    <mergeCell ref="UY55:VC55"/>
    <mergeCell ref="VD55:VH55"/>
    <mergeCell ref="VI55:VM55"/>
    <mergeCell ref="VN55:VR55"/>
    <mergeCell ref="VS55:VW55"/>
    <mergeCell ref="VX55:WB55"/>
    <mergeCell ref="TU55:TY55"/>
    <mergeCell ref="TZ55:UD55"/>
    <mergeCell ref="UE55:UI55"/>
    <mergeCell ref="UJ55:UN55"/>
    <mergeCell ref="UO55:US55"/>
    <mergeCell ref="UT55:UX55"/>
    <mergeCell ref="SQ55:SU55"/>
    <mergeCell ref="SV55:SZ55"/>
    <mergeCell ref="TA55:TE55"/>
    <mergeCell ref="TF55:TJ55"/>
    <mergeCell ref="TK55:TO55"/>
    <mergeCell ref="TP55:TT55"/>
    <mergeCell ref="RM55:RQ55"/>
    <mergeCell ref="RR55:RV55"/>
    <mergeCell ref="RW55:SA55"/>
    <mergeCell ref="SB55:SF55"/>
    <mergeCell ref="SG55:SK55"/>
    <mergeCell ref="SL55:SP55"/>
    <mergeCell ref="QI55:QM55"/>
    <mergeCell ref="QN55:QR55"/>
    <mergeCell ref="QS55:QW55"/>
    <mergeCell ref="QX55:RB55"/>
    <mergeCell ref="RC55:RG55"/>
    <mergeCell ref="RH55:RL55"/>
    <mergeCell ref="PE55:PI55"/>
    <mergeCell ref="PJ55:PN55"/>
    <mergeCell ref="PO55:PS55"/>
    <mergeCell ref="PT55:PX55"/>
    <mergeCell ref="PY55:QC55"/>
    <mergeCell ref="QD55:QH55"/>
    <mergeCell ref="OA55:OE55"/>
    <mergeCell ref="OF55:OJ55"/>
    <mergeCell ref="OK55:OO55"/>
    <mergeCell ref="OP55:OT55"/>
    <mergeCell ref="OU55:OY55"/>
    <mergeCell ref="OZ55:PD55"/>
    <mergeCell ref="MW55:NA55"/>
    <mergeCell ref="NB55:NF55"/>
    <mergeCell ref="NG55:NK55"/>
    <mergeCell ref="NL55:NP55"/>
    <mergeCell ref="NQ55:NU55"/>
    <mergeCell ref="NV55:NZ55"/>
    <mergeCell ref="LS55:LW55"/>
    <mergeCell ref="LX55:MB55"/>
    <mergeCell ref="MC55:MG55"/>
    <mergeCell ref="MH55:ML55"/>
    <mergeCell ref="MM55:MQ55"/>
    <mergeCell ref="MR55:MV55"/>
    <mergeCell ref="KO55:KS55"/>
    <mergeCell ref="KT55:KX55"/>
    <mergeCell ref="KY55:LC55"/>
    <mergeCell ref="LD55:LH55"/>
    <mergeCell ref="LI55:LM55"/>
    <mergeCell ref="LN55:LR55"/>
    <mergeCell ref="JK55:JO55"/>
    <mergeCell ref="JP55:JT55"/>
    <mergeCell ref="JU55:JY55"/>
    <mergeCell ref="JZ55:KD55"/>
    <mergeCell ref="KE55:KI55"/>
    <mergeCell ref="KJ55:KN55"/>
    <mergeCell ref="IG55:IK55"/>
    <mergeCell ref="IL55:IP55"/>
    <mergeCell ref="IQ55:IU55"/>
    <mergeCell ref="IV55:IZ55"/>
    <mergeCell ref="JA55:JE55"/>
    <mergeCell ref="JF55:JJ55"/>
    <mergeCell ref="HC55:HG55"/>
    <mergeCell ref="HH55:HL55"/>
    <mergeCell ref="HM55:HQ55"/>
    <mergeCell ref="HR55:HV55"/>
    <mergeCell ref="HW55:IA55"/>
    <mergeCell ref="IB55:IF55"/>
    <mergeCell ref="FY55:GC55"/>
    <mergeCell ref="GD55:GH55"/>
    <mergeCell ref="GI55:GM55"/>
    <mergeCell ref="GN55:GR55"/>
    <mergeCell ref="GS55:GW55"/>
    <mergeCell ref="GX55:HB55"/>
    <mergeCell ref="EU55:EY55"/>
    <mergeCell ref="EZ55:FD55"/>
    <mergeCell ref="FE55:FI55"/>
    <mergeCell ref="FJ55:FN55"/>
    <mergeCell ref="FO55:FS55"/>
    <mergeCell ref="FT55:FX55"/>
    <mergeCell ref="DQ55:DU55"/>
    <mergeCell ref="DV55:DZ55"/>
    <mergeCell ref="EA55:EE55"/>
    <mergeCell ref="EF55:EJ55"/>
    <mergeCell ref="EK55:EO55"/>
    <mergeCell ref="EP55:ET55"/>
    <mergeCell ref="CM55:CQ55"/>
    <mergeCell ref="CR55:CV55"/>
    <mergeCell ref="CW55:DA55"/>
    <mergeCell ref="DB55:DF55"/>
    <mergeCell ref="DG55:DK55"/>
    <mergeCell ref="DL55:DP55"/>
    <mergeCell ref="BI55:BM55"/>
    <mergeCell ref="BN55:BR55"/>
    <mergeCell ref="BS55:BW55"/>
    <mergeCell ref="BX55:CB55"/>
    <mergeCell ref="CC55:CG55"/>
    <mergeCell ref="CH55:CL55"/>
    <mergeCell ref="AE55:AI55"/>
    <mergeCell ref="AJ55:AN55"/>
    <mergeCell ref="AO55:AS55"/>
    <mergeCell ref="AT55:AX55"/>
    <mergeCell ref="AY55:BC55"/>
    <mergeCell ref="BD55:BH55"/>
    <mergeCell ref="A55:E55"/>
    <mergeCell ref="F55:J55"/>
    <mergeCell ref="K55:O55"/>
    <mergeCell ref="P55:T55"/>
    <mergeCell ref="U55:Y55"/>
    <mergeCell ref="Z55:AD55"/>
    <mergeCell ref="XEB54:XEF54"/>
    <mergeCell ref="XEG54:XEK54"/>
    <mergeCell ref="XEL54:XEP54"/>
    <mergeCell ref="XEQ54:XEU54"/>
    <mergeCell ref="XEV54:XEZ54"/>
    <mergeCell ref="XFA54:XFD54"/>
    <mergeCell ref="XCX54:XDB54"/>
    <mergeCell ref="XDC54:XDG54"/>
    <mergeCell ref="XDH54:XDL54"/>
    <mergeCell ref="XDM54:XDQ54"/>
    <mergeCell ref="XDR54:XDV54"/>
    <mergeCell ref="XDW54:XEA54"/>
    <mergeCell ref="XBT54:XBX54"/>
    <mergeCell ref="XBY54:XCC54"/>
    <mergeCell ref="XCD54:XCH54"/>
    <mergeCell ref="XCI54:XCM54"/>
    <mergeCell ref="XCN54:XCR54"/>
    <mergeCell ref="XCS54:XCW54"/>
    <mergeCell ref="XAP54:XAT54"/>
    <mergeCell ref="XAU54:XAY54"/>
    <mergeCell ref="XAZ54:XBD54"/>
    <mergeCell ref="XBE54:XBI54"/>
    <mergeCell ref="XBJ54:XBN54"/>
    <mergeCell ref="XBO54:XBS54"/>
    <mergeCell ref="WZL54:WZP54"/>
    <mergeCell ref="WZQ54:WZU54"/>
    <mergeCell ref="WZV54:WZZ54"/>
    <mergeCell ref="XAA54:XAE54"/>
    <mergeCell ref="XAF54:XAJ54"/>
    <mergeCell ref="XAK54:XAO54"/>
    <mergeCell ref="WYH54:WYL54"/>
    <mergeCell ref="WYM54:WYQ54"/>
    <mergeCell ref="WYR54:WYV54"/>
    <mergeCell ref="WYW54:WZA54"/>
    <mergeCell ref="WZB54:WZF54"/>
    <mergeCell ref="WZG54:WZK54"/>
    <mergeCell ref="WXD54:WXH54"/>
    <mergeCell ref="WXI54:WXM54"/>
    <mergeCell ref="WXN54:WXR54"/>
    <mergeCell ref="WXS54:WXW54"/>
    <mergeCell ref="WXX54:WYB54"/>
    <mergeCell ref="WYC54:WYG54"/>
    <mergeCell ref="WVZ54:WWD54"/>
    <mergeCell ref="WWE54:WWI54"/>
    <mergeCell ref="WWJ54:WWN54"/>
    <mergeCell ref="WWO54:WWS54"/>
    <mergeCell ref="WWT54:WWX54"/>
    <mergeCell ref="WWY54:WXC54"/>
    <mergeCell ref="WUV54:WUZ54"/>
    <mergeCell ref="WVA54:WVE54"/>
    <mergeCell ref="WVF54:WVJ54"/>
    <mergeCell ref="WVK54:WVO54"/>
    <mergeCell ref="WVP54:WVT54"/>
    <mergeCell ref="WVU54:WVY54"/>
    <mergeCell ref="WTR54:WTV54"/>
    <mergeCell ref="WTW54:WUA54"/>
    <mergeCell ref="WUB54:WUF54"/>
    <mergeCell ref="WUG54:WUK54"/>
    <mergeCell ref="WUL54:WUP54"/>
    <mergeCell ref="WUQ54:WUU54"/>
    <mergeCell ref="WSN54:WSR54"/>
    <mergeCell ref="WSS54:WSW54"/>
    <mergeCell ref="WSX54:WTB54"/>
    <mergeCell ref="WTC54:WTG54"/>
    <mergeCell ref="WTH54:WTL54"/>
    <mergeCell ref="WTM54:WTQ54"/>
    <mergeCell ref="WRJ54:WRN54"/>
    <mergeCell ref="WRO54:WRS54"/>
    <mergeCell ref="WRT54:WRX54"/>
    <mergeCell ref="WRY54:WSC54"/>
    <mergeCell ref="WSD54:WSH54"/>
    <mergeCell ref="WSI54:WSM54"/>
    <mergeCell ref="WQF54:WQJ54"/>
    <mergeCell ref="WQK54:WQO54"/>
    <mergeCell ref="WQP54:WQT54"/>
    <mergeCell ref="WQU54:WQY54"/>
    <mergeCell ref="WQZ54:WRD54"/>
    <mergeCell ref="WRE54:WRI54"/>
    <mergeCell ref="WPB54:WPF54"/>
    <mergeCell ref="WPG54:WPK54"/>
    <mergeCell ref="WPL54:WPP54"/>
    <mergeCell ref="WPQ54:WPU54"/>
    <mergeCell ref="WPV54:WPZ54"/>
    <mergeCell ref="WQA54:WQE54"/>
    <mergeCell ref="WNX54:WOB54"/>
    <mergeCell ref="WOC54:WOG54"/>
    <mergeCell ref="WOH54:WOL54"/>
    <mergeCell ref="WOM54:WOQ54"/>
    <mergeCell ref="WOR54:WOV54"/>
    <mergeCell ref="WOW54:WPA54"/>
    <mergeCell ref="WMT54:WMX54"/>
    <mergeCell ref="WMY54:WNC54"/>
    <mergeCell ref="WND54:WNH54"/>
    <mergeCell ref="WNI54:WNM54"/>
    <mergeCell ref="WNN54:WNR54"/>
    <mergeCell ref="WNS54:WNW54"/>
    <mergeCell ref="WLP54:WLT54"/>
    <mergeCell ref="WLU54:WLY54"/>
    <mergeCell ref="WLZ54:WMD54"/>
    <mergeCell ref="WME54:WMI54"/>
    <mergeCell ref="WMJ54:WMN54"/>
    <mergeCell ref="WMO54:WMS54"/>
    <mergeCell ref="WKL54:WKP54"/>
    <mergeCell ref="WKQ54:WKU54"/>
    <mergeCell ref="WKV54:WKZ54"/>
    <mergeCell ref="WLA54:WLE54"/>
    <mergeCell ref="WLF54:WLJ54"/>
    <mergeCell ref="WLK54:WLO54"/>
    <mergeCell ref="WJH54:WJL54"/>
    <mergeCell ref="WJM54:WJQ54"/>
    <mergeCell ref="WJR54:WJV54"/>
    <mergeCell ref="WJW54:WKA54"/>
    <mergeCell ref="WKB54:WKF54"/>
    <mergeCell ref="WKG54:WKK54"/>
    <mergeCell ref="WID54:WIH54"/>
    <mergeCell ref="WII54:WIM54"/>
    <mergeCell ref="WIN54:WIR54"/>
    <mergeCell ref="WIS54:WIW54"/>
    <mergeCell ref="WIX54:WJB54"/>
    <mergeCell ref="WJC54:WJG54"/>
    <mergeCell ref="WGZ54:WHD54"/>
    <mergeCell ref="WHE54:WHI54"/>
    <mergeCell ref="WHJ54:WHN54"/>
    <mergeCell ref="WHO54:WHS54"/>
    <mergeCell ref="WHT54:WHX54"/>
    <mergeCell ref="WHY54:WIC54"/>
    <mergeCell ref="WFV54:WFZ54"/>
    <mergeCell ref="WGA54:WGE54"/>
    <mergeCell ref="WGF54:WGJ54"/>
    <mergeCell ref="WGK54:WGO54"/>
    <mergeCell ref="WGP54:WGT54"/>
    <mergeCell ref="WGU54:WGY54"/>
    <mergeCell ref="WER54:WEV54"/>
    <mergeCell ref="WEW54:WFA54"/>
    <mergeCell ref="WFB54:WFF54"/>
    <mergeCell ref="WFG54:WFK54"/>
    <mergeCell ref="WFL54:WFP54"/>
    <mergeCell ref="WFQ54:WFU54"/>
    <mergeCell ref="WDN54:WDR54"/>
    <mergeCell ref="WDS54:WDW54"/>
    <mergeCell ref="WDX54:WEB54"/>
    <mergeCell ref="WEC54:WEG54"/>
    <mergeCell ref="WEH54:WEL54"/>
    <mergeCell ref="WEM54:WEQ54"/>
    <mergeCell ref="WCJ54:WCN54"/>
    <mergeCell ref="WCO54:WCS54"/>
    <mergeCell ref="WCT54:WCX54"/>
    <mergeCell ref="WCY54:WDC54"/>
    <mergeCell ref="WDD54:WDH54"/>
    <mergeCell ref="WDI54:WDM54"/>
    <mergeCell ref="WBF54:WBJ54"/>
    <mergeCell ref="WBK54:WBO54"/>
    <mergeCell ref="WBP54:WBT54"/>
    <mergeCell ref="WBU54:WBY54"/>
    <mergeCell ref="WBZ54:WCD54"/>
    <mergeCell ref="WCE54:WCI54"/>
    <mergeCell ref="WAB54:WAF54"/>
    <mergeCell ref="WAG54:WAK54"/>
    <mergeCell ref="WAL54:WAP54"/>
    <mergeCell ref="WAQ54:WAU54"/>
    <mergeCell ref="WAV54:WAZ54"/>
    <mergeCell ref="WBA54:WBE54"/>
    <mergeCell ref="VYX54:VZB54"/>
    <mergeCell ref="VZC54:VZG54"/>
    <mergeCell ref="VZH54:VZL54"/>
    <mergeCell ref="VZM54:VZQ54"/>
    <mergeCell ref="VZR54:VZV54"/>
    <mergeCell ref="VZW54:WAA54"/>
    <mergeCell ref="VXT54:VXX54"/>
    <mergeCell ref="VXY54:VYC54"/>
    <mergeCell ref="VYD54:VYH54"/>
    <mergeCell ref="VYI54:VYM54"/>
    <mergeCell ref="VYN54:VYR54"/>
    <mergeCell ref="VYS54:VYW54"/>
    <mergeCell ref="VWP54:VWT54"/>
    <mergeCell ref="VWU54:VWY54"/>
    <mergeCell ref="VWZ54:VXD54"/>
    <mergeCell ref="VXE54:VXI54"/>
    <mergeCell ref="VXJ54:VXN54"/>
    <mergeCell ref="VXO54:VXS54"/>
    <mergeCell ref="VVL54:VVP54"/>
    <mergeCell ref="VVQ54:VVU54"/>
    <mergeCell ref="VVV54:VVZ54"/>
    <mergeCell ref="VWA54:VWE54"/>
    <mergeCell ref="VWF54:VWJ54"/>
    <mergeCell ref="VWK54:VWO54"/>
    <mergeCell ref="VUH54:VUL54"/>
    <mergeCell ref="VUM54:VUQ54"/>
    <mergeCell ref="VUR54:VUV54"/>
    <mergeCell ref="VUW54:VVA54"/>
    <mergeCell ref="VVB54:VVF54"/>
    <mergeCell ref="VVG54:VVK54"/>
    <mergeCell ref="VTD54:VTH54"/>
    <mergeCell ref="VTI54:VTM54"/>
    <mergeCell ref="VTN54:VTR54"/>
    <mergeCell ref="VTS54:VTW54"/>
    <mergeCell ref="VTX54:VUB54"/>
    <mergeCell ref="VUC54:VUG54"/>
    <mergeCell ref="VRZ54:VSD54"/>
    <mergeCell ref="VSE54:VSI54"/>
    <mergeCell ref="VSJ54:VSN54"/>
    <mergeCell ref="VSO54:VSS54"/>
    <mergeCell ref="VST54:VSX54"/>
    <mergeCell ref="VSY54:VTC54"/>
    <mergeCell ref="VQV54:VQZ54"/>
    <mergeCell ref="VRA54:VRE54"/>
    <mergeCell ref="VRF54:VRJ54"/>
    <mergeCell ref="VRK54:VRO54"/>
    <mergeCell ref="VRP54:VRT54"/>
    <mergeCell ref="VRU54:VRY54"/>
    <mergeCell ref="VPR54:VPV54"/>
    <mergeCell ref="VPW54:VQA54"/>
    <mergeCell ref="VQB54:VQF54"/>
    <mergeCell ref="VQG54:VQK54"/>
    <mergeCell ref="VQL54:VQP54"/>
    <mergeCell ref="VQQ54:VQU54"/>
    <mergeCell ref="VON54:VOR54"/>
    <mergeCell ref="VOS54:VOW54"/>
    <mergeCell ref="VOX54:VPB54"/>
    <mergeCell ref="VPC54:VPG54"/>
    <mergeCell ref="VPH54:VPL54"/>
    <mergeCell ref="VPM54:VPQ54"/>
    <mergeCell ref="VNJ54:VNN54"/>
    <mergeCell ref="VNO54:VNS54"/>
    <mergeCell ref="VNT54:VNX54"/>
    <mergeCell ref="VNY54:VOC54"/>
    <mergeCell ref="VOD54:VOH54"/>
    <mergeCell ref="VOI54:VOM54"/>
    <mergeCell ref="VMF54:VMJ54"/>
    <mergeCell ref="VMK54:VMO54"/>
    <mergeCell ref="VMP54:VMT54"/>
    <mergeCell ref="VMU54:VMY54"/>
    <mergeCell ref="VMZ54:VND54"/>
    <mergeCell ref="VNE54:VNI54"/>
    <mergeCell ref="VLB54:VLF54"/>
    <mergeCell ref="VLG54:VLK54"/>
    <mergeCell ref="VLL54:VLP54"/>
    <mergeCell ref="VLQ54:VLU54"/>
    <mergeCell ref="VLV54:VLZ54"/>
    <mergeCell ref="VMA54:VME54"/>
    <mergeCell ref="VJX54:VKB54"/>
    <mergeCell ref="VKC54:VKG54"/>
    <mergeCell ref="VKH54:VKL54"/>
    <mergeCell ref="VKM54:VKQ54"/>
    <mergeCell ref="VKR54:VKV54"/>
    <mergeCell ref="VKW54:VLA54"/>
    <mergeCell ref="VIT54:VIX54"/>
    <mergeCell ref="VIY54:VJC54"/>
    <mergeCell ref="VJD54:VJH54"/>
    <mergeCell ref="VJI54:VJM54"/>
    <mergeCell ref="VJN54:VJR54"/>
    <mergeCell ref="VJS54:VJW54"/>
    <mergeCell ref="VHP54:VHT54"/>
    <mergeCell ref="VHU54:VHY54"/>
    <mergeCell ref="VHZ54:VID54"/>
    <mergeCell ref="VIE54:VII54"/>
    <mergeCell ref="VIJ54:VIN54"/>
    <mergeCell ref="VIO54:VIS54"/>
    <mergeCell ref="VGL54:VGP54"/>
    <mergeCell ref="VGQ54:VGU54"/>
    <mergeCell ref="VGV54:VGZ54"/>
    <mergeCell ref="VHA54:VHE54"/>
    <mergeCell ref="VHF54:VHJ54"/>
    <mergeCell ref="VHK54:VHO54"/>
    <mergeCell ref="VFH54:VFL54"/>
    <mergeCell ref="VFM54:VFQ54"/>
    <mergeCell ref="VFR54:VFV54"/>
    <mergeCell ref="VFW54:VGA54"/>
    <mergeCell ref="VGB54:VGF54"/>
    <mergeCell ref="VGG54:VGK54"/>
    <mergeCell ref="VED54:VEH54"/>
    <mergeCell ref="VEI54:VEM54"/>
    <mergeCell ref="VEN54:VER54"/>
    <mergeCell ref="VES54:VEW54"/>
    <mergeCell ref="VEX54:VFB54"/>
    <mergeCell ref="VFC54:VFG54"/>
    <mergeCell ref="VCZ54:VDD54"/>
    <mergeCell ref="VDE54:VDI54"/>
    <mergeCell ref="VDJ54:VDN54"/>
    <mergeCell ref="VDO54:VDS54"/>
    <mergeCell ref="VDT54:VDX54"/>
    <mergeCell ref="VDY54:VEC54"/>
    <mergeCell ref="VBV54:VBZ54"/>
    <mergeCell ref="VCA54:VCE54"/>
    <mergeCell ref="VCF54:VCJ54"/>
    <mergeCell ref="VCK54:VCO54"/>
    <mergeCell ref="VCP54:VCT54"/>
    <mergeCell ref="VCU54:VCY54"/>
    <mergeCell ref="VAR54:VAV54"/>
    <mergeCell ref="VAW54:VBA54"/>
    <mergeCell ref="VBB54:VBF54"/>
    <mergeCell ref="VBG54:VBK54"/>
    <mergeCell ref="VBL54:VBP54"/>
    <mergeCell ref="VBQ54:VBU54"/>
    <mergeCell ref="UZN54:UZR54"/>
    <mergeCell ref="UZS54:UZW54"/>
    <mergeCell ref="UZX54:VAB54"/>
    <mergeCell ref="VAC54:VAG54"/>
    <mergeCell ref="VAH54:VAL54"/>
    <mergeCell ref="VAM54:VAQ54"/>
    <mergeCell ref="UYJ54:UYN54"/>
    <mergeCell ref="UYO54:UYS54"/>
    <mergeCell ref="UYT54:UYX54"/>
    <mergeCell ref="UYY54:UZC54"/>
    <mergeCell ref="UZD54:UZH54"/>
    <mergeCell ref="UZI54:UZM54"/>
    <mergeCell ref="UXF54:UXJ54"/>
    <mergeCell ref="UXK54:UXO54"/>
    <mergeCell ref="UXP54:UXT54"/>
    <mergeCell ref="UXU54:UXY54"/>
    <mergeCell ref="UXZ54:UYD54"/>
    <mergeCell ref="UYE54:UYI54"/>
    <mergeCell ref="UWB54:UWF54"/>
    <mergeCell ref="UWG54:UWK54"/>
    <mergeCell ref="UWL54:UWP54"/>
    <mergeCell ref="UWQ54:UWU54"/>
    <mergeCell ref="UWV54:UWZ54"/>
    <mergeCell ref="UXA54:UXE54"/>
    <mergeCell ref="UUX54:UVB54"/>
    <mergeCell ref="UVC54:UVG54"/>
    <mergeCell ref="UVH54:UVL54"/>
    <mergeCell ref="UVM54:UVQ54"/>
    <mergeCell ref="UVR54:UVV54"/>
    <mergeCell ref="UVW54:UWA54"/>
    <mergeCell ref="UTT54:UTX54"/>
    <mergeCell ref="UTY54:UUC54"/>
    <mergeCell ref="UUD54:UUH54"/>
    <mergeCell ref="UUI54:UUM54"/>
    <mergeCell ref="UUN54:UUR54"/>
    <mergeCell ref="UUS54:UUW54"/>
    <mergeCell ref="USP54:UST54"/>
    <mergeCell ref="USU54:USY54"/>
    <mergeCell ref="USZ54:UTD54"/>
    <mergeCell ref="UTE54:UTI54"/>
    <mergeCell ref="UTJ54:UTN54"/>
    <mergeCell ref="UTO54:UTS54"/>
    <mergeCell ref="URL54:URP54"/>
    <mergeCell ref="URQ54:URU54"/>
    <mergeCell ref="URV54:URZ54"/>
    <mergeCell ref="USA54:USE54"/>
    <mergeCell ref="USF54:USJ54"/>
    <mergeCell ref="USK54:USO54"/>
    <mergeCell ref="UQH54:UQL54"/>
    <mergeCell ref="UQM54:UQQ54"/>
    <mergeCell ref="UQR54:UQV54"/>
    <mergeCell ref="UQW54:URA54"/>
    <mergeCell ref="URB54:URF54"/>
    <mergeCell ref="URG54:URK54"/>
    <mergeCell ref="UPD54:UPH54"/>
    <mergeCell ref="UPI54:UPM54"/>
    <mergeCell ref="UPN54:UPR54"/>
    <mergeCell ref="UPS54:UPW54"/>
    <mergeCell ref="UPX54:UQB54"/>
    <mergeCell ref="UQC54:UQG54"/>
    <mergeCell ref="UNZ54:UOD54"/>
    <mergeCell ref="UOE54:UOI54"/>
    <mergeCell ref="UOJ54:UON54"/>
    <mergeCell ref="UOO54:UOS54"/>
    <mergeCell ref="UOT54:UOX54"/>
    <mergeCell ref="UOY54:UPC54"/>
    <mergeCell ref="UMV54:UMZ54"/>
    <mergeCell ref="UNA54:UNE54"/>
    <mergeCell ref="UNF54:UNJ54"/>
    <mergeCell ref="UNK54:UNO54"/>
    <mergeCell ref="UNP54:UNT54"/>
    <mergeCell ref="UNU54:UNY54"/>
    <mergeCell ref="ULR54:ULV54"/>
    <mergeCell ref="ULW54:UMA54"/>
    <mergeCell ref="UMB54:UMF54"/>
    <mergeCell ref="UMG54:UMK54"/>
    <mergeCell ref="UML54:UMP54"/>
    <mergeCell ref="UMQ54:UMU54"/>
    <mergeCell ref="UKN54:UKR54"/>
    <mergeCell ref="UKS54:UKW54"/>
    <mergeCell ref="UKX54:ULB54"/>
    <mergeCell ref="ULC54:ULG54"/>
    <mergeCell ref="ULH54:ULL54"/>
    <mergeCell ref="ULM54:ULQ54"/>
    <mergeCell ref="UJJ54:UJN54"/>
    <mergeCell ref="UJO54:UJS54"/>
    <mergeCell ref="UJT54:UJX54"/>
    <mergeCell ref="UJY54:UKC54"/>
    <mergeCell ref="UKD54:UKH54"/>
    <mergeCell ref="UKI54:UKM54"/>
    <mergeCell ref="UIF54:UIJ54"/>
    <mergeCell ref="UIK54:UIO54"/>
    <mergeCell ref="UIP54:UIT54"/>
    <mergeCell ref="UIU54:UIY54"/>
    <mergeCell ref="UIZ54:UJD54"/>
    <mergeCell ref="UJE54:UJI54"/>
    <mergeCell ref="UHB54:UHF54"/>
    <mergeCell ref="UHG54:UHK54"/>
    <mergeCell ref="UHL54:UHP54"/>
    <mergeCell ref="UHQ54:UHU54"/>
    <mergeCell ref="UHV54:UHZ54"/>
    <mergeCell ref="UIA54:UIE54"/>
    <mergeCell ref="UFX54:UGB54"/>
    <mergeCell ref="UGC54:UGG54"/>
    <mergeCell ref="UGH54:UGL54"/>
    <mergeCell ref="UGM54:UGQ54"/>
    <mergeCell ref="UGR54:UGV54"/>
    <mergeCell ref="UGW54:UHA54"/>
    <mergeCell ref="UET54:UEX54"/>
    <mergeCell ref="UEY54:UFC54"/>
    <mergeCell ref="UFD54:UFH54"/>
    <mergeCell ref="UFI54:UFM54"/>
    <mergeCell ref="UFN54:UFR54"/>
    <mergeCell ref="UFS54:UFW54"/>
    <mergeCell ref="UDP54:UDT54"/>
    <mergeCell ref="UDU54:UDY54"/>
    <mergeCell ref="UDZ54:UED54"/>
    <mergeCell ref="UEE54:UEI54"/>
    <mergeCell ref="UEJ54:UEN54"/>
    <mergeCell ref="UEO54:UES54"/>
    <mergeCell ref="UCL54:UCP54"/>
    <mergeCell ref="UCQ54:UCU54"/>
    <mergeCell ref="UCV54:UCZ54"/>
    <mergeCell ref="UDA54:UDE54"/>
    <mergeCell ref="UDF54:UDJ54"/>
    <mergeCell ref="UDK54:UDO54"/>
    <mergeCell ref="UBH54:UBL54"/>
    <mergeCell ref="UBM54:UBQ54"/>
    <mergeCell ref="UBR54:UBV54"/>
    <mergeCell ref="UBW54:UCA54"/>
    <mergeCell ref="UCB54:UCF54"/>
    <mergeCell ref="UCG54:UCK54"/>
    <mergeCell ref="UAD54:UAH54"/>
    <mergeCell ref="UAI54:UAM54"/>
    <mergeCell ref="UAN54:UAR54"/>
    <mergeCell ref="UAS54:UAW54"/>
    <mergeCell ref="UAX54:UBB54"/>
    <mergeCell ref="UBC54:UBG54"/>
    <mergeCell ref="TYZ54:TZD54"/>
    <mergeCell ref="TZE54:TZI54"/>
    <mergeCell ref="TZJ54:TZN54"/>
    <mergeCell ref="TZO54:TZS54"/>
    <mergeCell ref="TZT54:TZX54"/>
    <mergeCell ref="TZY54:UAC54"/>
    <mergeCell ref="TXV54:TXZ54"/>
    <mergeCell ref="TYA54:TYE54"/>
    <mergeCell ref="TYF54:TYJ54"/>
    <mergeCell ref="TYK54:TYO54"/>
    <mergeCell ref="TYP54:TYT54"/>
    <mergeCell ref="TYU54:TYY54"/>
    <mergeCell ref="TWR54:TWV54"/>
    <mergeCell ref="TWW54:TXA54"/>
    <mergeCell ref="TXB54:TXF54"/>
    <mergeCell ref="TXG54:TXK54"/>
    <mergeCell ref="TXL54:TXP54"/>
    <mergeCell ref="TXQ54:TXU54"/>
    <mergeCell ref="TVN54:TVR54"/>
    <mergeCell ref="TVS54:TVW54"/>
    <mergeCell ref="TVX54:TWB54"/>
    <mergeCell ref="TWC54:TWG54"/>
    <mergeCell ref="TWH54:TWL54"/>
    <mergeCell ref="TWM54:TWQ54"/>
    <mergeCell ref="TUJ54:TUN54"/>
    <mergeCell ref="TUO54:TUS54"/>
    <mergeCell ref="TUT54:TUX54"/>
    <mergeCell ref="TUY54:TVC54"/>
    <mergeCell ref="TVD54:TVH54"/>
    <mergeCell ref="TVI54:TVM54"/>
    <mergeCell ref="TTF54:TTJ54"/>
    <mergeCell ref="TTK54:TTO54"/>
    <mergeCell ref="TTP54:TTT54"/>
    <mergeCell ref="TTU54:TTY54"/>
    <mergeCell ref="TTZ54:TUD54"/>
    <mergeCell ref="TUE54:TUI54"/>
    <mergeCell ref="TSB54:TSF54"/>
    <mergeCell ref="TSG54:TSK54"/>
    <mergeCell ref="TSL54:TSP54"/>
    <mergeCell ref="TSQ54:TSU54"/>
    <mergeCell ref="TSV54:TSZ54"/>
    <mergeCell ref="TTA54:TTE54"/>
    <mergeCell ref="TQX54:TRB54"/>
    <mergeCell ref="TRC54:TRG54"/>
    <mergeCell ref="TRH54:TRL54"/>
    <mergeCell ref="TRM54:TRQ54"/>
    <mergeCell ref="TRR54:TRV54"/>
    <mergeCell ref="TRW54:TSA54"/>
    <mergeCell ref="TPT54:TPX54"/>
    <mergeCell ref="TPY54:TQC54"/>
    <mergeCell ref="TQD54:TQH54"/>
    <mergeCell ref="TQI54:TQM54"/>
    <mergeCell ref="TQN54:TQR54"/>
    <mergeCell ref="TQS54:TQW54"/>
    <mergeCell ref="TOP54:TOT54"/>
    <mergeCell ref="TOU54:TOY54"/>
    <mergeCell ref="TOZ54:TPD54"/>
    <mergeCell ref="TPE54:TPI54"/>
    <mergeCell ref="TPJ54:TPN54"/>
    <mergeCell ref="TPO54:TPS54"/>
    <mergeCell ref="TNL54:TNP54"/>
    <mergeCell ref="TNQ54:TNU54"/>
    <mergeCell ref="TNV54:TNZ54"/>
    <mergeCell ref="TOA54:TOE54"/>
    <mergeCell ref="TOF54:TOJ54"/>
    <mergeCell ref="TOK54:TOO54"/>
    <mergeCell ref="TMH54:TML54"/>
    <mergeCell ref="TMM54:TMQ54"/>
    <mergeCell ref="TMR54:TMV54"/>
    <mergeCell ref="TMW54:TNA54"/>
    <mergeCell ref="TNB54:TNF54"/>
    <mergeCell ref="TNG54:TNK54"/>
    <mergeCell ref="TLD54:TLH54"/>
    <mergeCell ref="TLI54:TLM54"/>
    <mergeCell ref="TLN54:TLR54"/>
    <mergeCell ref="TLS54:TLW54"/>
    <mergeCell ref="TLX54:TMB54"/>
    <mergeCell ref="TMC54:TMG54"/>
    <mergeCell ref="TJZ54:TKD54"/>
    <mergeCell ref="TKE54:TKI54"/>
    <mergeCell ref="TKJ54:TKN54"/>
    <mergeCell ref="TKO54:TKS54"/>
    <mergeCell ref="TKT54:TKX54"/>
    <mergeCell ref="TKY54:TLC54"/>
    <mergeCell ref="TIV54:TIZ54"/>
    <mergeCell ref="TJA54:TJE54"/>
    <mergeCell ref="TJF54:TJJ54"/>
    <mergeCell ref="TJK54:TJO54"/>
    <mergeCell ref="TJP54:TJT54"/>
    <mergeCell ref="TJU54:TJY54"/>
    <mergeCell ref="THR54:THV54"/>
    <mergeCell ref="THW54:TIA54"/>
    <mergeCell ref="TIB54:TIF54"/>
    <mergeCell ref="TIG54:TIK54"/>
    <mergeCell ref="TIL54:TIP54"/>
    <mergeCell ref="TIQ54:TIU54"/>
    <mergeCell ref="TGN54:TGR54"/>
    <mergeCell ref="TGS54:TGW54"/>
    <mergeCell ref="TGX54:THB54"/>
    <mergeCell ref="THC54:THG54"/>
    <mergeCell ref="THH54:THL54"/>
    <mergeCell ref="THM54:THQ54"/>
    <mergeCell ref="TFJ54:TFN54"/>
    <mergeCell ref="TFO54:TFS54"/>
    <mergeCell ref="TFT54:TFX54"/>
    <mergeCell ref="TFY54:TGC54"/>
    <mergeCell ref="TGD54:TGH54"/>
    <mergeCell ref="TGI54:TGM54"/>
    <mergeCell ref="TEF54:TEJ54"/>
    <mergeCell ref="TEK54:TEO54"/>
    <mergeCell ref="TEP54:TET54"/>
    <mergeCell ref="TEU54:TEY54"/>
    <mergeCell ref="TEZ54:TFD54"/>
    <mergeCell ref="TFE54:TFI54"/>
    <mergeCell ref="TDB54:TDF54"/>
    <mergeCell ref="TDG54:TDK54"/>
    <mergeCell ref="TDL54:TDP54"/>
    <mergeCell ref="TDQ54:TDU54"/>
    <mergeCell ref="TDV54:TDZ54"/>
    <mergeCell ref="TEA54:TEE54"/>
    <mergeCell ref="TBX54:TCB54"/>
    <mergeCell ref="TCC54:TCG54"/>
    <mergeCell ref="TCH54:TCL54"/>
    <mergeCell ref="TCM54:TCQ54"/>
    <mergeCell ref="TCR54:TCV54"/>
    <mergeCell ref="TCW54:TDA54"/>
    <mergeCell ref="TAT54:TAX54"/>
    <mergeCell ref="TAY54:TBC54"/>
    <mergeCell ref="TBD54:TBH54"/>
    <mergeCell ref="TBI54:TBM54"/>
    <mergeCell ref="TBN54:TBR54"/>
    <mergeCell ref="TBS54:TBW54"/>
    <mergeCell ref="SZP54:SZT54"/>
    <mergeCell ref="SZU54:SZY54"/>
    <mergeCell ref="SZZ54:TAD54"/>
    <mergeCell ref="TAE54:TAI54"/>
    <mergeCell ref="TAJ54:TAN54"/>
    <mergeCell ref="TAO54:TAS54"/>
    <mergeCell ref="SYL54:SYP54"/>
    <mergeCell ref="SYQ54:SYU54"/>
    <mergeCell ref="SYV54:SYZ54"/>
    <mergeCell ref="SZA54:SZE54"/>
    <mergeCell ref="SZF54:SZJ54"/>
    <mergeCell ref="SZK54:SZO54"/>
    <mergeCell ref="SXH54:SXL54"/>
    <mergeCell ref="SXM54:SXQ54"/>
    <mergeCell ref="SXR54:SXV54"/>
    <mergeCell ref="SXW54:SYA54"/>
    <mergeCell ref="SYB54:SYF54"/>
    <mergeCell ref="SYG54:SYK54"/>
    <mergeCell ref="SWD54:SWH54"/>
    <mergeCell ref="SWI54:SWM54"/>
    <mergeCell ref="SWN54:SWR54"/>
    <mergeCell ref="SWS54:SWW54"/>
    <mergeCell ref="SWX54:SXB54"/>
    <mergeCell ref="SXC54:SXG54"/>
    <mergeCell ref="SUZ54:SVD54"/>
    <mergeCell ref="SVE54:SVI54"/>
    <mergeCell ref="SVJ54:SVN54"/>
    <mergeCell ref="SVO54:SVS54"/>
    <mergeCell ref="SVT54:SVX54"/>
    <mergeCell ref="SVY54:SWC54"/>
    <mergeCell ref="STV54:STZ54"/>
    <mergeCell ref="SUA54:SUE54"/>
    <mergeCell ref="SUF54:SUJ54"/>
    <mergeCell ref="SUK54:SUO54"/>
    <mergeCell ref="SUP54:SUT54"/>
    <mergeCell ref="SUU54:SUY54"/>
    <mergeCell ref="SSR54:SSV54"/>
    <mergeCell ref="SSW54:STA54"/>
    <mergeCell ref="STB54:STF54"/>
    <mergeCell ref="STG54:STK54"/>
    <mergeCell ref="STL54:STP54"/>
    <mergeCell ref="STQ54:STU54"/>
    <mergeCell ref="SRN54:SRR54"/>
    <mergeCell ref="SRS54:SRW54"/>
    <mergeCell ref="SRX54:SSB54"/>
    <mergeCell ref="SSC54:SSG54"/>
    <mergeCell ref="SSH54:SSL54"/>
    <mergeCell ref="SSM54:SSQ54"/>
    <mergeCell ref="SQJ54:SQN54"/>
    <mergeCell ref="SQO54:SQS54"/>
    <mergeCell ref="SQT54:SQX54"/>
    <mergeCell ref="SQY54:SRC54"/>
    <mergeCell ref="SRD54:SRH54"/>
    <mergeCell ref="SRI54:SRM54"/>
    <mergeCell ref="SPF54:SPJ54"/>
    <mergeCell ref="SPK54:SPO54"/>
    <mergeCell ref="SPP54:SPT54"/>
    <mergeCell ref="SPU54:SPY54"/>
    <mergeCell ref="SPZ54:SQD54"/>
    <mergeCell ref="SQE54:SQI54"/>
    <mergeCell ref="SOB54:SOF54"/>
    <mergeCell ref="SOG54:SOK54"/>
    <mergeCell ref="SOL54:SOP54"/>
    <mergeCell ref="SOQ54:SOU54"/>
    <mergeCell ref="SOV54:SOZ54"/>
    <mergeCell ref="SPA54:SPE54"/>
    <mergeCell ref="SMX54:SNB54"/>
    <mergeCell ref="SNC54:SNG54"/>
    <mergeCell ref="SNH54:SNL54"/>
    <mergeCell ref="SNM54:SNQ54"/>
    <mergeCell ref="SNR54:SNV54"/>
    <mergeCell ref="SNW54:SOA54"/>
    <mergeCell ref="SLT54:SLX54"/>
    <mergeCell ref="SLY54:SMC54"/>
    <mergeCell ref="SMD54:SMH54"/>
    <mergeCell ref="SMI54:SMM54"/>
    <mergeCell ref="SMN54:SMR54"/>
    <mergeCell ref="SMS54:SMW54"/>
    <mergeCell ref="SKP54:SKT54"/>
    <mergeCell ref="SKU54:SKY54"/>
    <mergeCell ref="SKZ54:SLD54"/>
    <mergeCell ref="SLE54:SLI54"/>
    <mergeCell ref="SLJ54:SLN54"/>
    <mergeCell ref="SLO54:SLS54"/>
    <mergeCell ref="SJL54:SJP54"/>
    <mergeCell ref="SJQ54:SJU54"/>
    <mergeCell ref="SJV54:SJZ54"/>
    <mergeCell ref="SKA54:SKE54"/>
    <mergeCell ref="SKF54:SKJ54"/>
    <mergeCell ref="SKK54:SKO54"/>
    <mergeCell ref="SIH54:SIL54"/>
    <mergeCell ref="SIM54:SIQ54"/>
    <mergeCell ref="SIR54:SIV54"/>
    <mergeCell ref="SIW54:SJA54"/>
    <mergeCell ref="SJB54:SJF54"/>
    <mergeCell ref="SJG54:SJK54"/>
    <mergeCell ref="SHD54:SHH54"/>
    <mergeCell ref="SHI54:SHM54"/>
    <mergeCell ref="SHN54:SHR54"/>
    <mergeCell ref="SHS54:SHW54"/>
    <mergeCell ref="SHX54:SIB54"/>
    <mergeCell ref="SIC54:SIG54"/>
    <mergeCell ref="SFZ54:SGD54"/>
    <mergeCell ref="SGE54:SGI54"/>
    <mergeCell ref="SGJ54:SGN54"/>
    <mergeCell ref="SGO54:SGS54"/>
    <mergeCell ref="SGT54:SGX54"/>
    <mergeCell ref="SGY54:SHC54"/>
    <mergeCell ref="SEV54:SEZ54"/>
    <mergeCell ref="SFA54:SFE54"/>
    <mergeCell ref="SFF54:SFJ54"/>
    <mergeCell ref="SFK54:SFO54"/>
    <mergeCell ref="SFP54:SFT54"/>
    <mergeCell ref="SFU54:SFY54"/>
    <mergeCell ref="SDR54:SDV54"/>
    <mergeCell ref="SDW54:SEA54"/>
    <mergeCell ref="SEB54:SEF54"/>
    <mergeCell ref="SEG54:SEK54"/>
    <mergeCell ref="SEL54:SEP54"/>
    <mergeCell ref="SEQ54:SEU54"/>
    <mergeCell ref="SCN54:SCR54"/>
    <mergeCell ref="SCS54:SCW54"/>
    <mergeCell ref="SCX54:SDB54"/>
    <mergeCell ref="SDC54:SDG54"/>
    <mergeCell ref="SDH54:SDL54"/>
    <mergeCell ref="SDM54:SDQ54"/>
    <mergeCell ref="SBJ54:SBN54"/>
    <mergeCell ref="SBO54:SBS54"/>
    <mergeCell ref="SBT54:SBX54"/>
    <mergeCell ref="SBY54:SCC54"/>
    <mergeCell ref="SCD54:SCH54"/>
    <mergeCell ref="SCI54:SCM54"/>
    <mergeCell ref="SAF54:SAJ54"/>
    <mergeCell ref="SAK54:SAO54"/>
    <mergeCell ref="SAP54:SAT54"/>
    <mergeCell ref="SAU54:SAY54"/>
    <mergeCell ref="SAZ54:SBD54"/>
    <mergeCell ref="SBE54:SBI54"/>
    <mergeCell ref="RZB54:RZF54"/>
    <mergeCell ref="RZG54:RZK54"/>
    <mergeCell ref="RZL54:RZP54"/>
    <mergeCell ref="RZQ54:RZU54"/>
    <mergeCell ref="RZV54:RZZ54"/>
    <mergeCell ref="SAA54:SAE54"/>
    <mergeCell ref="RXX54:RYB54"/>
    <mergeCell ref="RYC54:RYG54"/>
    <mergeCell ref="RYH54:RYL54"/>
    <mergeCell ref="RYM54:RYQ54"/>
    <mergeCell ref="RYR54:RYV54"/>
    <mergeCell ref="RYW54:RZA54"/>
    <mergeCell ref="RWT54:RWX54"/>
    <mergeCell ref="RWY54:RXC54"/>
    <mergeCell ref="RXD54:RXH54"/>
    <mergeCell ref="RXI54:RXM54"/>
    <mergeCell ref="RXN54:RXR54"/>
    <mergeCell ref="RXS54:RXW54"/>
    <mergeCell ref="RVP54:RVT54"/>
    <mergeCell ref="RVU54:RVY54"/>
    <mergeCell ref="RVZ54:RWD54"/>
    <mergeCell ref="RWE54:RWI54"/>
    <mergeCell ref="RWJ54:RWN54"/>
    <mergeCell ref="RWO54:RWS54"/>
    <mergeCell ref="RUL54:RUP54"/>
    <mergeCell ref="RUQ54:RUU54"/>
    <mergeCell ref="RUV54:RUZ54"/>
    <mergeCell ref="RVA54:RVE54"/>
    <mergeCell ref="RVF54:RVJ54"/>
    <mergeCell ref="RVK54:RVO54"/>
    <mergeCell ref="RTH54:RTL54"/>
    <mergeCell ref="RTM54:RTQ54"/>
    <mergeCell ref="RTR54:RTV54"/>
    <mergeCell ref="RTW54:RUA54"/>
    <mergeCell ref="RUB54:RUF54"/>
    <mergeCell ref="RUG54:RUK54"/>
    <mergeCell ref="RSD54:RSH54"/>
    <mergeCell ref="RSI54:RSM54"/>
    <mergeCell ref="RSN54:RSR54"/>
    <mergeCell ref="RSS54:RSW54"/>
    <mergeCell ref="RSX54:RTB54"/>
    <mergeCell ref="RTC54:RTG54"/>
    <mergeCell ref="RQZ54:RRD54"/>
    <mergeCell ref="RRE54:RRI54"/>
    <mergeCell ref="RRJ54:RRN54"/>
    <mergeCell ref="RRO54:RRS54"/>
    <mergeCell ref="RRT54:RRX54"/>
    <mergeCell ref="RRY54:RSC54"/>
    <mergeCell ref="RPV54:RPZ54"/>
    <mergeCell ref="RQA54:RQE54"/>
    <mergeCell ref="RQF54:RQJ54"/>
    <mergeCell ref="RQK54:RQO54"/>
    <mergeCell ref="RQP54:RQT54"/>
    <mergeCell ref="RQU54:RQY54"/>
    <mergeCell ref="ROR54:ROV54"/>
    <mergeCell ref="ROW54:RPA54"/>
    <mergeCell ref="RPB54:RPF54"/>
    <mergeCell ref="RPG54:RPK54"/>
    <mergeCell ref="RPL54:RPP54"/>
    <mergeCell ref="RPQ54:RPU54"/>
    <mergeCell ref="RNN54:RNR54"/>
    <mergeCell ref="RNS54:RNW54"/>
    <mergeCell ref="RNX54:ROB54"/>
    <mergeCell ref="ROC54:ROG54"/>
    <mergeCell ref="ROH54:ROL54"/>
    <mergeCell ref="ROM54:ROQ54"/>
    <mergeCell ref="RMJ54:RMN54"/>
    <mergeCell ref="RMO54:RMS54"/>
    <mergeCell ref="RMT54:RMX54"/>
    <mergeCell ref="RMY54:RNC54"/>
    <mergeCell ref="RND54:RNH54"/>
    <mergeCell ref="RNI54:RNM54"/>
    <mergeCell ref="RLF54:RLJ54"/>
    <mergeCell ref="RLK54:RLO54"/>
    <mergeCell ref="RLP54:RLT54"/>
    <mergeCell ref="RLU54:RLY54"/>
    <mergeCell ref="RLZ54:RMD54"/>
    <mergeCell ref="RME54:RMI54"/>
    <mergeCell ref="RKB54:RKF54"/>
    <mergeCell ref="RKG54:RKK54"/>
    <mergeCell ref="RKL54:RKP54"/>
    <mergeCell ref="RKQ54:RKU54"/>
    <mergeCell ref="RKV54:RKZ54"/>
    <mergeCell ref="RLA54:RLE54"/>
    <mergeCell ref="RIX54:RJB54"/>
    <mergeCell ref="RJC54:RJG54"/>
    <mergeCell ref="RJH54:RJL54"/>
    <mergeCell ref="RJM54:RJQ54"/>
    <mergeCell ref="RJR54:RJV54"/>
    <mergeCell ref="RJW54:RKA54"/>
    <mergeCell ref="RHT54:RHX54"/>
    <mergeCell ref="RHY54:RIC54"/>
    <mergeCell ref="RID54:RIH54"/>
    <mergeCell ref="RII54:RIM54"/>
    <mergeCell ref="RIN54:RIR54"/>
    <mergeCell ref="RIS54:RIW54"/>
    <mergeCell ref="RGP54:RGT54"/>
    <mergeCell ref="RGU54:RGY54"/>
    <mergeCell ref="RGZ54:RHD54"/>
    <mergeCell ref="RHE54:RHI54"/>
    <mergeCell ref="RHJ54:RHN54"/>
    <mergeCell ref="RHO54:RHS54"/>
    <mergeCell ref="RFL54:RFP54"/>
    <mergeCell ref="RFQ54:RFU54"/>
    <mergeCell ref="RFV54:RFZ54"/>
    <mergeCell ref="RGA54:RGE54"/>
    <mergeCell ref="RGF54:RGJ54"/>
    <mergeCell ref="RGK54:RGO54"/>
    <mergeCell ref="REH54:REL54"/>
    <mergeCell ref="REM54:REQ54"/>
    <mergeCell ref="RER54:REV54"/>
    <mergeCell ref="REW54:RFA54"/>
    <mergeCell ref="RFB54:RFF54"/>
    <mergeCell ref="RFG54:RFK54"/>
    <mergeCell ref="RDD54:RDH54"/>
    <mergeCell ref="RDI54:RDM54"/>
    <mergeCell ref="RDN54:RDR54"/>
    <mergeCell ref="RDS54:RDW54"/>
    <mergeCell ref="RDX54:REB54"/>
    <mergeCell ref="REC54:REG54"/>
    <mergeCell ref="RBZ54:RCD54"/>
    <mergeCell ref="RCE54:RCI54"/>
    <mergeCell ref="RCJ54:RCN54"/>
    <mergeCell ref="RCO54:RCS54"/>
    <mergeCell ref="RCT54:RCX54"/>
    <mergeCell ref="RCY54:RDC54"/>
    <mergeCell ref="RAV54:RAZ54"/>
    <mergeCell ref="RBA54:RBE54"/>
    <mergeCell ref="RBF54:RBJ54"/>
    <mergeCell ref="RBK54:RBO54"/>
    <mergeCell ref="RBP54:RBT54"/>
    <mergeCell ref="RBU54:RBY54"/>
    <mergeCell ref="QZR54:QZV54"/>
    <mergeCell ref="QZW54:RAA54"/>
    <mergeCell ref="RAB54:RAF54"/>
    <mergeCell ref="RAG54:RAK54"/>
    <mergeCell ref="RAL54:RAP54"/>
    <mergeCell ref="RAQ54:RAU54"/>
    <mergeCell ref="QYN54:QYR54"/>
    <mergeCell ref="QYS54:QYW54"/>
    <mergeCell ref="QYX54:QZB54"/>
    <mergeCell ref="QZC54:QZG54"/>
    <mergeCell ref="QZH54:QZL54"/>
    <mergeCell ref="QZM54:QZQ54"/>
    <mergeCell ref="QXJ54:QXN54"/>
    <mergeCell ref="QXO54:QXS54"/>
    <mergeCell ref="QXT54:QXX54"/>
    <mergeCell ref="QXY54:QYC54"/>
    <mergeCell ref="QYD54:QYH54"/>
    <mergeCell ref="QYI54:QYM54"/>
    <mergeCell ref="QWF54:QWJ54"/>
    <mergeCell ref="QWK54:QWO54"/>
    <mergeCell ref="QWP54:QWT54"/>
    <mergeCell ref="QWU54:QWY54"/>
    <mergeCell ref="QWZ54:QXD54"/>
    <mergeCell ref="QXE54:QXI54"/>
    <mergeCell ref="QVB54:QVF54"/>
    <mergeCell ref="QVG54:QVK54"/>
    <mergeCell ref="QVL54:QVP54"/>
    <mergeCell ref="QVQ54:QVU54"/>
    <mergeCell ref="QVV54:QVZ54"/>
    <mergeCell ref="QWA54:QWE54"/>
    <mergeCell ref="QTX54:QUB54"/>
    <mergeCell ref="QUC54:QUG54"/>
    <mergeCell ref="QUH54:QUL54"/>
    <mergeCell ref="QUM54:QUQ54"/>
    <mergeCell ref="QUR54:QUV54"/>
    <mergeCell ref="QUW54:QVA54"/>
    <mergeCell ref="QST54:QSX54"/>
    <mergeCell ref="QSY54:QTC54"/>
    <mergeCell ref="QTD54:QTH54"/>
    <mergeCell ref="QTI54:QTM54"/>
    <mergeCell ref="QTN54:QTR54"/>
    <mergeCell ref="QTS54:QTW54"/>
    <mergeCell ref="QRP54:QRT54"/>
    <mergeCell ref="QRU54:QRY54"/>
    <mergeCell ref="QRZ54:QSD54"/>
    <mergeCell ref="QSE54:QSI54"/>
    <mergeCell ref="QSJ54:QSN54"/>
    <mergeCell ref="QSO54:QSS54"/>
    <mergeCell ref="QQL54:QQP54"/>
    <mergeCell ref="QQQ54:QQU54"/>
    <mergeCell ref="QQV54:QQZ54"/>
    <mergeCell ref="QRA54:QRE54"/>
    <mergeCell ref="QRF54:QRJ54"/>
    <mergeCell ref="QRK54:QRO54"/>
    <mergeCell ref="QPH54:QPL54"/>
    <mergeCell ref="QPM54:QPQ54"/>
    <mergeCell ref="QPR54:QPV54"/>
    <mergeCell ref="QPW54:QQA54"/>
    <mergeCell ref="QQB54:QQF54"/>
    <mergeCell ref="QQG54:QQK54"/>
    <mergeCell ref="QOD54:QOH54"/>
    <mergeCell ref="QOI54:QOM54"/>
    <mergeCell ref="QON54:QOR54"/>
    <mergeCell ref="QOS54:QOW54"/>
    <mergeCell ref="QOX54:QPB54"/>
    <mergeCell ref="QPC54:QPG54"/>
    <mergeCell ref="QMZ54:QND54"/>
    <mergeCell ref="QNE54:QNI54"/>
    <mergeCell ref="QNJ54:QNN54"/>
    <mergeCell ref="QNO54:QNS54"/>
    <mergeCell ref="QNT54:QNX54"/>
    <mergeCell ref="QNY54:QOC54"/>
    <mergeCell ref="QLV54:QLZ54"/>
    <mergeCell ref="QMA54:QME54"/>
    <mergeCell ref="QMF54:QMJ54"/>
    <mergeCell ref="QMK54:QMO54"/>
    <mergeCell ref="QMP54:QMT54"/>
    <mergeCell ref="QMU54:QMY54"/>
    <mergeCell ref="QKR54:QKV54"/>
    <mergeCell ref="QKW54:QLA54"/>
    <mergeCell ref="QLB54:QLF54"/>
    <mergeCell ref="QLG54:QLK54"/>
    <mergeCell ref="QLL54:QLP54"/>
    <mergeCell ref="QLQ54:QLU54"/>
    <mergeCell ref="QJN54:QJR54"/>
    <mergeCell ref="QJS54:QJW54"/>
    <mergeCell ref="QJX54:QKB54"/>
    <mergeCell ref="QKC54:QKG54"/>
    <mergeCell ref="QKH54:QKL54"/>
    <mergeCell ref="QKM54:QKQ54"/>
    <mergeCell ref="QIJ54:QIN54"/>
    <mergeCell ref="QIO54:QIS54"/>
    <mergeCell ref="QIT54:QIX54"/>
    <mergeCell ref="QIY54:QJC54"/>
    <mergeCell ref="QJD54:QJH54"/>
    <mergeCell ref="QJI54:QJM54"/>
    <mergeCell ref="QHF54:QHJ54"/>
    <mergeCell ref="QHK54:QHO54"/>
    <mergeCell ref="QHP54:QHT54"/>
    <mergeCell ref="QHU54:QHY54"/>
    <mergeCell ref="QHZ54:QID54"/>
    <mergeCell ref="QIE54:QII54"/>
    <mergeCell ref="QGB54:QGF54"/>
    <mergeCell ref="QGG54:QGK54"/>
    <mergeCell ref="QGL54:QGP54"/>
    <mergeCell ref="QGQ54:QGU54"/>
    <mergeCell ref="QGV54:QGZ54"/>
    <mergeCell ref="QHA54:QHE54"/>
    <mergeCell ref="QEX54:QFB54"/>
    <mergeCell ref="QFC54:QFG54"/>
    <mergeCell ref="QFH54:QFL54"/>
    <mergeCell ref="QFM54:QFQ54"/>
    <mergeCell ref="QFR54:QFV54"/>
    <mergeCell ref="QFW54:QGA54"/>
    <mergeCell ref="QDT54:QDX54"/>
    <mergeCell ref="QDY54:QEC54"/>
    <mergeCell ref="QED54:QEH54"/>
    <mergeCell ref="QEI54:QEM54"/>
    <mergeCell ref="QEN54:QER54"/>
    <mergeCell ref="QES54:QEW54"/>
    <mergeCell ref="QCP54:QCT54"/>
    <mergeCell ref="QCU54:QCY54"/>
    <mergeCell ref="QCZ54:QDD54"/>
    <mergeCell ref="QDE54:QDI54"/>
    <mergeCell ref="QDJ54:QDN54"/>
    <mergeCell ref="QDO54:QDS54"/>
    <mergeCell ref="QBL54:QBP54"/>
    <mergeCell ref="QBQ54:QBU54"/>
    <mergeCell ref="QBV54:QBZ54"/>
    <mergeCell ref="QCA54:QCE54"/>
    <mergeCell ref="QCF54:QCJ54"/>
    <mergeCell ref="QCK54:QCO54"/>
    <mergeCell ref="QAH54:QAL54"/>
    <mergeCell ref="QAM54:QAQ54"/>
    <mergeCell ref="QAR54:QAV54"/>
    <mergeCell ref="QAW54:QBA54"/>
    <mergeCell ref="QBB54:QBF54"/>
    <mergeCell ref="QBG54:QBK54"/>
    <mergeCell ref="PZD54:PZH54"/>
    <mergeCell ref="PZI54:PZM54"/>
    <mergeCell ref="PZN54:PZR54"/>
    <mergeCell ref="PZS54:PZW54"/>
    <mergeCell ref="PZX54:QAB54"/>
    <mergeCell ref="QAC54:QAG54"/>
    <mergeCell ref="PXZ54:PYD54"/>
    <mergeCell ref="PYE54:PYI54"/>
    <mergeCell ref="PYJ54:PYN54"/>
    <mergeCell ref="PYO54:PYS54"/>
    <mergeCell ref="PYT54:PYX54"/>
    <mergeCell ref="PYY54:PZC54"/>
    <mergeCell ref="PWV54:PWZ54"/>
    <mergeCell ref="PXA54:PXE54"/>
    <mergeCell ref="PXF54:PXJ54"/>
    <mergeCell ref="PXK54:PXO54"/>
    <mergeCell ref="PXP54:PXT54"/>
    <mergeCell ref="PXU54:PXY54"/>
    <mergeCell ref="PVR54:PVV54"/>
    <mergeCell ref="PVW54:PWA54"/>
    <mergeCell ref="PWB54:PWF54"/>
    <mergeCell ref="PWG54:PWK54"/>
    <mergeCell ref="PWL54:PWP54"/>
    <mergeCell ref="PWQ54:PWU54"/>
    <mergeCell ref="PUN54:PUR54"/>
    <mergeCell ref="PUS54:PUW54"/>
    <mergeCell ref="PUX54:PVB54"/>
    <mergeCell ref="PVC54:PVG54"/>
    <mergeCell ref="PVH54:PVL54"/>
    <mergeCell ref="PVM54:PVQ54"/>
    <mergeCell ref="PTJ54:PTN54"/>
    <mergeCell ref="PTO54:PTS54"/>
    <mergeCell ref="PTT54:PTX54"/>
    <mergeCell ref="PTY54:PUC54"/>
    <mergeCell ref="PUD54:PUH54"/>
    <mergeCell ref="PUI54:PUM54"/>
    <mergeCell ref="PSF54:PSJ54"/>
    <mergeCell ref="PSK54:PSO54"/>
    <mergeCell ref="PSP54:PST54"/>
    <mergeCell ref="PSU54:PSY54"/>
    <mergeCell ref="PSZ54:PTD54"/>
    <mergeCell ref="PTE54:PTI54"/>
    <mergeCell ref="PRB54:PRF54"/>
    <mergeCell ref="PRG54:PRK54"/>
    <mergeCell ref="PRL54:PRP54"/>
    <mergeCell ref="PRQ54:PRU54"/>
    <mergeCell ref="PRV54:PRZ54"/>
    <mergeCell ref="PSA54:PSE54"/>
    <mergeCell ref="PPX54:PQB54"/>
    <mergeCell ref="PQC54:PQG54"/>
    <mergeCell ref="PQH54:PQL54"/>
    <mergeCell ref="PQM54:PQQ54"/>
    <mergeCell ref="PQR54:PQV54"/>
    <mergeCell ref="PQW54:PRA54"/>
    <mergeCell ref="POT54:POX54"/>
    <mergeCell ref="POY54:PPC54"/>
    <mergeCell ref="PPD54:PPH54"/>
    <mergeCell ref="PPI54:PPM54"/>
    <mergeCell ref="PPN54:PPR54"/>
    <mergeCell ref="PPS54:PPW54"/>
    <mergeCell ref="PNP54:PNT54"/>
    <mergeCell ref="PNU54:PNY54"/>
    <mergeCell ref="PNZ54:POD54"/>
    <mergeCell ref="POE54:POI54"/>
    <mergeCell ref="POJ54:PON54"/>
    <mergeCell ref="POO54:POS54"/>
    <mergeCell ref="PML54:PMP54"/>
    <mergeCell ref="PMQ54:PMU54"/>
    <mergeCell ref="PMV54:PMZ54"/>
    <mergeCell ref="PNA54:PNE54"/>
    <mergeCell ref="PNF54:PNJ54"/>
    <mergeCell ref="PNK54:PNO54"/>
    <mergeCell ref="PLH54:PLL54"/>
    <mergeCell ref="PLM54:PLQ54"/>
    <mergeCell ref="PLR54:PLV54"/>
    <mergeCell ref="PLW54:PMA54"/>
    <mergeCell ref="PMB54:PMF54"/>
    <mergeCell ref="PMG54:PMK54"/>
    <mergeCell ref="PKD54:PKH54"/>
    <mergeCell ref="PKI54:PKM54"/>
    <mergeCell ref="PKN54:PKR54"/>
    <mergeCell ref="PKS54:PKW54"/>
    <mergeCell ref="PKX54:PLB54"/>
    <mergeCell ref="PLC54:PLG54"/>
    <mergeCell ref="PIZ54:PJD54"/>
    <mergeCell ref="PJE54:PJI54"/>
    <mergeCell ref="PJJ54:PJN54"/>
    <mergeCell ref="PJO54:PJS54"/>
    <mergeCell ref="PJT54:PJX54"/>
    <mergeCell ref="PJY54:PKC54"/>
    <mergeCell ref="PHV54:PHZ54"/>
    <mergeCell ref="PIA54:PIE54"/>
    <mergeCell ref="PIF54:PIJ54"/>
    <mergeCell ref="PIK54:PIO54"/>
    <mergeCell ref="PIP54:PIT54"/>
    <mergeCell ref="PIU54:PIY54"/>
    <mergeCell ref="PGR54:PGV54"/>
    <mergeCell ref="PGW54:PHA54"/>
    <mergeCell ref="PHB54:PHF54"/>
    <mergeCell ref="PHG54:PHK54"/>
    <mergeCell ref="PHL54:PHP54"/>
    <mergeCell ref="PHQ54:PHU54"/>
    <mergeCell ref="PFN54:PFR54"/>
    <mergeCell ref="PFS54:PFW54"/>
    <mergeCell ref="PFX54:PGB54"/>
    <mergeCell ref="PGC54:PGG54"/>
    <mergeCell ref="PGH54:PGL54"/>
    <mergeCell ref="PGM54:PGQ54"/>
    <mergeCell ref="PEJ54:PEN54"/>
    <mergeCell ref="PEO54:PES54"/>
    <mergeCell ref="PET54:PEX54"/>
    <mergeCell ref="PEY54:PFC54"/>
    <mergeCell ref="PFD54:PFH54"/>
    <mergeCell ref="PFI54:PFM54"/>
    <mergeCell ref="PDF54:PDJ54"/>
    <mergeCell ref="PDK54:PDO54"/>
    <mergeCell ref="PDP54:PDT54"/>
    <mergeCell ref="PDU54:PDY54"/>
    <mergeCell ref="PDZ54:PED54"/>
    <mergeCell ref="PEE54:PEI54"/>
    <mergeCell ref="PCB54:PCF54"/>
    <mergeCell ref="PCG54:PCK54"/>
    <mergeCell ref="PCL54:PCP54"/>
    <mergeCell ref="PCQ54:PCU54"/>
    <mergeCell ref="PCV54:PCZ54"/>
    <mergeCell ref="PDA54:PDE54"/>
    <mergeCell ref="PAX54:PBB54"/>
    <mergeCell ref="PBC54:PBG54"/>
    <mergeCell ref="PBH54:PBL54"/>
    <mergeCell ref="PBM54:PBQ54"/>
    <mergeCell ref="PBR54:PBV54"/>
    <mergeCell ref="PBW54:PCA54"/>
    <mergeCell ref="OZT54:OZX54"/>
    <mergeCell ref="OZY54:PAC54"/>
    <mergeCell ref="PAD54:PAH54"/>
    <mergeCell ref="PAI54:PAM54"/>
    <mergeCell ref="PAN54:PAR54"/>
    <mergeCell ref="PAS54:PAW54"/>
    <mergeCell ref="OYP54:OYT54"/>
    <mergeCell ref="OYU54:OYY54"/>
    <mergeCell ref="OYZ54:OZD54"/>
    <mergeCell ref="OZE54:OZI54"/>
    <mergeCell ref="OZJ54:OZN54"/>
    <mergeCell ref="OZO54:OZS54"/>
    <mergeCell ref="OXL54:OXP54"/>
    <mergeCell ref="OXQ54:OXU54"/>
    <mergeCell ref="OXV54:OXZ54"/>
    <mergeCell ref="OYA54:OYE54"/>
    <mergeCell ref="OYF54:OYJ54"/>
    <mergeCell ref="OYK54:OYO54"/>
    <mergeCell ref="OWH54:OWL54"/>
    <mergeCell ref="OWM54:OWQ54"/>
    <mergeCell ref="OWR54:OWV54"/>
    <mergeCell ref="OWW54:OXA54"/>
    <mergeCell ref="OXB54:OXF54"/>
    <mergeCell ref="OXG54:OXK54"/>
    <mergeCell ref="OVD54:OVH54"/>
    <mergeCell ref="OVI54:OVM54"/>
    <mergeCell ref="OVN54:OVR54"/>
    <mergeCell ref="OVS54:OVW54"/>
    <mergeCell ref="OVX54:OWB54"/>
    <mergeCell ref="OWC54:OWG54"/>
    <mergeCell ref="OTZ54:OUD54"/>
    <mergeCell ref="OUE54:OUI54"/>
    <mergeCell ref="OUJ54:OUN54"/>
    <mergeCell ref="OUO54:OUS54"/>
    <mergeCell ref="OUT54:OUX54"/>
    <mergeCell ref="OUY54:OVC54"/>
    <mergeCell ref="OSV54:OSZ54"/>
    <mergeCell ref="OTA54:OTE54"/>
    <mergeCell ref="OTF54:OTJ54"/>
    <mergeCell ref="OTK54:OTO54"/>
    <mergeCell ref="OTP54:OTT54"/>
    <mergeCell ref="OTU54:OTY54"/>
    <mergeCell ref="ORR54:ORV54"/>
    <mergeCell ref="ORW54:OSA54"/>
    <mergeCell ref="OSB54:OSF54"/>
    <mergeCell ref="OSG54:OSK54"/>
    <mergeCell ref="OSL54:OSP54"/>
    <mergeCell ref="OSQ54:OSU54"/>
    <mergeCell ref="OQN54:OQR54"/>
    <mergeCell ref="OQS54:OQW54"/>
    <mergeCell ref="OQX54:ORB54"/>
    <mergeCell ref="ORC54:ORG54"/>
    <mergeCell ref="ORH54:ORL54"/>
    <mergeCell ref="ORM54:ORQ54"/>
    <mergeCell ref="OPJ54:OPN54"/>
    <mergeCell ref="OPO54:OPS54"/>
    <mergeCell ref="OPT54:OPX54"/>
    <mergeCell ref="OPY54:OQC54"/>
    <mergeCell ref="OQD54:OQH54"/>
    <mergeCell ref="OQI54:OQM54"/>
    <mergeCell ref="OOF54:OOJ54"/>
    <mergeCell ref="OOK54:OOO54"/>
    <mergeCell ref="OOP54:OOT54"/>
    <mergeCell ref="OOU54:OOY54"/>
    <mergeCell ref="OOZ54:OPD54"/>
    <mergeCell ref="OPE54:OPI54"/>
    <mergeCell ref="ONB54:ONF54"/>
    <mergeCell ref="ONG54:ONK54"/>
    <mergeCell ref="ONL54:ONP54"/>
    <mergeCell ref="ONQ54:ONU54"/>
    <mergeCell ref="ONV54:ONZ54"/>
    <mergeCell ref="OOA54:OOE54"/>
    <mergeCell ref="OLX54:OMB54"/>
    <mergeCell ref="OMC54:OMG54"/>
    <mergeCell ref="OMH54:OML54"/>
    <mergeCell ref="OMM54:OMQ54"/>
    <mergeCell ref="OMR54:OMV54"/>
    <mergeCell ref="OMW54:ONA54"/>
    <mergeCell ref="OKT54:OKX54"/>
    <mergeCell ref="OKY54:OLC54"/>
    <mergeCell ref="OLD54:OLH54"/>
    <mergeCell ref="OLI54:OLM54"/>
    <mergeCell ref="OLN54:OLR54"/>
    <mergeCell ref="OLS54:OLW54"/>
    <mergeCell ref="OJP54:OJT54"/>
    <mergeCell ref="OJU54:OJY54"/>
    <mergeCell ref="OJZ54:OKD54"/>
    <mergeCell ref="OKE54:OKI54"/>
    <mergeCell ref="OKJ54:OKN54"/>
    <mergeCell ref="OKO54:OKS54"/>
    <mergeCell ref="OIL54:OIP54"/>
    <mergeCell ref="OIQ54:OIU54"/>
    <mergeCell ref="OIV54:OIZ54"/>
    <mergeCell ref="OJA54:OJE54"/>
    <mergeCell ref="OJF54:OJJ54"/>
    <mergeCell ref="OJK54:OJO54"/>
    <mergeCell ref="OHH54:OHL54"/>
    <mergeCell ref="OHM54:OHQ54"/>
    <mergeCell ref="OHR54:OHV54"/>
    <mergeCell ref="OHW54:OIA54"/>
    <mergeCell ref="OIB54:OIF54"/>
    <mergeCell ref="OIG54:OIK54"/>
    <mergeCell ref="OGD54:OGH54"/>
    <mergeCell ref="OGI54:OGM54"/>
    <mergeCell ref="OGN54:OGR54"/>
    <mergeCell ref="OGS54:OGW54"/>
    <mergeCell ref="OGX54:OHB54"/>
    <mergeCell ref="OHC54:OHG54"/>
    <mergeCell ref="OEZ54:OFD54"/>
    <mergeCell ref="OFE54:OFI54"/>
    <mergeCell ref="OFJ54:OFN54"/>
    <mergeCell ref="OFO54:OFS54"/>
    <mergeCell ref="OFT54:OFX54"/>
    <mergeCell ref="OFY54:OGC54"/>
    <mergeCell ref="ODV54:ODZ54"/>
    <mergeCell ref="OEA54:OEE54"/>
    <mergeCell ref="OEF54:OEJ54"/>
    <mergeCell ref="OEK54:OEO54"/>
    <mergeCell ref="OEP54:OET54"/>
    <mergeCell ref="OEU54:OEY54"/>
    <mergeCell ref="OCR54:OCV54"/>
    <mergeCell ref="OCW54:ODA54"/>
    <mergeCell ref="ODB54:ODF54"/>
    <mergeCell ref="ODG54:ODK54"/>
    <mergeCell ref="ODL54:ODP54"/>
    <mergeCell ref="ODQ54:ODU54"/>
    <mergeCell ref="OBN54:OBR54"/>
    <mergeCell ref="OBS54:OBW54"/>
    <mergeCell ref="OBX54:OCB54"/>
    <mergeCell ref="OCC54:OCG54"/>
    <mergeCell ref="OCH54:OCL54"/>
    <mergeCell ref="OCM54:OCQ54"/>
    <mergeCell ref="OAJ54:OAN54"/>
    <mergeCell ref="OAO54:OAS54"/>
    <mergeCell ref="OAT54:OAX54"/>
    <mergeCell ref="OAY54:OBC54"/>
    <mergeCell ref="OBD54:OBH54"/>
    <mergeCell ref="OBI54:OBM54"/>
    <mergeCell ref="NZF54:NZJ54"/>
    <mergeCell ref="NZK54:NZO54"/>
    <mergeCell ref="NZP54:NZT54"/>
    <mergeCell ref="NZU54:NZY54"/>
    <mergeCell ref="NZZ54:OAD54"/>
    <mergeCell ref="OAE54:OAI54"/>
    <mergeCell ref="NYB54:NYF54"/>
    <mergeCell ref="NYG54:NYK54"/>
    <mergeCell ref="NYL54:NYP54"/>
    <mergeCell ref="NYQ54:NYU54"/>
    <mergeCell ref="NYV54:NYZ54"/>
    <mergeCell ref="NZA54:NZE54"/>
    <mergeCell ref="NWX54:NXB54"/>
    <mergeCell ref="NXC54:NXG54"/>
    <mergeCell ref="NXH54:NXL54"/>
    <mergeCell ref="NXM54:NXQ54"/>
    <mergeCell ref="NXR54:NXV54"/>
    <mergeCell ref="NXW54:NYA54"/>
    <mergeCell ref="NVT54:NVX54"/>
    <mergeCell ref="NVY54:NWC54"/>
    <mergeCell ref="NWD54:NWH54"/>
    <mergeCell ref="NWI54:NWM54"/>
    <mergeCell ref="NWN54:NWR54"/>
    <mergeCell ref="NWS54:NWW54"/>
    <mergeCell ref="NUP54:NUT54"/>
    <mergeCell ref="NUU54:NUY54"/>
    <mergeCell ref="NUZ54:NVD54"/>
    <mergeCell ref="NVE54:NVI54"/>
    <mergeCell ref="NVJ54:NVN54"/>
    <mergeCell ref="NVO54:NVS54"/>
    <mergeCell ref="NTL54:NTP54"/>
    <mergeCell ref="NTQ54:NTU54"/>
    <mergeCell ref="NTV54:NTZ54"/>
    <mergeCell ref="NUA54:NUE54"/>
    <mergeCell ref="NUF54:NUJ54"/>
    <mergeCell ref="NUK54:NUO54"/>
    <mergeCell ref="NSH54:NSL54"/>
    <mergeCell ref="NSM54:NSQ54"/>
    <mergeCell ref="NSR54:NSV54"/>
    <mergeCell ref="NSW54:NTA54"/>
    <mergeCell ref="NTB54:NTF54"/>
    <mergeCell ref="NTG54:NTK54"/>
    <mergeCell ref="NRD54:NRH54"/>
    <mergeCell ref="NRI54:NRM54"/>
    <mergeCell ref="NRN54:NRR54"/>
    <mergeCell ref="NRS54:NRW54"/>
    <mergeCell ref="NRX54:NSB54"/>
    <mergeCell ref="NSC54:NSG54"/>
    <mergeCell ref="NPZ54:NQD54"/>
    <mergeCell ref="NQE54:NQI54"/>
    <mergeCell ref="NQJ54:NQN54"/>
    <mergeCell ref="NQO54:NQS54"/>
    <mergeCell ref="NQT54:NQX54"/>
    <mergeCell ref="NQY54:NRC54"/>
    <mergeCell ref="NOV54:NOZ54"/>
    <mergeCell ref="NPA54:NPE54"/>
    <mergeCell ref="NPF54:NPJ54"/>
    <mergeCell ref="NPK54:NPO54"/>
    <mergeCell ref="NPP54:NPT54"/>
    <mergeCell ref="NPU54:NPY54"/>
    <mergeCell ref="NNR54:NNV54"/>
    <mergeCell ref="NNW54:NOA54"/>
    <mergeCell ref="NOB54:NOF54"/>
    <mergeCell ref="NOG54:NOK54"/>
    <mergeCell ref="NOL54:NOP54"/>
    <mergeCell ref="NOQ54:NOU54"/>
    <mergeCell ref="NMN54:NMR54"/>
    <mergeCell ref="NMS54:NMW54"/>
    <mergeCell ref="NMX54:NNB54"/>
    <mergeCell ref="NNC54:NNG54"/>
    <mergeCell ref="NNH54:NNL54"/>
    <mergeCell ref="NNM54:NNQ54"/>
    <mergeCell ref="NLJ54:NLN54"/>
    <mergeCell ref="NLO54:NLS54"/>
    <mergeCell ref="NLT54:NLX54"/>
    <mergeCell ref="NLY54:NMC54"/>
    <mergeCell ref="NMD54:NMH54"/>
    <mergeCell ref="NMI54:NMM54"/>
    <mergeCell ref="NKF54:NKJ54"/>
    <mergeCell ref="NKK54:NKO54"/>
    <mergeCell ref="NKP54:NKT54"/>
    <mergeCell ref="NKU54:NKY54"/>
    <mergeCell ref="NKZ54:NLD54"/>
    <mergeCell ref="NLE54:NLI54"/>
    <mergeCell ref="NJB54:NJF54"/>
    <mergeCell ref="NJG54:NJK54"/>
    <mergeCell ref="NJL54:NJP54"/>
    <mergeCell ref="NJQ54:NJU54"/>
    <mergeCell ref="NJV54:NJZ54"/>
    <mergeCell ref="NKA54:NKE54"/>
    <mergeCell ref="NHX54:NIB54"/>
    <mergeCell ref="NIC54:NIG54"/>
    <mergeCell ref="NIH54:NIL54"/>
    <mergeCell ref="NIM54:NIQ54"/>
    <mergeCell ref="NIR54:NIV54"/>
    <mergeCell ref="NIW54:NJA54"/>
    <mergeCell ref="NGT54:NGX54"/>
    <mergeCell ref="NGY54:NHC54"/>
    <mergeCell ref="NHD54:NHH54"/>
    <mergeCell ref="NHI54:NHM54"/>
    <mergeCell ref="NHN54:NHR54"/>
    <mergeCell ref="NHS54:NHW54"/>
    <mergeCell ref="NFP54:NFT54"/>
    <mergeCell ref="NFU54:NFY54"/>
    <mergeCell ref="NFZ54:NGD54"/>
    <mergeCell ref="NGE54:NGI54"/>
    <mergeCell ref="NGJ54:NGN54"/>
    <mergeCell ref="NGO54:NGS54"/>
    <mergeCell ref="NEL54:NEP54"/>
    <mergeCell ref="NEQ54:NEU54"/>
    <mergeCell ref="NEV54:NEZ54"/>
    <mergeCell ref="NFA54:NFE54"/>
    <mergeCell ref="NFF54:NFJ54"/>
    <mergeCell ref="NFK54:NFO54"/>
    <mergeCell ref="NDH54:NDL54"/>
    <mergeCell ref="NDM54:NDQ54"/>
    <mergeCell ref="NDR54:NDV54"/>
    <mergeCell ref="NDW54:NEA54"/>
    <mergeCell ref="NEB54:NEF54"/>
    <mergeCell ref="NEG54:NEK54"/>
    <mergeCell ref="NCD54:NCH54"/>
    <mergeCell ref="NCI54:NCM54"/>
    <mergeCell ref="NCN54:NCR54"/>
    <mergeCell ref="NCS54:NCW54"/>
    <mergeCell ref="NCX54:NDB54"/>
    <mergeCell ref="NDC54:NDG54"/>
    <mergeCell ref="NAZ54:NBD54"/>
    <mergeCell ref="NBE54:NBI54"/>
    <mergeCell ref="NBJ54:NBN54"/>
    <mergeCell ref="NBO54:NBS54"/>
    <mergeCell ref="NBT54:NBX54"/>
    <mergeCell ref="NBY54:NCC54"/>
    <mergeCell ref="MZV54:MZZ54"/>
    <mergeCell ref="NAA54:NAE54"/>
    <mergeCell ref="NAF54:NAJ54"/>
    <mergeCell ref="NAK54:NAO54"/>
    <mergeCell ref="NAP54:NAT54"/>
    <mergeCell ref="NAU54:NAY54"/>
    <mergeCell ref="MYR54:MYV54"/>
    <mergeCell ref="MYW54:MZA54"/>
    <mergeCell ref="MZB54:MZF54"/>
    <mergeCell ref="MZG54:MZK54"/>
    <mergeCell ref="MZL54:MZP54"/>
    <mergeCell ref="MZQ54:MZU54"/>
    <mergeCell ref="MXN54:MXR54"/>
    <mergeCell ref="MXS54:MXW54"/>
    <mergeCell ref="MXX54:MYB54"/>
    <mergeCell ref="MYC54:MYG54"/>
    <mergeCell ref="MYH54:MYL54"/>
    <mergeCell ref="MYM54:MYQ54"/>
    <mergeCell ref="MWJ54:MWN54"/>
    <mergeCell ref="MWO54:MWS54"/>
    <mergeCell ref="MWT54:MWX54"/>
    <mergeCell ref="MWY54:MXC54"/>
    <mergeCell ref="MXD54:MXH54"/>
    <mergeCell ref="MXI54:MXM54"/>
    <mergeCell ref="MVF54:MVJ54"/>
    <mergeCell ref="MVK54:MVO54"/>
    <mergeCell ref="MVP54:MVT54"/>
    <mergeCell ref="MVU54:MVY54"/>
    <mergeCell ref="MVZ54:MWD54"/>
    <mergeCell ref="MWE54:MWI54"/>
    <mergeCell ref="MUB54:MUF54"/>
    <mergeCell ref="MUG54:MUK54"/>
    <mergeCell ref="MUL54:MUP54"/>
    <mergeCell ref="MUQ54:MUU54"/>
    <mergeCell ref="MUV54:MUZ54"/>
    <mergeCell ref="MVA54:MVE54"/>
    <mergeCell ref="MSX54:MTB54"/>
    <mergeCell ref="MTC54:MTG54"/>
    <mergeCell ref="MTH54:MTL54"/>
    <mergeCell ref="MTM54:MTQ54"/>
    <mergeCell ref="MTR54:MTV54"/>
    <mergeCell ref="MTW54:MUA54"/>
    <mergeCell ref="MRT54:MRX54"/>
    <mergeCell ref="MRY54:MSC54"/>
    <mergeCell ref="MSD54:MSH54"/>
    <mergeCell ref="MSI54:MSM54"/>
    <mergeCell ref="MSN54:MSR54"/>
    <mergeCell ref="MSS54:MSW54"/>
    <mergeCell ref="MQP54:MQT54"/>
    <mergeCell ref="MQU54:MQY54"/>
    <mergeCell ref="MQZ54:MRD54"/>
    <mergeCell ref="MRE54:MRI54"/>
    <mergeCell ref="MRJ54:MRN54"/>
    <mergeCell ref="MRO54:MRS54"/>
    <mergeCell ref="MPL54:MPP54"/>
    <mergeCell ref="MPQ54:MPU54"/>
    <mergeCell ref="MPV54:MPZ54"/>
    <mergeCell ref="MQA54:MQE54"/>
    <mergeCell ref="MQF54:MQJ54"/>
    <mergeCell ref="MQK54:MQO54"/>
    <mergeCell ref="MOH54:MOL54"/>
    <mergeCell ref="MOM54:MOQ54"/>
    <mergeCell ref="MOR54:MOV54"/>
    <mergeCell ref="MOW54:MPA54"/>
    <mergeCell ref="MPB54:MPF54"/>
    <mergeCell ref="MPG54:MPK54"/>
    <mergeCell ref="MND54:MNH54"/>
    <mergeCell ref="MNI54:MNM54"/>
    <mergeCell ref="MNN54:MNR54"/>
    <mergeCell ref="MNS54:MNW54"/>
    <mergeCell ref="MNX54:MOB54"/>
    <mergeCell ref="MOC54:MOG54"/>
    <mergeCell ref="MLZ54:MMD54"/>
    <mergeCell ref="MME54:MMI54"/>
    <mergeCell ref="MMJ54:MMN54"/>
    <mergeCell ref="MMO54:MMS54"/>
    <mergeCell ref="MMT54:MMX54"/>
    <mergeCell ref="MMY54:MNC54"/>
    <mergeCell ref="MKV54:MKZ54"/>
    <mergeCell ref="MLA54:MLE54"/>
    <mergeCell ref="MLF54:MLJ54"/>
    <mergeCell ref="MLK54:MLO54"/>
    <mergeCell ref="MLP54:MLT54"/>
    <mergeCell ref="MLU54:MLY54"/>
    <mergeCell ref="MJR54:MJV54"/>
    <mergeCell ref="MJW54:MKA54"/>
    <mergeCell ref="MKB54:MKF54"/>
    <mergeCell ref="MKG54:MKK54"/>
    <mergeCell ref="MKL54:MKP54"/>
    <mergeCell ref="MKQ54:MKU54"/>
    <mergeCell ref="MIN54:MIR54"/>
    <mergeCell ref="MIS54:MIW54"/>
    <mergeCell ref="MIX54:MJB54"/>
    <mergeCell ref="MJC54:MJG54"/>
    <mergeCell ref="MJH54:MJL54"/>
    <mergeCell ref="MJM54:MJQ54"/>
    <mergeCell ref="MHJ54:MHN54"/>
    <mergeCell ref="MHO54:MHS54"/>
    <mergeCell ref="MHT54:MHX54"/>
    <mergeCell ref="MHY54:MIC54"/>
    <mergeCell ref="MID54:MIH54"/>
    <mergeCell ref="MII54:MIM54"/>
    <mergeCell ref="MGF54:MGJ54"/>
    <mergeCell ref="MGK54:MGO54"/>
    <mergeCell ref="MGP54:MGT54"/>
    <mergeCell ref="MGU54:MGY54"/>
    <mergeCell ref="MGZ54:MHD54"/>
    <mergeCell ref="MHE54:MHI54"/>
    <mergeCell ref="MFB54:MFF54"/>
    <mergeCell ref="MFG54:MFK54"/>
    <mergeCell ref="MFL54:MFP54"/>
    <mergeCell ref="MFQ54:MFU54"/>
    <mergeCell ref="MFV54:MFZ54"/>
    <mergeCell ref="MGA54:MGE54"/>
    <mergeCell ref="MDX54:MEB54"/>
    <mergeCell ref="MEC54:MEG54"/>
    <mergeCell ref="MEH54:MEL54"/>
    <mergeCell ref="MEM54:MEQ54"/>
    <mergeCell ref="MER54:MEV54"/>
    <mergeCell ref="MEW54:MFA54"/>
    <mergeCell ref="MCT54:MCX54"/>
    <mergeCell ref="MCY54:MDC54"/>
    <mergeCell ref="MDD54:MDH54"/>
    <mergeCell ref="MDI54:MDM54"/>
    <mergeCell ref="MDN54:MDR54"/>
    <mergeCell ref="MDS54:MDW54"/>
    <mergeCell ref="MBP54:MBT54"/>
    <mergeCell ref="MBU54:MBY54"/>
    <mergeCell ref="MBZ54:MCD54"/>
    <mergeCell ref="MCE54:MCI54"/>
    <mergeCell ref="MCJ54:MCN54"/>
    <mergeCell ref="MCO54:MCS54"/>
    <mergeCell ref="MAL54:MAP54"/>
    <mergeCell ref="MAQ54:MAU54"/>
    <mergeCell ref="MAV54:MAZ54"/>
    <mergeCell ref="MBA54:MBE54"/>
    <mergeCell ref="MBF54:MBJ54"/>
    <mergeCell ref="MBK54:MBO54"/>
    <mergeCell ref="LZH54:LZL54"/>
    <mergeCell ref="LZM54:LZQ54"/>
    <mergeCell ref="LZR54:LZV54"/>
    <mergeCell ref="LZW54:MAA54"/>
    <mergeCell ref="MAB54:MAF54"/>
    <mergeCell ref="MAG54:MAK54"/>
    <mergeCell ref="LYD54:LYH54"/>
    <mergeCell ref="LYI54:LYM54"/>
    <mergeCell ref="LYN54:LYR54"/>
    <mergeCell ref="LYS54:LYW54"/>
    <mergeCell ref="LYX54:LZB54"/>
    <mergeCell ref="LZC54:LZG54"/>
    <mergeCell ref="LWZ54:LXD54"/>
    <mergeCell ref="LXE54:LXI54"/>
    <mergeCell ref="LXJ54:LXN54"/>
    <mergeCell ref="LXO54:LXS54"/>
    <mergeCell ref="LXT54:LXX54"/>
    <mergeCell ref="LXY54:LYC54"/>
    <mergeCell ref="LVV54:LVZ54"/>
    <mergeCell ref="LWA54:LWE54"/>
    <mergeCell ref="LWF54:LWJ54"/>
    <mergeCell ref="LWK54:LWO54"/>
    <mergeCell ref="LWP54:LWT54"/>
    <mergeCell ref="LWU54:LWY54"/>
    <mergeCell ref="LUR54:LUV54"/>
    <mergeCell ref="LUW54:LVA54"/>
    <mergeCell ref="LVB54:LVF54"/>
    <mergeCell ref="LVG54:LVK54"/>
    <mergeCell ref="LVL54:LVP54"/>
    <mergeCell ref="LVQ54:LVU54"/>
    <mergeCell ref="LTN54:LTR54"/>
    <mergeCell ref="LTS54:LTW54"/>
    <mergeCell ref="LTX54:LUB54"/>
    <mergeCell ref="LUC54:LUG54"/>
    <mergeCell ref="LUH54:LUL54"/>
    <mergeCell ref="LUM54:LUQ54"/>
    <mergeCell ref="LSJ54:LSN54"/>
    <mergeCell ref="LSO54:LSS54"/>
    <mergeCell ref="LST54:LSX54"/>
    <mergeCell ref="LSY54:LTC54"/>
    <mergeCell ref="LTD54:LTH54"/>
    <mergeCell ref="LTI54:LTM54"/>
    <mergeCell ref="LRF54:LRJ54"/>
    <mergeCell ref="LRK54:LRO54"/>
    <mergeCell ref="LRP54:LRT54"/>
    <mergeCell ref="LRU54:LRY54"/>
    <mergeCell ref="LRZ54:LSD54"/>
    <mergeCell ref="LSE54:LSI54"/>
    <mergeCell ref="LQB54:LQF54"/>
    <mergeCell ref="LQG54:LQK54"/>
    <mergeCell ref="LQL54:LQP54"/>
    <mergeCell ref="LQQ54:LQU54"/>
    <mergeCell ref="LQV54:LQZ54"/>
    <mergeCell ref="LRA54:LRE54"/>
    <mergeCell ref="LOX54:LPB54"/>
    <mergeCell ref="LPC54:LPG54"/>
    <mergeCell ref="LPH54:LPL54"/>
    <mergeCell ref="LPM54:LPQ54"/>
    <mergeCell ref="LPR54:LPV54"/>
    <mergeCell ref="LPW54:LQA54"/>
    <mergeCell ref="LNT54:LNX54"/>
    <mergeCell ref="LNY54:LOC54"/>
    <mergeCell ref="LOD54:LOH54"/>
    <mergeCell ref="LOI54:LOM54"/>
    <mergeCell ref="LON54:LOR54"/>
    <mergeCell ref="LOS54:LOW54"/>
    <mergeCell ref="LMP54:LMT54"/>
    <mergeCell ref="LMU54:LMY54"/>
    <mergeCell ref="LMZ54:LND54"/>
    <mergeCell ref="LNE54:LNI54"/>
    <mergeCell ref="LNJ54:LNN54"/>
    <mergeCell ref="LNO54:LNS54"/>
    <mergeCell ref="LLL54:LLP54"/>
    <mergeCell ref="LLQ54:LLU54"/>
    <mergeCell ref="LLV54:LLZ54"/>
    <mergeCell ref="LMA54:LME54"/>
    <mergeCell ref="LMF54:LMJ54"/>
    <mergeCell ref="LMK54:LMO54"/>
    <mergeCell ref="LKH54:LKL54"/>
    <mergeCell ref="LKM54:LKQ54"/>
    <mergeCell ref="LKR54:LKV54"/>
    <mergeCell ref="LKW54:LLA54"/>
    <mergeCell ref="LLB54:LLF54"/>
    <mergeCell ref="LLG54:LLK54"/>
    <mergeCell ref="LJD54:LJH54"/>
    <mergeCell ref="LJI54:LJM54"/>
    <mergeCell ref="LJN54:LJR54"/>
    <mergeCell ref="LJS54:LJW54"/>
    <mergeCell ref="LJX54:LKB54"/>
    <mergeCell ref="LKC54:LKG54"/>
    <mergeCell ref="LHZ54:LID54"/>
    <mergeCell ref="LIE54:LII54"/>
    <mergeCell ref="LIJ54:LIN54"/>
    <mergeCell ref="LIO54:LIS54"/>
    <mergeCell ref="LIT54:LIX54"/>
    <mergeCell ref="LIY54:LJC54"/>
    <mergeCell ref="LGV54:LGZ54"/>
    <mergeCell ref="LHA54:LHE54"/>
    <mergeCell ref="LHF54:LHJ54"/>
    <mergeCell ref="LHK54:LHO54"/>
    <mergeCell ref="LHP54:LHT54"/>
    <mergeCell ref="LHU54:LHY54"/>
    <mergeCell ref="LFR54:LFV54"/>
    <mergeCell ref="LFW54:LGA54"/>
    <mergeCell ref="LGB54:LGF54"/>
    <mergeCell ref="LGG54:LGK54"/>
    <mergeCell ref="LGL54:LGP54"/>
    <mergeCell ref="LGQ54:LGU54"/>
    <mergeCell ref="LEN54:LER54"/>
    <mergeCell ref="LES54:LEW54"/>
    <mergeCell ref="LEX54:LFB54"/>
    <mergeCell ref="LFC54:LFG54"/>
    <mergeCell ref="LFH54:LFL54"/>
    <mergeCell ref="LFM54:LFQ54"/>
    <mergeCell ref="LDJ54:LDN54"/>
    <mergeCell ref="LDO54:LDS54"/>
    <mergeCell ref="LDT54:LDX54"/>
    <mergeCell ref="LDY54:LEC54"/>
    <mergeCell ref="LED54:LEH54"/>
    <mergeCell ref="LEI54:LEM54"/>
    <mergeCell ref="LCF54:LCJ54"/>
    <mergeCell ref="LCK54:LCO54"/>
    <mergeCell ref="LCP54:LCT54"/>
    <mergeCell ref="LCU54:LCY54"/>
    <mergeCell ref="LCZ54:LDD54"/>
    <mergeCell ref="LDE54:LDI54"/>
    <mergeCell ref="LBB54:LBF54"/>
    <mergeCell ref="LBG54:LBK54"/>
    <mergeCell ref="LBL54:LBP54"/>
    <mergeCell ref="LBQ54:LBU54"/>
    <mergeCell ref="LBV54:LBZ54"/>
    <mergeCell ref="LCA54:LCE54"/>
    <mergeCell ref="KZX54:LAB54"/>
    <mergeCell ref="LAC54:LAG54"/>
    <mergeCell ref="LAH54:LAL54"/>
    <mergeCell ref="LAM54:LAQ54"/>
    <mergeCell ref="LAR54:LAV54"/>
    <mergeCell ref="LAW54:LBA54"/>
    <mergeCell ref="KYT54:KYX54"/>
    <mergeCell ref="KYY54:KZC54"/>
    <mergeCell ref="KZD54:KZH54"/>
    <mergeCell ref="KZI54:KZM54"/>
    <mergeCell ref="KZN54:KZR54"/>
    <mergeCell ref="KZS54:KZW54"/>
    <mergeCell ref="KXP54:KXT54"/>
    <mergeCell ref="KXU54:KXY54"/>
    <mergeCell ref="KXZ54:KYD54"/>
    <mergeCell ref="KYE54:KYI54"/>
    <mergeCell ref="KYJ54:KYN54"/>
    <mergeCell ref="KYO54:KYS54"/>
    <mergeCell ref="KWL54:KWP54"/>
    <mergeCell ref="KWQ54:KWU54"/>
    <mergeCell ref="KWV54:KWZ54"/>
    <mergeCell ref="KXA54:KXE54"/>
    <mergeCell ref="KXF54:KXJ54"/>
    <mergeCell ref="KXK54:KXO54"/>
    <mergeCell ref="KVH54:KVL54"/>
    <mergeCell ref="KVM54:KVQ54"/>
    <mergeCell ref="KVR54:KVV54"/>
    <mergeCell ref="KVW54:KWA54"/>
    <mergeCell ref="KWB54:KWF54"/>
    <mergeCell ref="KWG54:KWK54"/>
    <mergeCell ref="KUD54:KUH54"/>
    <mergeCell ref="KUI54:KUM54"/>
    <mergeCell ref="KUN54:KUR54"/>
    <mergeCell ref="KUS54:KUW54"/>
    <mergeCell ref="KUX54:KVB54"/>
    <mergeCell ref="KVC54:KVG54"/>
    <mergeCell ref="KSZ54:KTD54"/>
    <mergeCell ref="KTE54:KTI54"/>
    <mergeCell ref="KTJ54:KTN54"/>
    <mergeCell ref="KTO54:KTS54"/>
    <mergeCell ref="KTT54:KTX54"/>
    <mergeCell ref="KTY54:KUC54"/>
    <mergeCell ref="KRV54:KRZ54"/>
    <mergeCell ref="KSA54:KSE54"/>
    <mergeCell ref="KSF54:KSJ54"/>
    <mergeCell ref="KSK54:KSO54"/>
    <mergeCell ref="KSP54:KST54"/>
    <mergeCell ref="KSU54:KSY54"/>
    <mergeCell ref="KQR54:KQV54"/>
    <mergeCell ref="KQW54:KRA54"/>
    <mergeCell ref="KRB54:KRF54"/>
    <mergeCell ref="KRG54:KRK54"/>
    <mergeCell ref="KRL54:KRP54"/>
    <mergeCell ref="KRQ54:KRU54"/>
    <mergeCell ref="KPN54:KPR54"/>
    <mergeCell ref="KPS54:KPW54"/>
    <mergeCell ref="KPX54:KQB54"/>
    <mergeCell ref="KQC54:KQG54"/>
    <mergeCell ref="KQH54:KQL54"/>
    <mergeCell ref="KQM54:KQQ54"/>
    <mergeCell ref="KOJ54:KON54"/>
    <mergeCell ref="KOO54:KOS54"/>
    <mergeCell ref="KOT54:KOX54"/>
    <mergeCell ref="KOY54:KPC54"/>
    <mergeCell ref="KPD54:KPH54"/>
    <mergeCell ref="KPI54:KPM54"/>
    <mergeCell ref="KNF54:KNJ54"/>
    <mergeCell ref="KNK54:KNO54"/>
    <mergeCell ref="KNP54:KNT54"/>
    <mergeCell ref="KNU54:KNY54"/>
    <mergeCell ref="KNZ54:KOD54"/>
    <mergeCell ref="KOE54:KOI54"/>
    <mergeCell ref="KMB54:KMF54"/>
    <mergeCell ref="KMG54:KMK54"/>
    <mergeCell ref="KML54:KMP54"/>
    <mergeCell ref="KMQ54:KMU54"/>
    <mergeCell ref="KMV54:KMZ54"/>
    <mergeCell ref="KNA54:KNE54"/>
    <mergeCell ref="KKX54:KLB54"/>
    <mergeCell ref="KLC54:KLG54"/>
    <mergeCell ref="KLH54:KLL54"/>
    <mergeCell ref="KLM54:KLQ54"/>
    <mergeCell ref="KLR54:KLV54"/>
    <mergeCell ref="KLW54:KMA54"/>
    <mergeCell ref="KJT54:KJX54"/>
    <mergeCell ref="KJY54:KKC54"/>
    <mergeCell ref="KKD54:KKH54"/>
    <mergeCell ref="KKI54:KKM54"/>
    <mergeCell ref="KKN54:KKR54"/>
    <mergeCell ref="KKS54:KKW54"/>
    <mergeCell ref="KIP54:KIT54"/>
    <mergeCell ref="KIU54:KIY54"/>
    <mergeCell ref="KIZ54:KJD54"/>
    <mergeCell ref="KJE54:KJI54"/>
    <mergeCell ref="KJJ54:KJN54"/>
    <mergeCell ref="KJO54:KJS54"/>
    <mergeCell ref="KHL54:KHP54"/>
    <mergeCell ref="KHQ54:KHU54"/>
    <mergeCell ref="KHV54:KHZ54"/>
    <mergeCell ref="KIA54:KIE54"/>
    <mergeCell ref="KIF54:KIJ54"/>
    <mergeCell ref="KIK54:KIO54"/>
    <mergeCell ref="KGH54:KGL54"/>
    <mergeCell ref="KGM54:KGQ54"/>
    <mergeCell ref="KGR54:KGV54"/>
    <mergeCell ref="KGW54:KHA54"/>
    <mergeCell ref="KHB54:KHF54"/>
    <mergeCell ref="KHG54:KHK54"/>
    <mergeCell ref="KFD54:KFH54"/>
    <mergeCell ref="KFI54:KFM54"/>
    <mergeCell ref="KFN54:KFR54"/>
    <mergeCell ref="KFS54:KFW54"/>
    <mergeCell ref="KFX54:KGB54"/>
    <mergeCell ref="KGC54:KGG54"/>
    <mergeCell ref="KDZ54:KED54"/>
    <mergeCell ref="KEE54:KEI54"/>
    <mergeCell ref="KEJ54:KEN54"/>
    <mergeCell ref="KEO54:KES54"/>
    <mergeCell ref="KET54:KEX54"/>
    <mergeCell ref="KEY54:KFC54"/>
    <mergeCell ref="KCV54:KCZ54"/>
    <mergeCell ref="KDA54:KDE54"/>
    <mergeCell ref="KDF54:KDJ54"/>
    <mergeCell ref="KDK54:KDO54"/>
    <mergeCell ref="KDP54:KDT54"/>
    <mergeCell ref="KDU54:KDY54"/>
    <mergeCell ref="KBR54:KBV54"/>
    <mergeCell ref="KBW54:KCA54"/>
    <mergeCell ref="KCB54:KCF54"/>
    <mergeCell ref="KCG54:KCK54"/>
    <mergeCell ref="KCL54:KCP54"/>
    <mergeCell ref="KCQ54:KCU54"/>
    <mergeCell ref="KAN54:KAR54"/>
    <mergeCell ref="KAS54:KAW54"/>
    <mergeCell ref="KAX54:KBB54"/>
    <mergeCell ref="KBC54:KBG54"/>
    <mergeCell ref="KBH54:KBL54"/>
    <mergeCell ref="KBM54:KBQ54"/>
    <mergeCell ref="JZJ54:JZN54"/>
    <mergeCell ref="JZO54:JZS54"/>
    <mergeCell ref="JZT54:JZX54"/>
    <mergeCell ref="JZY54:KAC54"/>
    <mergeCell ref="KAD54:KAH54"/>
    <mergeCell ref="KAI54:KAM54"/>
    <mergeCell ref="JYF54:JYJ54"/>
    <mergeCell ref="JYK54:JYO54"/>
    <mergeCell ref="JYP54:JYT54"/>
    <mergeCell ref="JYU54:JYY54"/>
    <mergeCell ref="JYZ54:JZD54"/>
    <mergeCell ref="JZE54:JZI54"/>
    <mergeCell ref="JXB54:JXF54"/>
    <mergeCell ref="JXG54:JXK54"/>
    <mergeCell ref="JXL54:JXP54"/>
    <mergeCell ref="JXQ54:JXU54"/>
    <mergeCell ref="JXV54:JXZ54"/>
    <mergeCell ref="JYA54:JYE54"/>
    <mergeCell ref="JVX54:JWB54"/>
    <mergeCell ref="JWC54:JWG54"/>
    <mergeCell ref="JWH54:JWL54"/>
    <mergeCell ref="JWM54:JWQ54"/>
    <mergeCell ref="JWR54:JWV54"/>
    <mergeCell ref="JWW54:JXA54"/>
    <mergeCell ref="JUT54:JUX54"/>
    <mergeCell ref="JUY54:JVC54"/>
    <mergeCell ref="JVD54:JVH54"/>
    <mergeCell ref="JVI54:JVM54"/>
    <mergeCell ref="JVN54:JVR54"/>
    <mergeCell ref="JVS54:JVW54"/>
    <mergeCell ref="JTP54:JTT54"/>
    <mergeCell ref="JTU54:JTY54"/>
    <mergeCell ref="JTZ54:JUD54"/>
    <mergeCell ref="JUE54:JUI54"/>
    <mergeCell ref="JUJ54:JUN54"/>
    <mergeCell ref="JUO54:JUS54"/>
    <mergeCell ref="JSL54:JSP54"/>
    <mergeCell ref="JSQ54:JSU54"/>
    <mergeCell ref="JSV54:JSZ54"/>
    <mergeCell ref="JTA54:JTE54"/>
    <mergeCell ref="JTF54:JTJ54"/>
    <mergeCell ref="JTK54:JTO54"/>
    <mergeCell ref="JRH54:JRL54"/>
    <mergeCell ref="JRM54:JRQ54"/>
    <mergeCell ref="JRR54:JRV54"/>
    <mergeCell ref="JRW54:JSA54"/>
    <mergeCell ref="JSB54:JSF54"/>
    <mergeCell ref="JSG54:JSK54"/>
    <mergeCell ref="JQD54:JQH54"/>
    <mergeCell ref="JQI54:JQM54"/>
    <mergeCell ref="JQN54:JQR54"/>
    <mergeCell ref="JQS54:JQW54"/>
    <mergeCell ref="JQX54:JRB54"/>
    <mergeCell ref="JRC54:JRG54"/>
    <mergeCell ref="JOZ54:JPD54"/>
    <mergeCell ref="JPE54:JPI54"/>
    <mergeCell ref="JPJ54:JPN54"/>
    <mergeCell ref="JPO54:JPS54"/>
    <mergeCell ref="JPT54:JPX54"/>
    <mergeCell ref="JPY54:JQC54"/>
    <mergeCell ref="JNV54:JNZ54"/>
    <mergeCell ref="JOA54:JOE54"/>
    <mergeCell ref="JOF54:JOJ54"/>
    <mergeCell ref="JOK54:JOO54"/>
    <mergeCell ref="JOP54:JOT54"/>
    <mergeCell ref="JOU54:JOY54"/>
    <mergeCell ref="JMR54:JMV54"/>
    <mergeCell ref="JMW54:JNA54"/>
    <mergeCell ref="JNB54:JNF54"/>
    <mergeCell ref="JNG54:JNK54"/>
    <mergeCell ref="JNL54:JNP54"/>
    <mergeCell ref="JNQ54:JNU54"/>
    <mergeCell ref="JLN54:JLR54"/>
    <mergeCell ref="JLS54:JLW54"/>
    <mergeCell ref="JLX54:JMB54"/>
    <mergeCell ref="JMC54:JMG54"/>
    <mergeCell ref="JMH54:JML54"/>
    <mergeCell ref="JMM54:JMQ54"/>
    <mergeCell ref="JKJ54:JKN54"/>
    <mergeCell ref="JKO54:JKS54"/>
    <mergeCell ref="JKT54:JKX54"/>
    <mergeCell ref="JKY54:JLC54"/>
    <mergeCell ref="JLD54:JLH54"/>
    <mergeCell ref="JLI54:JLM54"/>
    <mergeCell ref="JJF54:JJJ54"/>
    <mergeCell ref="JJK54:JJO54"/>
    <mergeCell ref="JJP54:JJT54"/>
    <mergeCell ref="JJU54:JJY54"/>
    <mergeCell ref="JJZ54:JKD54"/>
    <mergeCell ref="JKE54:JKI54"/>
    <mergeCell ref="JIB54:JIF54"/>
    <mergeCell ref="JIG54:JIK54"/>
    <mergeCell ref="JIL54:JIP54"/>
    <mergeCell ref="JIQ54:JIU54"/>
    <mergeCell ref="JIV54:JIZ54"/>
    <mergeCell ref="JJA54:JJE54"/>
    <mergeCell ref="JGX54:JHB54"/>
    <mergeCell ref="JHC54:JHG54"/>
    <mergeCell ref="JHH54:JHL54"/>
    <mergeCell ref="JHM54:JHQ54"/>
    <mergeCell ref="JHR54:JHV54"/>
    <mergeCell ref="JHW54:JIA54"/>
    <mergeCell ref="JFT54:JFX54"/>
    <mergeCell ref="JFY54:JGC54"/>
    <mergeCell ref="JGD54:JGH54"/>
    <mergeCell ref="JGI54:JGM54"/>
    <mergeCell ref="JGN54:JGR54"/>
    <mergeCell ref="JGS54:JGW54"/>
    <mergeCell ref="JEP54:JET54"/>
    <mergeCell ref="JEU54:JEY54"/>
    <mergeCell ref="JEZ54:JFD54"/>
    <mergeCell ref="JFE54:JFI54"/>
    <mergeCell ref="JFJ54:JFN54"/>
    <mergeCell ref="JFO54:JFS54"/>
    <mergeCell ref="JDL54:JDP54"/>
    <mergeCell ref="JDQ54:JDU54"/>
    <mergeCell ref="JDV54:JDZ54"/>
    <mergeCell ref="JEA54:JEE54"/>
    <mergeCell ref="JEF54:JEJ54"/>
    <mergeCell ref="JEK54:JEO54"/>
    <mergeCell ref="JCH54:JCL54"/>
    <mergeCell ref="JCM54:JCQ54"/>
    <mergeCell ref="JCR54:JCV54"/>
    <mergeCell ref="JCW54:JDA54"/>
    <mergeCell ref="JDB54:JDF54"/>
    <mergeCell ref="JDG54:JDK54"/>
    <mergeCell ref="JBD54:JBH54"/>
    <mergeCell ref="JBI54:JBM54"/>
    <mergeCell ref="JBN54:JBR54"/>
    <mergeCell ref="JBS54:JBW54"/>
    <mergeCell ref="JBX54:JCB54"/>
    <mergeCell ref="JCC54:JCG54"/>
    <mergeCell ref="IZZ54:JAD54"/>
    <mergeCell ref="JAE54:JAI54"/>
    <mergeCell ref="JAJ54:JAN54"/>
    <mergeCell ref="JAO54:JAS54"/>
    <mergeCell ref="JAT54:JAX54"/>
    <mergeCell ref="JAY54:JBC54"/>
    <mergeCell ref="IYV54:IYZ54"/>
    <mergeCell ref="IZA54:IZE54"/>
    <mergeCell ref="IZF54:IZJ54"/>
    <mergeCell ref="IZK54:IZO54"/>
    <mergeCell ref="IZP54:IZT54"/>
    <mergeCell ref="IZU54:IZY54"/>
    <mergeCell ref="IXR54:IXV54"/>
    <mergeCell ref="IXW54:IYA54"/>
    <mergeCell ref="IYB54:IYF54"/>
    <mergeCell ref="IYG54:IYK54"/>
    <mergeCell ref="IYL54:IYP54"/>
    <mergeCell ref="IYQ54:IYU54"/>
    <mergeCell ref="IWN54:IWR54"/>
    <mergeCell ref="IWS54:IWW54"/>
    <mergeCell ref="IWX54:IXB54"/>
    <mergeCell ref="IXC54:IXG54"/>
    <mergeCell ref="IXH54:IXL54"/>
    <mergeCell ref="IXM54:IXQ54"/>
    <mergeCell ref="IVJ54:IVN54"/>
    <mergeCell ref="IVO54:IVS54"/>
    <mergeCell ref="IVT54:IVX54"/>
    <mergeCell ref="IVY54:IWC54"/>
    <mergeCell ref="IWD54:IWH54"/>
    <mergeCell ref="IWI54:IWM54"/>
    <mergeCell ref="IUF54:IUJ54"/>
    <mergeCell ref="IUK54:IUO54"/>
    <mergeCell ref="IUP54:IUT54"/>
    <mergeCell ref="IUU54:IUY54"/>
    <mergeCell ref="IUZ54:IVD54"/>
    <mergeCell ref="IVE54:IVI54"/>
    <mergeCell ref="ITB54:ITF54"/>
    <mergeCell ref="ITG54:ITK54"/>
    <mergeCell ref="ITL54:ITP54"/>
    <mergeCell ref="ITQ54:ITU54"/>
    <mergeCell ref="ITV54:ITZ54"/>
    <mergeCell ref="IUA54:IUE54"/>
    <mergeCell ref="IRX54:ISB54"/>
    <mergeCell ref="ISC54:ISG54"/>
    <mergeCell ref="ISH54:ISL54"/>
    <mergeCell ref="ISM54:ISQ54"/>
    <mergeCell ref="ISR54:ISV54"/>
    <mergeCell ref="ISW54:ITA54"/>
    <mergeCell ref="IQT54:IQX54"/>
    <mergeCell ref="IQY54:IRC54"/>
    <mergeCell ref="IRD54:IRH54"/>
    <mergeCell ref="IRI54:IRM54"/>
    <mergeCell ref="IRN54:IRR54"/>
    <mergeCell ref="IRS54:IRW54"/>
    <mergeCell ref="IPP54:IPT54"/>
    <mergeCell ref="IPU54:IPY54"/>
    <mergeCell ref="IPZ54:IQD54"/>
    <mergeCell ref="IQE54:IQI54"/>
    <mergeCell ref="IQJ54:IQN54"/>
    <mergeCell ref="IQO54:IQS54"/>
    <mergeCell ref="IOL54:IOP54"/>
    <mergeCell ref="IOQ54:IOU54"/>
    <mergeCell ref="IOV54:IOZ54"/>
    <mergeCell ref="IPA54:IPE54"/>
    <mergeCell ref="IPF54:IPJ54"/>
    <mergeCell ref="IPK54:IPO54"/>
    <mergeCell ref="INH54:INL54"/>
    <mergeCell ref="INM54:INQ54"/>
    <mergeCell ref="INR54:INV54"/>
    <mergeCell ref="INW54:IOA54"/>
    <mergeCell ref="IOB54:IOF54"/>
    <mergeCell ref="IOG54:IOK54"/>
    <mergeCell ref="IMD54:IMH54"/>
    <mergeCell ref="IMI54:IMM54"/>
    <mergeCell ref="IMN54:IMR54"/>
    <mergeCell ref="IMS54:IMW54"/>
    <mergeCell ref="IMX54:INB54"/>
    <mergeCell ref="INC54:ING54"/>
    <mergeCell ref="IKZ54:ILD54"/>
    <mergeCell ref="ILE54:ILI54"/>
    <mergeCell ref="ILJ54:ILN54"/>
    <mergeCell ref="ILO54:ILS54"/>
    <mergeCell ref="ILT54:ILX54"/>
    <mergeCell ref="ILY54:IMC54"/>
    <mergeCell ref="IJV54:IJZ54"/>
    <mergeCell ref="IKA54:IKE54"/>
    <mergeCell ref="IKF54:IKJ54"/>
    <mergeCell ref="IKK54:IKO54"/>
    <mergeCell ref="IKP54:IKT54"/>
    <mergeCell ref="IKU54:IKY54"/>
    <mergeCell ref="IIR54:IIV54"/>
    <mergeCell ref="IIW54:IJA54"/>
    <mergeCell ref="IJB54:IJF54"/>
    <mergeCell ref="IJG54:IJK54"/>
    <mergeCell ref="IJL54:IJP54"/>
    <mergeCell ref="IJQ54:IJU54"/>
    <mergeCell ref="IHN54:IHR54"/>
    <mergeCell ref="IHS54:IHW54"/>
    <mergeCell ref="IHX54:IIB54"/>
    <mergeCell ref="IIC54:IIG54"/>
    <mergeCell ref="IIH54:IIL54"/>
    <mergeCell ref="IIM54:IIQ54"/>
    <mergeCell ref="IGJ54:IGN54"/>
    <mergeCell ref="IGO54:IGS54"/>
    <mergeCell ref="IGT54:IGX54"/>
    <mergeCell ref="IGY54:IHC54"/>
    <mergeCell ref="IHD54:IHH54"/>
    <mergeCell ref="IHI54:IHM54"/>
    <mergeCell ref="IFF54:IFJ54"/>
    <mergeCell ref="IFK54:IFO54"/>
    <mergeCell ref="IFP54:IFT54"/>
    <mergeCell ref="IFU54:IFY54"/>
    <mergeCell ref="IFZ54:IGD54"/>
    <mergeCell ref="IGE54:IGI54"/>
    <mergeCell ref="IEB54:IEF54"/>
    <mergeCell ref="IEG54:IEK54"/>
    <mergeCell ref="IEL54:IEP54"/>
    <mergeCell ref="IEQ54:IEU54"/>
    <mergeCell ref="IEV54:IEZ54"/>
    <mergeCell ref="IFA54:IFE54"/>
    <mergeCell ref="ICX54:IDB54"/>
    <mergeCell ref="IDC54:IDG54"/>
    <mergeCell ref="IDH54:IDL54"/>
    <mergeCell ref="IDM54:IDQ54"/>
    <mergeCell ref="IDR54:IDV54"/>
    <mergeCell ref="IDW54:IEA54"/>
    <mergeCell ref="IBT54:IBX54"/>
    <mergeCell ref="IBY54:ICC54"/>
    <mergeCell ref="ICD54:ICH54"/>
    <mergeCell ref="ICI54:ICM54"/>
    <mergeCell ref="ICN54:ICR54"/>
    <mergeCell ref="ICS54:ICW54"/>
    <mergeCell ref="IAP54:IAT54"/>
    <mergeCell ref="IAU54:IAY54"/>
    <mergeCell ref="IAZ54:IBD54"/>
    <mergeCell ref="IBE54:IBI54"/>
    <mergeCell ref="IBJ54:IBN54"/>
    <mergeCell ref="IBO54:IBS54"/>
    <mergeCell ref="HZL54:HZP54"/>
    <mergeCell ref="HZQ54:HZU54"/>
    <mergeCell ref="HZV54:HZZ54"/>
    <mergeCell ref="IAA54:IAE54"/>
    <mergeCell ref="IAF54:IAJ54"/>
    <mergeCell ref="IAK54:IAO54"/>
    <mergeCell ref="HYH54:HYL54"/>
    <mergeCell ref="HYM54:HYQ54"/>
    <mergeCell ref="HYR54:HYV54"/>
    <mergeCell ref="HYW54:HZA54"/>
    <mergeCell ref="HZB54:HZF54"/>
    <mergeCell ref="HZG54:HZK54"/>
    <mergeCell ref="HXD54:HXH54"/>
    <mergeCell ref="HXI54:HXM54"/>
    <mergeCell ref="HXN54:HXR54"/>
    <mergeCell ref="HXS54:HXW54"/>
    <mergeCell ref="HXX54:HYB54"/>
    <mergeCell ref="HYC54:HYG54"/>
    <mergeCell ref="HVZ54:HWD54"/>
    <mergeCell ref="HWE54:HWI54"/>
    <mergeCell ref="HWJ54:HWN54"/>
    <mergeCell ref="HWO54:HWS54"/>
    <mergeCell ref="HWT54:HWX54"/>
    <mergeCell ref="HWY54:HXC54"/>
    <mergeCell ref="HUV54:HUZ54"/>
    <mergeCell ref="HVA54:HVE54"/>
    <mergeCell ref="HVF54:HVJ54"/>
    <mergeCell ref="HVK54:HVO54"/>
    <mergeCell ref="HVP54:HVT54"/>
    <mergeCell ref="HVU54:HVY54"/>
    <mergeCell ref="HTR54:HTV54"/>
    <mergeCell ref="HTW54:HUA54"/>
    <mergeCell ref="HUB54:HUF54"/>
    <mergeCell ref="HUG54:HUK54"/>
    <mergeCell ref="HUL54:HUP54"/>
    <mergeCell ref="HUQ54:HUU54"/>
    <mergeCell ref="HSN54:HSR54"/>
    <mergeCell ref="HSS54:HSW54"/>
    <mergeCell ref="HSX54:HTB54"/>
    <mergeCell ref="HTC54:HTG54"/>
    <mergeCell ref="HTH54:HTL54"/>
    <mergeCell ref="HTM54:HTQ54"/>
    <mergeCell ref="HRJ54:HRN54"/>
    <mergeCell ref="HRO54:HRS54"/>
    <mergeCell ref="HRT54:HRX54"/>
    <mergeCell ref="HRY54:HSC54"/>
    <mergeCell ref="HSD54:HSH54"/>
    <mergeCell ref="HSI54:HSM54"/>
    <mergeCell ref="HQF54:HQJ54"/>
    <mergeCell ref="HQK54:HQO54"/>
    <mergeCell ref="HQP54:HQT54"/>
    <mergeCell ref="HQU54:HQY54"/>
    <mergeCell ref="HQZ54:HRD54"/>
    <mergeCell ref="HRE54:HRI54"/>
    <mergeCell ref="HPB54:HPF54"/>
    <mergeCell ref="HPG54:HPK54"/>
    <mergeCell ref="HPL54:HPP54"/>
    <mergeCell ref="HPQ54:HPU54"/>
    <mergeCell ref="HPV54:HPZ54"/>
    <mergeCell ref="HQA54:HQE54"/>
    <mergeCell ref="HNX54:HOB54"/>
    <mergeCell ref="HOC54:HOG54"/>
    <mergeCell ref="HOH54:HOL54"/>
    <mergeCell ref="HOM54:HOQ54"/>
    <mergeCell ref="HOR54:HOV54"/>
    <mergeCell ref="HOW54:HPA54"/>
    <mergeCell ref="HMT54:HMX54"/>
    <mergeCell ref="HMY54:HNC54"/>
    <mergeCell ref="HND54:HNH54"/>
    <mergeCell ref="HNI54:HNM54"/>
    <mergeCell ref="HNN54:HNR54"/>
    <mergeCell ref="HNS54:HNW54"/>
    <mergeCell ref="HLP54:HLT54"/>
    <mergeCell ref="HLU54:HLY54"/>
    <mergeCell ref="HLZ54:HMD54"/>
    <mergeCell ref="HME54:HMI54"/>
    <mergeCell ref="HMJ54:HMN54"/>
    <mergeCell ref="HMO54:HMS54"/>
    <mergeCell ref="HKL54:HKP54"/>
    <mergeCell ref="HKQ54:HKU54"/>
    <mergeCell ref="HKV54:HKZ54"/>
    <mergeCell ref="HLA54:HLE54"/>
    <mergeCell ref="HLF54:HLJ54"/>
    <mergeCell ref="HLK54:HLO54"/>
    <mergeCell ref="HJH54:HJL54"/>
    <mergeCell ref="HJM54:HJQ54"/>
    <mergeCell ref="HJR54:HJV54"/>
    <mergeCell ref="HJW54:HKA54"/>
    <mergeCell ref="HKB54:HKF54"/>
    <mergeCell ref="HKG54:HKK54"/>
    <mergeCell ref="HID54:HIH54"/>
    <mergeCell ref="HII54:HIM54"/>
    <mergeCell ref="HIN54:HIR54"/>
    <mergeCell ref="HIS54:HIW54"/>
    <mergeCell ref="HIX54:HJB54"/>
    <mergeCell ref="HJC54:HJG54"/>
    <mergeCell ref="HGZ54:HHD54"/>
    <mergeCell ref="HHE54:HHI54"/>
    <mergeCell ref="HHJ54:HHN54"/>
    <mergeCell ref="HHO54:HHS54"/>
    <mergeCell ref="HHT54:HHX54"/>
    <mergeCell ref="HHY54:HIC54"/>
    <mergeCell ref="HFV54:HFZ54"/>
    <mergeCell ref="HGA54:HGE54"/>
    <mergeCell ref="HGF54:HGJ54"/>
    <mergeCell ref="HGK54:HGO54"/>
    <mergeCell ref="HGP54:HGT54"/>
    <mergeCell ref="HGU54:HGY54"/>
    <mergeCell ref="HER54:HEV54"/>
    <mergeCell ref="HEW54:HFA54"/>
    <mergeCell ref="HFB54:HFF54"/>
    <mergeCell ref="HFG54:HFK54"/>
    <mergeCell ref="HFL54:HFP54"/>
    <mergeCell ref="HFQ54:HFU54"/>
    <mergeCell ref="HDN54:HDR54"/>
    <mergeCell ref="HDS54:HDW54"/>
    <mergeCell ref="HDX54:HEB54"/>
    <mergeCell ref="HEC54:HEG54"/>
    <mergeCell ref="HEH54:HEL54"/>
    <mergeCell ref="HEM54:HEQ54"/>
    <mergeCell ref="HCJ54:HCN54"/>
    <mergeCell ref="HCO54:HCS54"/>
    <mergeCell ref="HCT54:HCX54"/>
    <mergeCell ref="HCY54:HDC54"/>
    <mergeCell ref="HDD54:HDH54"/>
    <mergeCell ref="HDI54:HDM54"/>
    <mergeCell ref="HBF54:HBJ54"/>
    <mergeCell ref="HBK54:HBO54"/>
    <mergeCell ref="HBP54:HBT54"/>
    <mergeCell ref="HBU54:HBY54"/>
    <mergeCell ref="HBZ54:HCD54"/>
    <mergeCell ref="HCE54:HCI54"/>
    <mergeCell ref="HAB54:HAF54"/>
    <mergeCell ref="HAG54:HAK54"/>
    <mergeCell ref="HAL54:HAP54"/>
    <mergeCell ref="HAQ54:HAU54"/>
    <mergeCell ref="HAV54:HAZ54"/>
    <mergeCell ref="HBA54:HBE54"/>
    <mergeCell ref="GYX54:GZB54"/>
    <mergeCell ref="GZC54:GZG54"/>
    <mergeCell ref="GZH54:GZL54"/>
    <mergeCell ref="GZM54:GZQ54"/>
    <mergeCell ref="GZR54:GZV54"/>
    <mergeCell ref="GZW54:HAA54"/>
    <mergeCell ref="GXT54:GXX54"/>
    <mergeCell ref="GXY54:GYC54"/>
    <mergeCell ref="GYD54:GYH54"/>
    <mergeCell ref="GYI54:GYM54"/>
    <mergeCell ref="GYN54:GYR54"/>
    <mergeCell ref="GYS54:GYW54"/>
    <mergeCell ref="GWP54:GWT54"/>
    <mergeCell ref="GWU54:GWY54"/>
    <mergeCell ref="GWZ54:GXD54"/>
    <mergeCell ref="GXE54:GXI54"/>
    <mergeCell ref="GXJ54:GXN54"/>
    <mergeCell ref="GXO54:GXS54"/>
    <mergeCell ref="GVL54:GVP54"/>
    <mergeCell ref="GVQ54:GVU54"/>
    <mergeCell ref="GVV54:GVZ54"/>
    <mergeCell ref="GWA54:GWE54"/>
    <mergeCell ref="GWF54:GWJ54"/>
    <mergeCell ref="GWK54:GWO54"/>
    <mergeCell ref="GUH54:GUL54"/>
    <mergeCell ref="GUM54:GUQ54"/>
    <mergeCell ref="GUR54:GUV54"/>
    <mergeCell ref="GUW54:GVA54"/>
    <mergeCell ref="GVB54:GVF54"/>
    <mergeCell ref="GVG54:GVK54"/>
    <mergeCell ref="GTD54:GTH54"/>
    <mergeCell ref="GTI54:GTM54"/>
    <mergeCell ref="GTN54:GTR54"/>
    <mergeCell ref="GTS54:GTW54"/>
    <mergeCell ref="GTX54:GUB54"/>
    <mergeCell ref="GUC54:GUG54"/>
    <mergeCell ref="GRZ54:GSD54"/>
    <mergeCell ref="GSE54:GSI54"/>
    <mergeCell ref="GSJ54:GSN54"/>
    <mergeCell ref="GSO54:GSS54"/>
    <mergeCell ref="GST54:GSX54"/>
    <mergeCell ref="GSY54:GTC54"/>
    <mergeCell ref="GQV54:GQZ54"/>
    <mergeCell ref="GRA54:GRE54"/>
    <mergeCell ref="GRF54:GRJ54"/>
    <mergeCell ref="GRK54:GRO54"/>
    <mergeCell ref="GRP54:GRT54"/>
    <mergeCell ref="GRU54:GRY54"/>
    <mergeCell ref="GPR54:GPV54"/>
    <mergeCell ref="GPW54:GQA54"/>
    <mergeCell ref="GQB54:GQF54"/>
    <mergeCell ref="GQG54:GQK54"/>
    <mergeCell ref="GQL54:GQP54"/>
    <mergeCell ref="GQQ54:GQU54"/>
    <mergeCell ref="GON54:GOR54"/>
    <mergeCell ref="GOS54:GOW54"/>
    <mergeCell ref="GOX54:GPB54"/>
    <mergeCell ref="GPC54:GPG54"/>
    <mergeCell ref="GPH54:GPL54"/>
    <mergeCell ref="GPM54:GPQ54"/>
    <mergeCell ref="GNJ54:GNN54"/>
    <mergeCell ref="GNO54:GNS54"/>
    <mergeCell ref="GNT54:GNX54"/>
    <mergeCell ref="GNY54:GOC54"/>
    <mergeCell ref="GOD54:GOH54"/>
    <mergeCell ref="GOI54:GOM54"/>
    <mergeCell ref="GMF54:GMJ54"/>
    <mergeCell ref="GMK54:GMO54"/>
    <mergeCell ref="GMP54:GMT54"/>
    <mergeCell ref="GMU54:GMY54"/>
    <mergeCell ref="GMZ54:GND54"/>
    <mergeCell ref="GNE54:GNI54"/>
    <mergeCell ref="GLB54:GLF54"/>
    <mergeCell ref="GLG54:GLK54"/>
    <mergeCell ref="GLL54:GLP54"/>
    <mergeCell ref="GLQ54:GLU54"/>
    <mergeCell ref="GLV54:GLZ54"/>
    <mergeCell ref="GMA54:GME54"/>
    <mergeCell ref="GJX54:GKB54"/>
    <mergeCell ref="GKC54:GKG54"/>
    <mergeCell ref="GKH54:GKL54"/>
    <mergeCell ref="GKM54:GKQ54"/>
    <mergeCell ref="GKR54:GKV54"/>
    <mergeCell ref="GKW54:GLA54"/>
    <mergeCell ref="GIT54:GIX54"/>
    <mergeCell ref="GIY54:GJC54"/>
    <mergeCell ref="GJD54:GJH54"/>
    <mergeCell ref="GJI54:GJM54"/>
    <mergeCell ref="GJN54:GJR54"/>
    <mergeCell ref="GJS54:GJW54"/>
    <mergeCell ref="GHP54:GHT54"/>
    <mergeCell ref="GHU54:GHY54"/>
    <mergeCell ref="GHZ54:GID54"/>
    <mergeCell ref="GIE54:GII54"/>
    <mergeCell ref="GIJ54:GIN54"/>
    <mergeCell ref="GIO54:GIS54"/>
    <mergeCell ref="GGL54:GGP54"/>
    <mergeCell ref="GGQ54:GGU54"/>
    <mergeCell ref="GGV54:GGZ54"/>
    <mergeCell ref="GHA54:GHE54"/>
    <mergeCell ref="GHF54:GHJ54"/>
    <mergeCell ref="GHK54:GHO54"/>
    <mergeCell ref="GFH54:GFL54"/>
    <mergeCell ref="GFM54:GFQ54"/>
    <mergeCell ref="GFR54:GFV54"/>
    <mergeCell ref="GFW54:GGA54"/>
    <mergeCell ref="GGB54:GGF54"/>
    <mergeCell ref="GGG54:GGK54"/>
    <mergeCell ref="GED54:GEH54"/>
    <mergeCell ref="GEI54:GEM54"/>
    <mergeCell ref="GEN54:GER54"/>
    <mergeCell ref="GES54:GEW54"/>
    <mergeCell ref="GEX54:GFB54"/>
    <mergeCell ref="GFC54:GFG54"/>
    <mergeCell ref="GCZ54:GDD54"/>
    <mergeCell ref="GDE54:GDI54"/>
    <mergeCell ref="GDJ54:GDN54"/>
    <mergeCell ref="GDO54:GDS54"/>
    <mergeCell ref="GDT54:GDX54"/>
    <mergeCell ref="GDY54:GEC54"/>
    <mergeCell ref="GBV54:GBZ54"/>
    <mergeCell ref="GCA54:GCE54"/>
    <mergeCell ref="GCF54:GCJ54"/>
    <mergeCell ref="GCK54:GCO54"/>
    <mergeCell ref="GCP54:GCT54"/>
    <mergeCell ref="GCU54:GCY54"/>
    <mergeCell ref="GAR54:GAV54"/>
    <mergeCell ref="GAW54:GBA54"/>
    <mergeCell ref="GBB54:GBF54"/>
    <mergeCell ref="GBG54:GBK54"/>
    <mergeCell ref="GBL54:GBP54"/>
    <mergeCell ref="GBQ54:GBU54"/>
    <mergeCell ref="FZN54:FZR54"/>
    <mergeCell ref="FZS54:FZW54"/>
    <mergeCell ref="FZX54:GAB54"/>
    <mergeCell ref="GAC54:GAG54"/>
    <mergeCell ref="GAH54:GAL54"/>
    <mergeCell ref="GAM54:GAQ54"/>
    <mergeCell ref="FYJ54:FYN54"/>
    <mergeCell ref="FYO54:FYS54"/>
    <mergeCell ref="FYT54:FYX54"/>
    <mergeCell ref="FYY54:FZC54"/>
    <mergeCell ref="FZD54:FZH54"/>
    <mergeCell ref="FZI54:FZM54"/>
    <mergeCell ref="FXF54:FXJ54"/>
    <mergeCell ref="FXK54:FXO54"/>
    <mergeCell ref="FXP54:FXT54"/>
    <mergeCell ref="FXU54:FXY54"/>
    <mergeCell ref="FXZ54:FYD54"/>
    <mergeCell ref="FYE54:FYI54"/>
    <mergeCell ref="FWB54:FWF54"/>
    <mergeCell ref="FWG54:FWK54"/>
    <mergeCell ref="FWL54:FWP54"/>
    <mergeCell ref="FWQ54:FWU54"/>
    <mergeCell ref="FWV54:FWZ54"/>
    <mergeCell ref="FXA54:FXE54"/>
    <mergeCell ref="FUX54:FVB54"/>
    <mergeCell ref="FVC54:FVG54"/>
    <mergeCell ref="FVH54:FVL54"/>
    <mergeCell ref="FVM54:FVQ54"/>
    <mergeCell ref="FVR54:FVV54"/>
    <mergeCell ref="FVW54:FWA54"/>
    <mergeCell ref="FTT54:FTX54"/>
    <mergeCell ref="FTY54:FUC54"/>
    <mergeCell ref="FUD54:FUH54"/>
    <mergeCell ref="FUI54:FUM54"/>
    <mergeCell ref="FUN54:FUR54"/>
    <mergeCell ref="FUS54:FUW54"/>
    <mergeCell ref="FSP54:FST54"/>
    <mergeCell ref="FSU54:FSY54"/>
    <mergeCell ref="FSZ54:FTD54"/>
    <mergeCell ref="FTE54:FTI54"/>
    <mergeCell ref="FTJ54:FTN54"/>
    <mergeCell ref="FTO54:FTS54"/>
    <mergeCell ref="FRL54:FRP54"/>
    <mergeCell ref="FRQ54:FRU54"/>
    <mergeCell ref="FRV54:FRZ54"/>
    <mergeCell ref="FSA54:FSE54"/>
    <mergeCell ref="FSF54:FSJ54"/>
    <mergeCell ref="FSK54:FSO54"/>
    <mergeCell ref="FQH54:FQL54"/>
    <mergeCell ref="FQM54:FQQ54"/>
    <mergeCell ref="FQR54:FQV54"/>
    <mergeCell ref="FQW54:FRA54"/>
    <mergeCell ref="FRB54:FRF54"/>
    <mergeCell ref="FRG54:FRK54"/>
    <mergeCell ref="FPD54:FPH54"/>
    <mergeCell ref="FPI54:FPM54"/>
    <mergeCell ref="FPN54:FPR54"/>
    <mergeCell ref="FPS54:FPW54"/>
    <mergeCell ref="FPX54:FQB54"/>
    <mergeCell ref="FQC54:FQG54"/>
    <mergeCell ref="FNZ54:FOD54"/>
    <mergeCell ref="FOE54:FOI54"/>
    <mergeCell ref="FOJ54:FON54"/>
    <mergeCell ref="FOO54:FOS54"/>
    <mergeCell ref="FOT54:FOX54"/>
    <mergeCell ref="FOY54:FPC54"/>
    <mergeCell ref="FMV54:FMZ54"/>
    <mergeCell ref="FNA54:FNE54"/>
    <mergeCell ref="FNF54:FNJ54"/>
    <mergeCell ref="FNK54:FNO54"/>
    <mergeCell ref="FNP54:FNT54"/>
    <mergeCell ref="FNU54:FNY54"/>
    <mergeCell ref="FLR54:FLV54"/>
    <mergeCell ref="FLW54:FMA54"/>
    <mergeCell ref="FMB54:FMF54"/>
    <mergeCell ref="FMG54:FMK54"/>
    <mergeCell ref="FML54:FMP54"/>
    <mergeCell ref="FMQ54:FMU54"/>
    <mergeCell ref="FKN54:FKR54"/>
    <mergeCell ref="FKS54:FKW54"/>
    <mergeCell ref="FKX54:FLB54"/>
    <mergeCell ref="FLC54:FLG54"/>
    <mergeCell ref="FLH54:FLL54"/>
    <mergeCell ref="FLM54:FLQ54"/>
    <mergeCell ref="FJJ54:FJN54"/>
    <mergeCell ref="FJO54:FJS54"/>
    <mergeCell ref="FJT54:FJX54"/>
    <mergeCell ref="FJY54:FKC54"/>
    <mergeCell ref="FKD54:FKH54"/>
    <mergeCell ref="FKI54:FKM54"/>
    <mergeCell ref="FIF54:FIJ54"/>
    <mergeCell ref="FIK54:FIO54"/>
    <mergeCell ref="FIP54:FIT54"/>
    <mergeCell ref="FIU54:FIY54"/>
    <mergeCell ref="FIZ54:FJD54"/>
    <mergeCell ref="FJE54:FJI54"/>
    <mergeCell ref="FHB54:FHF54"/>
    <mergeCell ref="FHG54:FHK54"/>
    <mergeCell ref="FHL54:FHP54"/>
    <mergeCell ref="FHQ54:FHU54"/>
    <mergeCell ref="FHV54:FHZ54"/>
    <mergeCell ref="FIA54:FIE54"/>
    <mergeCell ref="FFX54:FGB54"/>
    <mergeCell ref="FGC54:FGG54"/>
    <mergeCell ref="FGH54:FGL54"/>
    <mergeCell ref="FGM54:FGQ54"/>
    <mergeCell ref="FGR54:FGV54"/>
    <mergeCell ref="FGW54:FHA54"/>
    <mergeCell ref="FET54:FEX54"/>
    <mergeCell ref="FEY54:FFC54"/>
    <mergeCell ref="FFD54:FFH54"/>
    <mergeCell ref="FFI54:FFM54"/>
    <mergeCell ref="FFN54:FFR54"/>
    <mergeCell ref="FFS54:FFW54"/>
    <mergeCell ref="FDP54:FDT54"/>
    <mergeCell ref="FDU54:FDY54"/>
    <mergeCell ref="FDZ54:FED54"/>
    <mergeCell ref="FEE54:FEI54"/>
    <mergeCell ref="FEJ54:FEN54"/>
    <mergeCell ref="FEO54:FES54"/>
    <mergeCell ref="FCL54:FCP54"/>
    <mergeCell ref="FCQ54:FCU54"/>
    <mergeCell ref="FCV54:FCZ54"/>
    <mergeCell ref="FDA54:FDE54"/>
    <mergeCell ref="FDF54:FDJ54"/>
    <mergeCell ref="FDK54:FDO54"/>
    <mergeCell ref="FBH54:FBL54"/>
    <mergeCell ref="FBM54:FBQ54"/>
    <mergeCell ref="FBR54:FBV54"/>
    <mergeCell ref="FBW54:FCA54"/>
    <mergeCell ref="FCB54:FCF54"/>
    <mergeCell ref="FCG54:FCK54"/>
    <mergeCell ref="FAD54:FAH54"/>
    <mergeCell ref="FAI54:FAM54"/>
    <mergeCell ref="FAN54:FAR54"/>
    <mergeCell ref="FAS54:FAW54"/>
    <mergeCell ref="FAX54:FBB54"/>
    <mergeCell ref="FBC54:FBG54"/>
    <mergeCell ref="EYZ54:EZD54"/>
    <mergeCell ref="EZE54:EZI54"/>
    <mergeCell ref="EZJ54:EZN54"/>
    <mergeCell ref="EZO54:EZS54"/>
    <mergeCell ref="EZT54:EZX54"/>
    <mergeCell ref="EZY54:FAC54"/>
    <mergeCell ref="EXV54:EXZ54"/>
    <mergeCell ref="EYA54:EYE54"/>
    <mergeCell ref="EYF54:EYJ54"/>
    <mergeCell ref="EYK54:EYO54"/>
    <mergeCell ref="EYP54:EYT54"/>
    <mergeCell ref="EYU54:EYY54"/>
    <mergeCell ref="EWR54:EWV54"/>
    <mergeCell ref="EWW54:EXA54"/>
    <mergeCell ref="EXB54:EXF54"/>
    <mergeCell ref="EXG54:EXK54"/>
    <mergeCell ref="EXL54:EXP54"/>
    <mergeCell ref="EXQ54:EXU54"/>
    <mergeCell ref="EVN54:EVR54"/>
    <mergeCell ref="EVS54:EVW54"/>
    <mergeCell ref="EVX54:EWB54"/>
    <mergeCell ref="EWC54:EWG54"/>
    <mergeCell ref="EWH54:EWL54"/>
    <mergeCell ref="EWM54:EWQ54"/>
    <mergeCell ref="EUJ54:EUN54"/>
    <mergeCell ref="EUO54:EUS54"/>
    <mergeCell ref="EUT54:EUX54"/>
    <mergeCell ref="EUY54:EVC54"/>
    <mergeCell ref="EVD54:EVH54"/>
    <mergeCell ref="EVI54:EVM54"/>
    <mergeCell ref="ETF54:ETJ54"/>
    <mergeCell ref="ETK54:ETO54"/>
    <mergeCell ref="ETP54:ETT54"/>
    <mergeCell ref="ETU54:ETY54"/>
    <mergeCell ref="ETZ54:EUD54"/>
    <mergeCell ref="EUE54:EUI54"/>
    <mergeCell ref="ESB54:ESF54"/>
    <mergeCell ref="ESG54:ESK54"/>
    <mergeCell ref="ESL54:ESP54"/>
    <mergeCell ref="ESQ54:ESU54"/>
    <mergeCell ref="ESV54:ESZ54"/>
    <mergeCell ref="ETA54:ETE54"/>
    <mergeCell ref="EQX54:ERB54"/>
    <mergeCell ref="ERC54:ERG54"/>
    <mergeCell ref="ERH54:ERL54"/>
    <mergeCell ref="ERM54:ERQ54"/>
    <mergeCell ref="ERR54:ERV54"/>
    <mergeCell ref="ERW54:ESA54"/>
    <mergeCell ref="EPT54:EPX54"/>
    <mergeCell ref="EPY54:EQC54"/>
    <mergeCell ref="EQD54:EQH54"/>
    <mergeCell ref="EQI54:EQM54"/>
    <mergeCell ref="EQN54:EQR54"/>
    <mergeCell ref="EQS54:EQW54"/>
    <mergeCell ref="EOP54:EOT54"/>
    <mergeCell ref="EOU54:EOY54"/>
    <mergeCell ref="EOZ54:EPD54"/>
    <mergeCell ref="EPE54:EPI54"/>
    <mergeCell ref="EPJ54:EPN54"/>
    <mergeCell ref="EPO54:EPS54"/>
    <mergeCell ref="ENL54:ENP54"/>
    <mergeCell ref="ENQ54:ENU54"/>
    <mergeCell ref="ENV54:ENZ54"/>
    <mergeCell ref="EOA54:EOE54"/>
    <mergeCell ref="EOF54:EOJ54"/>
    <mergeCell ref="EOK54:EOO54"/>
    <mergeCell ref="EMH54:EML54"/>
    <mergeCell ref="EMM54:EMQ54"/>
    <mergeCell ref="EMR54:EMV54"/>
    <mergeCell ref="EMW54:ENA54"/>
    <mergeCell ref="ENB54:ENF54"/>
    <mergeCell ref="ENG54:ENK54"/>
    <mergeCell ref="ELD54:ELH54"/>
    <mergeCell ref="ELI54:ELM54"/>
    <mergeCell ref="ELN54:ELR54"/>
    <mergeCell ref="ELS54:ELW54"/>
    <mergeCell ref="ELX54:EMB54"/>
    <mergeCell ref="EMC54:EMG54"/>
    <mergeCell ref="EJZ54:EKD54"/>
    <mergeCell ref="EKE54:EKI54"/>
    <mergeCell ref="EKJ54:EKN54"/>
    <mergeCell ref="EKO54:EKS54"/>
    <mergeCell ref="EKT54:EKX54"/>
    <mergeCell ref="EKY54:ELC54"/>
    <mergeCell ref="EIV54:EIZ54"/>
    <mergeCell ref="EJA54:EJE54"/>
    <mergeCell ref="EJF54:EJJ54"/>
    <mergeCell ref="EJK54:EJO54"/>
    <mergeCell ref="EJP54:EJT54"/>
    <mergeCell ref="EJU54:EJY54"/>
    <mergeCell ref="EHR54:EHV54"/>
    <mergeCell ref="EHW54:EIA54"/>
    <mergeCell ref="EIB54:EIF54"/>
    <mergeCell ref="EIG54:EIK54"/>
    <mergeCell ref="EIL54:EIP54"/>
    <mergeCell ref="EIQ54:EIU54"/>
    <mergeCell ref="EGN54:EGR54"/>
    <mergeCell ref="EGS54:EGW54"/>
    <mergeCell ref="EGX54:EHB54"/>
    <mergeCell ref="EHC54:EHG54"/>
    <mergeCell ref="EHH54:EHL54"/>
    <mergeCell ref="EHM54:EHQ54"/>
    <mergeCell ref="EFJ54:EFN54"/>
    <mergeCell ref="EFO54:EFS54"/>
    <mergeCell ref="EFT54:EFX54"/>
    <mergeCell ref="EFY54:EGC54"/>
    <mergeCell ref="EGD54:EGH54"/>
    <mergeCell ref="EGI54:EGM54"/>
    <mergeCell ref="EEF54:EEJ54"/>
    <mergeCell ref="EEK54:EEO54"/>
    <mergeCell ref="EEP54:EET54"/>
    <mergeCell ref="EEU54:EEY54"/>
    <mergeCell ref="EEZ54:EFD54"/>
    <mergeCell ref="EFE54:EFI54"/>
    <mergeCell ref="EDB54:EDF54"/>
    <mergeCell ref="EDG54:EDK54"/>
    <mergeCell ref="EDL54:EDP54"/>
    <mergeCell ref="EDQ54:EDU54"/>
    <mergeCell ref="EDV54:EDZ54"/>
    <mergeCell ref="EEA54:EEE54"/>
    <mergeCell ref="EBX54:ECB54"/>
    <mergeCell ref="ECC54:ECG54"/>
    <mergeCell ref="ECH54:ECL54"/>
    <mergeCell ref="ECM54:ECQ54"/>
    <mergeCell ref="ECR54:ECV54"/>
    <mergeCell ref="ECW54:EDA54"/>
    <mergeCell ref="EAT54:EAX54"/>
    <mergeCell ref="EAY54:EBC54"/>
    <mergeCell ref="EBD54:EBH54"/>
    <mergeCell ref="EBI54:EBM54"/>
    <mergeCell ref="EBN54:EBR54"/>
    <mergeCell ref="EBS54:EBW54"/>
    <mergeCell ref="DZP54:DZT54"/>
    <mergeCell ref="DZU54:DZY54"/>
    <mergeCell ref="DZZ54:EAD54"/>
    <mergeCell ref="EAE54:EAI54"/>
    <mergeCell ref="EAJ54:EAN54"/>
    <mergeCell ref="EAO54:EAS54"/>
    <mergeCell ref="DYL54:DYP54"/>
    <mergeCell ref="DYQ54:DYU54"/>
    <mergeCell ref="DYV54:DYZ54"/>
    <mergeCell ref="DZA54:DZE54"/>
    <mergeCell ref="DZF54:DZJ54"/>
    <mergeCell ref="DZK54:DZO54"/>
    <mergeCell ref="DXH54:DXL54"/>
    <mergeCell ref="DXM54:DXQ54"/>
    <mergeCell ref="DXR54:DXV54"/>
    <mergeCell ref="DXW54:DYA54"/>
    <mergeCell ref="DYB54:DYF54"/>
    <mergeCell ref="DYG54:DYK54"/>
    <mergeCell ref="DWD54:DWH54"/>
    <mergeCell ref="DWI54:DWM54"/>
    <mergeCell ref="DWN54:DWR54"/>
    <mergeCell ref="DWS54:DWW54"/>
    <mergeCell ref="DWX54:DXB54"/>
    <mergeCell ref="DXC54:DXG54"/>
    <mergeCell ref="DUZ54:DVD54"/>
    <mergeCell ref="DVE54:DVI54"/>
    <mergeCell ref="DVJ54:DVN54"/>
    <mergeCell ref="DVO54:DVS54"/>
    <mergeCell ref="DVT54:DVX54"/>
    <mergeCell ref="DVY54:DWC54"/>
    <mergeCell ref="DTV54:DTZ54"/>
    <mergeCell ref="DUA54:DUE54"/>
    <mergeCell ref="DUF54:DUJ54"/>
    <mergeCell ref="DUK54:DUO54"/>
    <mergeCell ref="DUP54:DUT54"/>
    <mergeCell ref="DUU54:DUY54"/>
    <mergeCell ref="DSR54:DSV54"/>
    <mergeCell ref="DSW54:DTA54"/>
    <mergeCell ref="DTB54:DTF54"/>
    <mergeCell ref="DTG54:DTK54"/>
    <mergeCell ref="DTL54:DTP54"/>
    <mergeCell ref="DTQ54:DTU54"/>
    <mergeCell ref="DRN54:DRR54"/>
    <mergeCell ref="DRS54:DRW54"/>
    <mergeCell ref="DRX54:DSB54"/>
    <mergeCell ref="DSC54:DSG54"/>
    <mergeCell ref="DSH54:DSL54"/>
    <mergeCell ref="DSM54:DSQ54"/>
    <mergeCell ref="DQJ54:DQN54"/>
    <mergeCell ref="DQO54:DQS54"/>
    <mergeCell ref="DQT54:DQX54"/>
    <mergeCell ref="DQY54:DRC54"/>
    <mergeCell ref="DRD54:DRH54"/>
    <mergeCell ref="DRI54:DRM54"/>
    <mergeCell ref="DPF54:DPJ54"/>
    <mergeCell ref="DPK54:DPO54"/>
    <mergeCell ref="DPP54:DPT54"/>
    <mergeCell ref="DPU54:DPY54"/>
    <mergeCell ref="DPZ54:DQD54"/>
    <mergeCell ref="DQE54:DQI54"/>
    <mergeCell ref="DOB54:DOF54"/>
    <mergeCell ref="DOG54:DOK54"/>
    <mergeCell ref="DOL54:DOP54"/>
    <mergeCell ref="DOQ54:DOU54"/>
    <mergeCell ref="DOV54:DOZ54"/>
    <mergeCell ref="DPA54:DPE54"/>
    <mergeCell ref="DMX54:DNB54"/>
    <mergeCell ref="DNC54:DNG54"/>
    <mergeCell ref="DNH54:DNL54"/>
    <mergeCell ref="DNM54:DNQ54"/>
    <mergeCell ref="DNR54:DNV54"/>
    <mergeCell ref="DNW54:DOA54"/>
    <mergeCell ref="DLT54:DLX54"/>
    <mergeCell ref="DLY54:DMC54"/>
    <mergeCell ref="DMD54:DMH54"/>
    <mergeCell ref="DMI54:DMM54"/>
    <mergeCell ref="DMN54:DMR54"/>
    <mergeCell ref="DMS54:DMW54"/>
    <mergeCell ref="DKP54:DKT54"/>
    <mergeCell ref="DKU54:DKY54"/>
    <mergeCell ref="DKZ54:DLD54"/>
    <mergeCell ref="DLE54:DLI54"/>
    <mergeCell ref="DLJ54:DLN54"/>
    <mergeCell ref="DLO54:DLS54"/>
    <mergeCell ref="DJL54:DJP54"/>
    <mergeCell ref="DJQ54:DJU54"/>
    <mergeCell ref="DJV54:DJZ54"/>
    <mergeCell ref="DKA54:DKE54"/>
    <mergeCell ref="DKF54:DKJ54"/>
    <mergeCell ref="DKK54:DKO54"/>
    <mergeCell ref="DIH54:DIL54"/>
    <mergeCell ref="DIM54:DIQ54"/>
    <mergeCell ref="DIR54:DIV54"/>
    <mergeCell ref="DIW54:DJA54"/>
    <mergeCell ref="DJB54:DJF54"/>
    <mergeCell ref="DJG54:DJK54"/>
    <mergeCell ref="DHD54:DHH54"/>
    <mergeCell ref="DHI54:DHM54"/>
    <mergeCell ref="DHN54:DHR54"/>
    <mergeCell ref="DHS54:DHW54"/>
    <mergeCell ref="DHX54:DIB54"/>
    <mergeCell ref="DIC54:DIG54"/>
    <mergeCell ref="DFZ54:DGD54"/>
    <mergeCell ref="DGE54:DGI54"/>
    <mergeCell ref="DGJ54:DGN54"/>
    <mergeCell ref="DGO54:DGS54"/>
    <mergeCell ref="DGT54:DGX54"/>
    <mergeCell ref="DGY54:DHC54"/>
    <mergeCell ref="DEV54:DEZ54"/>
    <mergeCell ref="DFA54:DFE54"/>
    <mergeCell ref="DFF54:DFJ54"/>
    <mergeCell ref="DFK54:DFO54"/>
    <mergeCell ref="DFP54:DFT54"/>
    <mergeCell ref="DFU54:DFY54"/>
    <mergeCell ref="DDR54:DDV54"/>
    <mergeCell ref="DDW54:DEA54"/>
    <mergeCell ref="DEB54:DEF54"/>
    <mergeCell ref="DEG54:DEK54"/>
    <mergeCell ref="DEL54:DEP54"/>
    <mergeCell ref="DEQ54:DEU54"/>
    <mergeCell ref="DCN54:DCR54"/>
    <mergeCell ref="DCS54:DCW54"/>
    <mergeCell ref="DCX54:DDB54"/>
    <mergeCell ref="DDC54:DDG54"/>
    <mergeCell ref="DDH54:DDL54"/>
    <mergeCell ref="DDM54:DDQ54"/>
    <mergeCell ref="DBJ54:DBN54"/>
    <mergeCell ref="DBO54:DBS54"/>
    <mergeCell ref="DBT54:DBX54"/>
    <mergeCell ref="DBY54:DCC54"/>
    <mergeCell ref="DCD54:DCH54"/>
    <mergeCell ref="DCI54:DCM54"/>
    <mergeCell ref="DAF54:DAJ54"/>
    <mergeCell ref="DAK54:DAO54"/>
    <mergeCell ref="DAP54:DAT54"/>
    <mergeCell ref="DAU54:DAY54"/>
    <mergeCell ref="DAZ54:DBD54"/>
    <mergeCell ref="DBE54:DBI54"/>
    <mergeCell ref="CZB54:CZF54"/>
    <mergeCell ref="CZG54:CZK54"/>
    <mergeCell ref="CZL54:CZP54"/>
    <mergeCell ref="CZQ54:CZU54"/>
    <mergeCell ref="CZV54:CZZ54"/>
    <mergeCell ref="DAA54:DAE54"/>
    <mergeCell ref="CXX54:CYB54"/>
    <mergeCell ref="CYC54:CYG54"/>
    <mergeCell ref="CYH54:CYL54"/>
    <mergeCell ref="CYM54:CYQ54"/>
    <mergeCell ref="CYR54:CYV54"/>
    <mergeCell ref="CYW54:CZA54"/>
    <mergeCell ref="CWT54:CWX54"/>
    <mergeCell ref="CWY54:CXC54"/>
    <mergeCell ref="CXD54:CXH54"/>
    <mergeCell ref="CXI54:CXM54"/>
    <mergeCell ref="CXN54:CXR54"/>
    <mergeCell ref="CXS54:CXW54"/>
    <mergeCell ref="CVP54:CVT54"/>
    <mergeCell ref="CVU54:CVY54"/>
    <mergeCell ref="CVZ54:CWD54"/>
    <mergeCell ref="CWE54:CWI54"/>
    <mergeCell ref="CWJ54:CWN54"/>
    <mergeCell ref="CWO54:CWS54"/>
    <mergeCell ref="CUL54:CUP54"/>
    <mergeCell ref="CUQ54:CUU54"/>
    <mergeCell ref="CUV54:CUZ54"/>
    <mergeCell ref="CVA54:CVE54"/>
    <mergeCell ref="CVF54:CVJ54"/>
    <mergeCell ref="CVK54:CVO54"/>
    <mergeCell ref="CTH54:CTL54"/>
    <mergeCell ref="CTM54:CTQ54"/>
    <mergeCell ref="CTR54:CTV54"/>
    <mergeCell ref="CTW54:CUA54"/>
    <mergeCell ref="CUB54:CUF54"/>
    <mergeCell ref="CUG54:CUK54"/>
    <mergeCell ref="CSD54:CSH54"/>
    <mergeCell ref="CSI54:CSM54"/>
    <mergeCell ref="CSN54:CSR54"/>
    <mergeCell ref="CSS54:CSW54"/>
    <mergeCell ref="CSX54:CTB54"/>
    <mergeCell ref="CTC54:CTG54"/>
    <mergeCell ref="CQZ54:CRD54"/>
    <mergeCell ref="CRE54:CRI54"/>
    <mergeCell ref="CRJ54:CRN54"/>
    <mergeCell ref="CRO54:CRS54"/>
    <mergeCell ref="CRT54:CRX54"/>
    <mergeCell ref="CRY54:CSC54"/>
    <mergeCell ref="CPV54:CPZ54"/>
    <mergeCell ref="CQA54:CQE54"/>
    <mergeCell ref="CQF54:CQJ54"/>
    <mergeCell ref="CQK54:CQO54"/>
    <mergeCell ref="CQP54:CQT54"/>
    <mergeCell ref="CQU54:CQY54"/>
    <mergeCell ref="COR54:COV54"/>
    <mergeCell ref="COW54:CPA54"/>
    <mergeCell ref="CPB54:CPF54"/>
    <mergeCell ref="CPG54:CPK54"/>
    <mergeCell ref="CPL54:CPP54"/>
    <mergeCell ref="CPQ54:CPU54"/>
    <mergeCell ref="CNN54:CNR54"/>
    <mergeCell ref="CNS54:CNW54"/>
    <mergeCell ref="CNX54:COB54"/>
    <mergeCell ref="COC54:COG54"/>
    <mergeCell ref="COH54:COL54"/>
    <mergeCell ref="COM54:COQ54"/>
    <mergeCell ref="CMJ54:CMN54"/>
    <mergeCell ref="CMO54:CMS54"/>
    <mergeCell ref="CMT54:CMX54"/>
    <mergeCell ref="CMY54:CNC54"/>
    <mergeCell ref="CND54:CNH54"/>
    <mergeCell ref="CNI54:CNM54"/>
    <mergeCell ref="CLF54:CLJ54"/>
    <mergeCell ref="CLK54:CLO54"/>
    <mergeCell ref="CLP54:CLT54"/>
    <mergeCell ref="CLU54:CLY54"/>
    <mergeCell ref="CLZ54:CMD54"/>
    <mergeCell ref="CME54:CMI54"/>
    <mergeCell ref="CKB54:CKF54"/>
    <mergeCell ref="CKG54:CKK54"/>
    <mergeCell ref="CKL54:CKP54"/>
    <mergeCell ref="CKQ54:CKU54"/>
    <mergeCell ref="CKV54:CKZ54"/>
    <mergeCell ref="CLA54:CLE54"/>
    <mergeCell ref="CIX54:CJB54"/>
    <mergeCell ref="CJC54:CJG54"/>
    <mergeCell ref="CJH54:CJL54"/>
    <mergeCell ref="CJM54:CJQ54"/>
    <mergeCell ref="CJR54:CJV54"/>
    <mergeCell ref="CJW54:CKA54"/>
    <mergeCell ref="CHT54:CHX54"/>
    <mergeCell ref="CHY54:CIC54"/>
    <mergeCell ref="CID54:CIH54"/>
    <mergeCell ref="CII54:CIM54"/>
    <mergeCell ref="CIN54:CIR54"/>
    <mergeCell ref="CIS54:CIW54"/>
    <mergeCell ref="CGP54:CGT54"/>
    <mergeCell ref="CGU54:CGY54"/>
    <mergeCell ref="CGZ54:CHD54"/>
    <mergeCell ref="CHE54:CHI54"/>
    <mergeCell ref="CHJ54:CHN54"/>
    <mergeCell ref="CHO54:CHS54"/>
    <mergeCell ref="CFL54:CFP54"/>
    <mergeCell ref="CFQ54:CFU54"/>
    <mergeCell ref="CFV54:CFZ54"/>
    <mergeCell ref="CGA54:CGE54"/>
    <mergeCell ref="CGF54:CGJ54"/>
    <mergeCell ref="CGK54:CGO54"/>
    <mergeCell ref="CEH54:CEL54"/>
    <mergeCell ref="CEM54:CEQ54"/>
    <mergeCell ref="CER54:CEV54"/>
    <mergeCell ref="CEW54:CFA54"/>
    <mergeCell ref="CFB54:CFF54"/>
    <mergeCell ref="CFG54:CFK54"/>
    <mergeCell ref="CDD54:CDH54"/>
    <mergeCell ref="CDI54:CDM54"/>
    <mergeCell ref="CDN54:CDR54"/>
    <mergeCell ref="CDS54:CDW54"/>
    <mergeCell ref="CDX54:CEB54"/>
    <mergeCell ref="CEC54:CEG54"/>
    <mergeCell ref="CBZ54:CCD54"/>
    <mergeCell ref="CCE54:CCI54"/>
    <mergeCell ref="CCJ54:CCN54"/>
    <mergeCell ref="CCO54:CCS54"/>
    <mergeCell ref="CCT54:CCX54"/>
    <mergeCell ref="CCY54:CDC54"/>
    <mergeCell ref="CAV54:CAZ54"/>
    <mergeCell ref="CBA54:CBE54"/>
    <mergeCell ref="CBF54:CBJ54"/>
    <mergeCell ref="CBK54:CBO54"/>
    <mergeCell ref="CBP54:CBT54"/>
    <mergeCell ref="CBU54:CBY54"/>
    <mergeCell ref="BZR54:BZV54"/>
    <mergeCell ref="BZW54:CAA54"/>
    <mergeCell ref="CAB54:CAF54"/>
    <mergeCell ref="CAG54:CAK54"/>
    <mergeCell ref="CAL54:CAP54"/>
    <mergeCell ref="CAQ54:CAU54"/>
    <mergeCell ref="BYN54:BYR54"/>
    <mergeCell ref="BYS54:BYW54"/>
    <mergeCell ref="BYX54:BZB54"/>
    <mergeCell ref="BZC54:BZG54"/>
    <mergeCell ref="BZH54:BZL54"/>
    <mergeCell ref="BZM54:BZQ54"/>
    <mergeCell ref="BXJ54:BXN54"/>
    <mergeCell ref="BXO54:BXS54"/>
    <mergeCell ref="BXT54:BXX54"/>
    <mergeCell ref="BXY54:BYC54"/>
    <mergeCell ref="BYD54:BYH54"/>
    <mergeCell ref="BYI54:BYM54"/>
    <mergeCell ref="BWF54:BWJ54"/>
    <mergeCell ref="BWK54:BWO54"/>
    <mergeCell ref="BWP54:BWT54"/>
    <mergeCell ref="BWU54:BWY54"/>
    <mergeCell ref="BWZ54:BXD54"/>
    <mergeCell ref="BXE54:BXI54"/>
    <mergeCell ref="BVB54:BVF54"/>
    <mergeCell ref="BVG54:BVK54"/>
    <mergeCell ref="BVL54:BVP54"/>
    <mergeCell ref="BVQ54:BVU54"/>
    <mergeCell ref="BVV54:BVZ54"/>
    <mergeCell ref="BWA54:BWE54"/>
    <mergeCell ref="BTX54:BUB54"/>
    <mergeCell ref="BUC54:BUG54"/>
    <mergeCell ref="BUH54:BUL54"/>
    <mergeCell ref="BUM54:BUQ54"/>
    <mergeCell ref="BUR54:BUV54"/>
    <mergeCell ref="BUW54:BVA54"/>
    <mergeCell ref="BST54:BSX54"/>
    <mergeCell ref="BSY54:BTC54"/>
    <mergeCell ref="BTD54:BTH54"/>
    <mergeCell ref="BTI54:BTM54"/>
    <mergeCell ref="BTN54:BTR54"/>
    <mergeCell ref="BTS54:BTW54"/>
    <mergeCell ref="BRP54:BRT54"/>
    <mergeCell ref="BRU54:BRY54"/>
    <mergeCell ref="BRZ54:BSD54"/>
    <mergeCell ref="BSE54:BSI54"/>
    <mergeCell ref="BSJ54:BSN54"/>
    <mergeCell ref="BSO54:BSS54"/>
    <mergeCell ref="BQL54:BQP54"/>
    <mergeCell ref="BQQ54:BQU54"/>
    <mergeCell ref="BQV54:BQZ54"/>
    <mergeCell ref="BRA54:BRE54"/>
    <mergeCell ref="BRF54:BRJ54"/>
    <mergeCell ref="BRK54:BRO54"/>
    <mergeCell ref="BPH54:BPL54"/>
    <mergeCell ref="BPM54:BPQ54"/>
    <mergeCell ref="BPR54:BPV54"/>
    <mergeCell ref="BPW54:BQA54"/>
    <mergeCell ref="BQB54:BQF54"/>
    <mergeCell ref="BQG54:BQK54"/>
    <mergeCell ref="BOD54:BOH54"/>
    <mergeCell ref="BOI54:BOM54"/>
    <mergeCell ref="BON54:BOR54"/>
    <mergeCell ref="BOS54:BOW54"/>
    <mergeCell ref="BOX54:BPB54"/>
    <mergeCell ref="BPC54:BPG54"/>
    <mergeCell ref="BMZ54:BND54"/>
    <mergeCell ref="BNE54:BNI54"/>
    <mergeCell ref="BNJ54:BNN54"/>
    <mergeCell ref="BNO54:BNS54"/>
    <mergeCell ref="BNT54:BNX54"/>
    <mergeCell ref="BNY54:BOC54"/>
    <mergeCell ref="BLV54:BLZ54"/>
    <mergeCell ref="BMA54:BME54"/>
    <mergeCell ref="BMF54:BMJ54"/>
    <mergeCell ref="BMK54:BMO54"/>
    <mergeCell ref="BMP54:BMT54"/>
    <mergeCell ref="BMU54:BMY54"/>
    <mergeCell ref="BKR54:BKV54"/>
    <mergeCell ref="BKW54:BLA54"/>
    <mergeCell ref="BLB54:BLF54"/>
    <mergeCell ref="BLG54:BLK54"/>
    <mergeCell ref="BLL54:BLP54"/>
    <mergeCell ref="BLQ54:BLU54"/>
    <mergeCell ref="BJN54:BJR54"/>
    <mergeCell ref="BJS54:BJW54"/>
    <mergeCell ref="BJX54:BKB54"/>
    <mergeCell ref="BKC54:BKG54"/>
    <mergeCell ref="BKH54:BKL54"/>
    <mergeCell ref="BKM54:BKQ54"/>
    <mergeCell ref="BIJ54:BIN54"/>
    <mergeCell ref="BIO54:BIS54"/>
    <mergeCell ref="BIT54:BIX54"/>
    <mergeCell ref="BIY54:BJC54"/>
    <mergeCell ref="BJD54:BJH54"/>
    <mergeCell ref="BJI54:BJM54"/>
    <mergeCell ref="BHF54:BHJ54"/>
    <mergeCell ref="BHK54:BHO54"/>
    <mergeCell ref="BHP54:BHT54"/>
    <mergeCell ref="BHU54:BHY54"/>
    <mergeCell ref="BHZ54:BID54"/>
    <mergeCell ref="BIE54:BII54"/>
    <mergeCell ref="BGB54:BGF54"/>
    <mergeCell ref="BGG54:BGK54"/>
    <mergeCell ref="BGL54:BGP54"/>
    <mergeCell ref="BGQ54:BGU54"/>
    <mergeCell ref="BGV54:BGZ54"/>
    <mergeCell ref="BHA54:BHE54"/>
    <mergeCell ref="BEX54:BFB54"/>
    <mergeCell ref="BFC54:BFG54"/>
    <mergeCell ref="BFH54:BFL54"/>
    <mergeCell ref="BFM54:BFQ54"/>
    <mergeCell ref="BFR54:BFV54"/>
    <mergeCell ref="BFW54:BGA54"/>
    <mergeCell ref="BDT54:BDX54"/>
    <mergeCell ref="BDY54:BEC54"/>
    <mergeCell ref="BED54:BEH54"/>
    <mergeCell ref="BEI54:BEM54"/>
    <mergeCell ref="BEN54:BER54"/>
    <mergeCell ref="BES54:BEW54"/>
    <mergeCell ref="BCP54:BCT54"/>
    <mergeCell ref="BCU54:BCY54"/>
    <mergeCell ref="BCZ54:BDD54"/>
    <mergeCell ref="BDE54:BDI54"/>
    <mergeCell ref="BDJ54:BDN54"/>
    <mergeCell ref="BDO54:BDS54"/>
    <mergeCell ref="BBL54:BBP54"/>
    <mergeCell ref="BBQ54:BBU54"/>
    <mergeCell ref="BBV54:BBZ54"/>
    <mergeCell ref="BCA54:BCE54"/>
    <mergeCell ref="BCF54:BCJ54"/>
    <mergeCell ref="BCK54:BCO54"/>
    <mergeCell ref="BAH54:BAL54"/>
    <mergeCell ref="BAM54:BAQ54"/>
    <mergeCell ref="BAR54:BAV54"/>
    <mergeCell ref="BAW54:BBA54"/>
    <mergeCell ref="BBB54:BBF54"/>
    <mergeCell ref="BBG54:BBK54"/>
    <mergeCell ref="AZD54:AZH54"/>
    <mergeCell ref="AZI54:AZM54"/>
    <mergeCell ref="AZN54:AZR54"/>
    <mergeCell ref="AZS54:AZW54"/>
    <mergeCell ref="AZX54:BAB54"/>
    <mergeCell ref="BAC54:BAG54"/>
    <mergeCell ref="AXZ54:AYD54"/>
    <mergeCell ref="AYE54:AYI54"/>
    <mergeCell ref="AYJ54:AYN54"/>
    <mergeCell ref="AYO54:AYS54"/>
    <mergeCell ref="AYT54:AYX54"/>
    <mergeCell ref="AYY54:AZC54"/>
    <mergeCell ref="AWV54:AWZ54"/>
    <mergeCell ref="AXA54:AXE54"/>
    <mergeCell ref="AXF54:AXJ54"/>
    <mergeCell ref="AXK54:AXO54"/>
    <mergeCell ref="AXP54:AXT54"/>
    <mergeCell ref="AXU54:AXY54"/>
    <mergeCell ref="AVR54:AVV54"/>
    <mergeCell ref="AVW54:AWA54"/>
    <mergeCell ref="AWB54:AWF54"/>
    <mergeCell ref="AWG54:AWK54"/>
    <mergeCell ref="AWL54:AWP54"/>
    <mergeCell ref="AWQ54:AWU54"/>
    <mergeCell ref="AUN54:AUR54"/>
    <mergeCell ref="AUS54:AUW54"/>
    <mergeCell ref="AUX54:AVB54"/>
    <mergeCell ref="AVC54:AVG54"/>
    <mergeCell ref="AVH54:AVL54"/>
    <mergeCell ref="AVM54:AVQ54"/>
    <mergeCell ref="ATJ54:ATN54"/>
    <mergeCell ref="ATO54:ATS54"/>
    <mergeCell ref="ATT54:ATX54"/>
    <mergeCell ref="ATY54:AUC54"/>
    <mergeCell ref="AUD54:AUH54"/>
    <mergeCell ref="AUI54:AUM54"/>
    <mergeCell ref="ASF54:ASJ54"/>
    <mergeCell ref="ASK54:ASO54"/>
    <mergeCell ref="ASP54:AST54"/>
    <mergeCell ref="ASU54:ASY54"/>
    <mergeCell ref="ASZ54:ATD54"/>
    <mergeCell ref="ATE54:ATI54"/>
    <mergeCell ref="ARB54:ARF54"/>
    <mergeCell ref="ARG54:ARK54"/>
    <mergeCell ref="ARL54:ARP54"/>
    <mergeCell ref="ARQ54:ARU54"/>
    <mergeCell ref="ARV54:ARZ54"/>
    <mergeCell ref="ASA54:ASE54"/>
    <mergeCell ref="APX54:AQB54"/>
    <mergeCell ref="AQC54:AQG54"/>
    <mergeCell ref="AQH54:AQL54"/>
    <mergeCell ref="AQM54:AQQ54"/>
    <mergeCell ref="AQR54:AQV54"/>
    <mergeCell ref="AQW54:ARA54"/>
    <mergeCell ref="AOT54:AOX54"/>
    <mergeCell ref="AOY54:APC54"/>
    <mergeCell ref="APD54:APH54"/>
    <mergeCell ref="API54:APM54"/>
    <mergeCell ref="APN54:APR54"/>
    <mergeCell ref="APS54:APW54"/>
    <mergeCell ref="ANP54:ANT54"/>
    <mergeCell ref="ANU54:ANY54"/>
    <mergeCell ref="ANZ54:AOD54"/>
    <mergeCell ref="AOE54:AOI54"/>
    <mergeCell ref="AOJ54:AON54"/>
    <mergeCell ref="AOO54:AOS54"/>
    <mergeCell ref="AML54:AMP54"/>
    <mergeCell ref="AMQ54:AMU54"/>
    <mergeCell ref="AMV54:AMZ54"/>
    <mergeCell ref="ANA54:ANE54"/>
    <mergeCell ref="ANF54:ANJ54"/>
    <mergeCell ref="ANK54:ANO54"/>
    <mergeCell ref="ALH54:ALL54"/>
    <mergeCell ref="ALM54:ALQ54"/>
    <mergeCell ref="ALR54:ALV54"/>
    <mergeCell ref="ALW54:AMA54"/>
    <mergeCell ref="AMB54:AMF54"/>
    <mergeCell ref="AMG54:AMK54"/>
    <mergeCell ref="AKD54:AKH54"/>
    <mergeCell ref="AKI54:AKM54"/>
    <mergeCell ref="AKN54:AKR54"/>
    <mergeCell ref="AKS54:AKW54"/>
    <mergeCell ref="AKX54:ALB54"/>
    <mergeCell ref="ALC54:ALG54"/>
    <mergeCell ref="AIZ54:AJD54"/>
    <mergeCell ref="AJE54:AJI54"/>
    <mergeCell ref="AJJ54:AJN54"/>
    <mergeCell ref="AJO54:AJS54"/>
    <mergeCell ref="AJT54:AJX54"/>
    <mergeCell ref="AJY54:AKC54"/>
    <mergeCell ref="AHV54:AHZ54"/>
    <mergeCell ref="AIA54:AIE54"/>
    <mergeCell ref="AIF54:AIJ54"/>
    <mergeCell ref="AIK54:AIO54"/>
    <mergeCell ref="AIP54:AIT54"/>
    <mergeCell ref="AIU54:AIY54"/>
    <mergeCell ref="AGR54:AGV54"/>
    <mergeCell ref="AGW54:AHA54"/>
    <mergeCell ref="AHB54:AHF54"/>
    <mergeCell ref="AHG54:AHK54"/>
    <mergeCell ref="AHL54:AHP54"/>
    <mergeCell ref="AHQ54:AHU54"/>
    <mergeCell ref="AFN54:AFR54"/>
    <mergeCell ref="AFS54:AFW54"/>
    <mergeCell ref="AFX54:AGB54"/>
    <mergeCell ref="AGC54:AGG54"/>
    <mergeCell ref="AGH54:AGL54"/>
    <mergeCell ref="AGM54:AGQ54"/>
    <mergeCell ref="AEJ54:AEN54"/>
    <mergeCell ref="AEO54:AES54"/>
    <mergeCell ref="AET54:AEX54"/>
    <mergeCell ref="AEY54:AFC54"/>
    <mergeCell ref="AFD54:AFH54"/>
    <mergeCell ref="AFI54:AFM54"/>
    <mergeCell ref="ADF54:ADJ54"/>
    <mergeCell ref="ADK54:ADO54"/>
    <mergeCell ref="ADP54:ADT54"/>
    <mergeCell ref="ADU54:ADY54"/>
    <mergeCell ref="ADZ54:AED54"/>
    <mergeCell ref="AEE54:AEI54"/>
    <mergeCell ref="ACB54:ACF54"/>
    <mergeCell ref="ACG54:ACK54"/>
    <mergeCell ref="ACL54:ACP54"/>
    <mergeCell ref="ACQ54:ACU54"/>
    <mergeCell ref="ACV54:ACZ54"/>
    <mergeCell ref="ADA54:ADE54"/>
    <mergeCell ref="AAX54:ABB54"/>
    <mergeCell ref="ABC54:ABG54"/>
    <mergeCell ref="ABH54:ABL54"/>
    <mergeCell ref="ABM54:ABQ54"/>
    <mergeCell ref="ABR54:ABV54"/>
    <mergeCell ref="ABW54:ACA54"/>
    <mergeCell ref="ZT54:ZX54"/>
    <mergeCell ref="ZY54:AAC54"/>
    <mergeCell ref="AAD54:AAH54"/>
    <mergeCell ref="AAI54:AAM54"/>
    <mergeCell ref="AAN54:AAR54"/>
    <mergeCell ref="AAS54:AAW54"/>
    <mergeCell ref="YP54:YT54"/>
    <mergeCell ref="YU54:YY54"/>
    <mergeCell ref="YZ54:ZD54"/>
    <mergeCell ref="ZE54:ZI54"/>
    <mergeCell ref="ZJ54:ZN54"/>
    <mergeCell ref="ZO54:ZS54"/>
    <mergeCell ref="XL54:XP54"/>
    <mergeCell ref="XQ54:XU54"/>
    <mergeCell ref="XV54:XZ54"/>
    <mergeCell ref="YA54:YE54"/>
    <mergeCell ref="YF54:YJ54"/>
    <mergeCell ref="YK54:YO54"/>
    <mergeCell ref="WH54:WL54"/>
    <mergeCell ref="WM54:WQ54"/>
    <mergeCell ref="WR54:WV54"/>
    <mergeCell ref="WW54:XA54"/>
    <mergeCell ref="XB54:XF54"/>
    <mergeCell ref="XG54:XK54"/>
    <mergeCell ref="VD54:VH54"/>
    <mergeCell ref="VI54:VM54"/>
    <mergeCell ref="VN54:VR54"/>
    <mergeCell ref="VS54:VW54"/>
    <mergeCell ref="VX54:WB54"/>
    <mergeCell ref="WC54:WG54"/>
    <mergeCell ref="TZ54:UD54"/>
    <mergeCell ref="UE54:UI54"/>
    <mergeCell ref="UJ54:UN54"/>
    <mergeCell ref="UO54:US54"/>
    <mergeCell ref="UT54:UX54"/>
    <mergeCell ref="UY54:VC54"/>
    <mergeCell ref="SV54:SZ54"/>
    <mergeCell ref="TA54:TE54"/>
    <mergeCell ref="TF54:TJ54"/>
    <mergeCell ref="TK54:TO54"/>
    <mergeCell ref="TP54:TT54"/>
    <mergeCell ref="TU54:TY54"/>
    <mergeCell ref="RR54:RV54"/>
    <mergeCell ref="RW54:SA54"/>
    <mergeCell ref="SB54:SF54"/>
    <mergeCell ref="SG54:SK54"/>
    <mergeCell ref="SL54:SP54"/>
    <mergeCell ref="SQ54:SU54"/>
    <mergeCell ref="QN54:QR54"/>
    <mergeCell ref="QS54:QW54"/>
    <mergeCell ref="QX54:RB54"/>
    <mergeCell ref="RC54:RG54"/>
    <mergeCell ref="RH54:RL54"/>
    <mergeCell ref="RM54:RQ54"/>
    <mergeCell ref="PJ54:PN54"/>
    <mergeCell ref="PO54:PS54"/>
    <mergeCell ref="PT54:PX54"/>
    <mergeCell ref="PY54:QC54"/>
    <mergeCell ref="QD54:QH54"/>
    <mergeCell ref="QI54:QM54"/>
    <mergeCell ref="OF54:OJ54"/>
    <mergeCell ref="OK54:OO54"/>
    <mergeCell ref="OP54:OT54"/>
    <mergeCell ref="OU54:OY54"/>
    <mergeCell ref="OZ54:PD54"/>
    <mergeCell ref="PE54:PI54"/>
    <mergeCell ref="NB54:NF54"/>
    <mergeCell ref="NG54:NK54"/>
    <mergeCell ref="NL54:NP54"/>
    <mergeCell ref="NQ54:NU54"/>
    <mergeCell ref="NV54:NZ54"/>
    <mergeCell ref="OA54:OE54"/>
    <mergeCell ref="LX54:MB54"/>
    <mergeCell ref="MC54:MG54"/>
    <mergeCell ref="MH54:ML54"/>
    <mergeCell ref="MM54:MQ54"/>
    <mergeCell ref="MR54:MV54"/>
    <mergeCell ref="MW54:NA54"/>
    <mergeCell ref="KT54:KX54"/>
    <mergeCell ref="KY54:LC54"/>
    <mergeCell ref="LD54:LH54"/>
    <mergeCell ref="LI54:LM54"/>
    <mergeCell ref="LN54:LR54"/>
    <mergeCell ref="LS54:LW54"/>
    <mergeCell ref="JP54:JT54"/>
    <mergeCell ref="JU54:JY54"/>
    <mergeCell ref="JZ54:KD54"/>
    <mergeCell ref="KE54:KI54"/>
    <mergeCell ref="KJ54:KN54"/>
    <mergeCell ref="KO54:KS54"/>
    <mergeCell ref="IL54:IP54"/>
    <mergeCell ref="IQ54:IU54"/>
    <mergeCell ref="IV54:IZ54"/>
    <mergeCell ref="JA54:JE54"/>
    <mergeCell ref="JF54:JJ54"/>
    <mergeCell ref="JK54:JO54"/>
    <mergeCell ref="HH54:HL54"/>
    <mergeCell ref="HM54:HQ54"/>
    <mergeCell ref="HR54:HV54"/>
    <mergeCell ref="HW54:IA54"/>
    <mergeCell ref="IB54:IF54"/>
    <mergeCell ref="IG54:IK54"/>
    <mergeCell ref="GD54:GH54"/>
    <mergeCell ref="GI54:GM54"/>
    <mergeCell ref="GN54:GR54"/>
    <mergeCell ref="GS54:GW54"/>
    <mergeCell ref="GX54:HB54"/>
    <mergeCell ref="HC54:HG54"/>
    <mergeCell ref="EZ54:FD54"/>
    <mergeCell ref="FE54:FI54"/>
    <mergeCell ref="FJ54:FN54"/>
    <mergeCell ref="FO54:FS54"/>
    <mergeCell ref="FT54:FX54"/>
    <mergeCell ref="FY54:GC54"/>
    <mergeCell ref="DV54:DZ54"/>
    <mergeCell ref="EA54:EE54"/>
    <mergeCell ref="EF54:EJ54"/>
    <mergeCell ref="EK54:EO54"/>
    <mergeCell ref="EP54:ET54"/>
    <mergeCell ref="EU54:EY54"/>
    <mergeCell ref="CR54:CV54"/>
    <mergeCell ref="CW54:DA54"/>
    <mergeCell ref="DB54:DF54"/>
    <mergeCell ref="DG54:DK54"/>
    <mergeCell ref="DL54:DP54"/>
    <mergeCell ref="DQ54:DU54"/>
    <mergeCell ref="BN54:BR54"/>
    <mergeCell ref="BS54:BW54"/>
    <mergeCell ref="BX54:CB54"/>
    <mergeCell ref="CC54:CG54"/>
    <mergeCell ref="CH54:CL54"/>
    <mergeCell ref="CM54:CQ54"/>
    <mergeCell ref="AJ54:AN54"/>
    <mergeCell ref="AO54:AS54"/>
    <mergeCell ref="AT54:AX54"/>
    <mergeCell ref="AY54:BC54"/>
    <mergeCell ref="BD54:BH54"/>
    <mergeCell ref="BI54:BM54"/>
    <mergeCell ref="XEQ53:XEU53"/>
    <mergeCell ref="XEV53:XEZ53"/>
    <mergeCell ref="XFA53:XFD53"/>
    <mergeCell ref="A54:E54"/>
    <mergeCell ref="F54:J54"/>
    <mergeCell ref="K54:O54"/>
    <mergeCell ref="P54:T54"/>
    <mergeCell ref="U54:Y54"/>
    <mergeCell ref="Z54:AD54"/>
    <mergeCell ref="AE54:AI54"/>
    <mergeCell ref="XDM53:XDQ53"/>
    <mergeCell ref="XDR53:XDV53"/>
    <mergeCell ref="XDW53:XEA53"/>
    <mergeCell ref="XEB53:XEF53"/>
    <mergeCell ref="XEG53:XEK53"/>
    <mergeCell ref="XEL53:XEP53"/>
    <mergeCell ref="XCI53:XCM53"/>
    <mergeCell ref="XCN53:XCR53"/>
    <mergeCell ref="XCS53:XCW53"/>
    <mergeCell ref="XCX53:XDB53"/>
    <mergeCell ref="XDC53:XDG53"/>
    <mergeCell ref="XDH53:XDL53"/>
    <mergeCell ref="XBE53:XBI53"/>
    <mergeCell ref="XBJ53:XBN53"/>
    <mergeCell ref="XBO53:XBS53"/>
    <mergeCell ref="XBT53:XBX53"/>
    <mergeCell ref="XBY53:XCC53"/>
    <mergeCell ref="XCD53:XCH53"/>
    <mergeCell ref="XAA53:XAE53"/>
    <mergeCell ref="XAF53:XAJ53"/>
    <mergeCell ref="XAK53:XAO53"/>
    <mergeCell ref="XAP53:XAT53"/>
    <mergeCell ref="XAU53:XAY53"/>
    <mergeCell ref="XAZ53:XBD53"/>
    <mergeCell ref="WYW53:WZA53"/>
    <mergeCell ref="WZB53:WZF53"/>
    <mergeCell ref="WZG53:WZK53"/>
    <mergeCell ref="WZL53:WZP53"/>
    <mergeCell ref="WZQ53:WZU53"/>
    <mergeCell ref="WZV53:WZZ53"/>
    <mergeCell ref="WXS53:WXW53"/>
    <mergeCell ref="WXX53:WYB53"/>
    <mergeCell ref="WYC53:WYG53"/>
    <mergeCell ref="WYH53:WYL53"/>
    <mergeCell ref="WYM53:WYQ53"/>
    <mergeCell ref="WYR53:WYV53"/>
    <mergeCell ref="WWO53:WWS53"/>
    <mergeCell ref="WWT53:WWX53"/>
    <mergeCell ref="WWY53:WXC53"/>
    <mergeCell ref="WXD53:WXH53"/>
    <mergeCell ref="WXI53:WXM53"/>
    <mergeCell ref="WXN53:WXR53"/>
    <mergeCell ref="WVK53:WVO53"/>
    <mergeCell ref="WVP53:WVT53"/>
    <mergeCell ref="WVU53:WVY53"/>
    <mergeCell ref="WVZ53:WWD53"/>
    <mergeCell ref="WWE53:WWI53"/>
    <mergeCell ref="WWJ53:WWN53"/>
    <mergeCell ref="WUG53:WUK53"/>
    <mergeCell ref="WUL53:WUP53"/>
    <mergeCell ref="WUQ53:WUU53"/>
    <mergeCell ref="WUV53:WUZ53"/>
    <mergeCell ref="WVA53:WVE53"/>
    <mergeCell ref="WVF53:WVJ53"/>
    <mergeCell ref="WTC53:WTG53"/>
    <mergeCell ref="WTH53:WTL53"/>
    <mergeCell ref="WTM53:WTQ53"/>
    <mergeCell ref="WTR53:WTV53"/>
    <mergeCell ref="WTW53:WUA53"/>
    <mergeCell ref="WUB53:WUF53"/>
    <mergeCell ref="WRY53:WSC53"/>
    <mergeCell ref="WSD53:WSH53"/>
    <mergeCell ref="WSI53:WSM53"/>
    <mergeCell ref="WSN53:WSR53"/>
    <mergeCell ref="WSS53:WSW53"/>
    <mergeCell ref="WSX53:WTB53"/>
    <mergeCell ref="WQU53:WQY53"/>
    <mergeCell ref="WQZ53:WRD53"/>
    <mergeCell ref="WRE53:WRI53"/>
    <mergeCell ref="WRJ53:WRN53"/>
    <mergeCell ref="WRO53:WRS53"/>
    <mergeCell ref="WRT53:WRX53"/>
    <mergeCell ref="WPQ53:WPU53"/>
    <mergeCell ref="WPV53:WPZ53"/>
    <mergeCell ref="WQA53:WQE53"/>
    <mergeCell ref="WQF53:WQJ53"/>
    <mergeCell ref="WQK53:WQO53"/>
    <mergeCell ref="WQP53:WQT53"/>
    <mergeCell ref="WOM53:WOQ53"/>
    <mergeCell ref="WOR53:WOV53"/>
    <mergeCell ref="WOW53:WPA53"/>
    <mergeCell ref="WPB53:WPF53"/>
    <mergeCell ref="WPG53:WPK53"/>
    <mergeCell ref="WPL53:WPP53"/>
    <mergeCell ref="WNI53:WNM53"/>
    <mergeCell ref="WNN53:WNR53"/>
    <mergeCell ref="WNS53:WNW53"/>
    <mergeCell ref="WNX53:WOB53"/>
    <mergeCell ref="WOC53:WOG53"/>
    <mergeCell ref="WOH53:WOL53"/>
    <mergeCell ref="WME53:WMI53"/>
    <mergeCell ref="WMJ53:WMN53"/>
    <mergeCell ref="WMO53:WMS53"/>
    <mergeCell ref="WMT53:WMX53"/>
    <mergeCell ref="WMY53:WNC53"/>
    <mergeCell ref="WND53:WNH53"/>
    <mergeCell ref="WLA53:WLE53"/>
    <mergeCell ref="WLF53:WLJ53"/>
    <mergeCell ref="WLK53:WLO53"/>
    <mergeCell ref="WLP53:WLT53"/>
    <mergeCell ref="WLU53:WLY53"/>
    <mergeCell ref="WLZ53:WMD53"/>
    <mergeCell ref="WJW53:WKA53"/>
    <mergeCell ref="WKB53:WKF53"/>
    <mergeCell ref="WKG53:WKK53"/>
    <mergeCell ref="WKL53:WKP53"/>
    <mergeCell ref="WKQ53:WKU53"/>
    <mergeCell ref="WKV53:WKZ53"/>
    <mergeCell ref="WIS53:WIW53"/>
    <mergeCell ref="WIX53:WJB53"/>
    <mergeCell ref="WJC53:WJG53"/>
    <mergeCell ref="WJH53:WJL53"/>
    <mergeCell ref="WJM53:WJQ53"/>
    <mergeCell ref="WJR53:WJV53"/>
    <mergeCell ref="WHO53:WHS53"/>
    <mergeCell ref="WHT53:WHX53"/>
    <mergeCell ref="WHY53:WIC53"/>
    <mergeCell ref="WID53:WIH53"/>
    <mergeCell ref="WII53:WIM53"/>
    <mergeCell ref="WIN53:WIR53"/>
    <mergeCell ref="WGK53:WGO53"/>
    <mergeCell ref="WGP53:WGT53"/>
    <mergeCell ref="WGU53:WGY53"/>
    <mergeCell ref="WGZ53:WHD53"/>
    <mergeCell ref="WHE53:WHI53"/>
    <mergeCell ref="WHJ53:WHN53"/>
    <mergeCell ref="WFG53:WFK53"/>
    <mergeCell ref="WFL53:WFP53"/>
    <mergeCell ref="WFQ53:WFU53"/>
    <mergeCell ref="WFV53:WFZ53"/>
    <mergeCell ref="WGA53:WGE53"/>
    <mergeCell ref="WGF53:WGJ53"/>
    <mergeCell ref="WEC53:WEG53"/>
    <mergeCell ref="WEH53:WEL53"/>
    <mergeCell ref="WEM53:WEQ53"/>
    <mergeCell ref="WER53:WEV53"/>
    <mergeCell ref="WEW53:WFA53"/>
    <mergeCell ref="WFB53:WFF53"/>
    <mergeCell ref="WCY53:WDC53"/>
    <mergeCell ref="WDD53:WDH53"/>
    <mergeCell ref="WDI53:WDM53"/>
    <mergeCell ref="WDN53:WDR53"/>
    <mergeCell ref="WDS53:WDW53"/>
    <mergeCell ref="WDX53:WEB53"/>
    <mergeCell ref="WBU53:WBY53"/>
    <mergeCell ref="WBZ53:WCD53"/>
    <mergeCell ref="WCE53:WCI53"/>
    <mergeCell ref="WCJ53:WCN53"/>
    <mergeCell ref="WCO53:WCS53"/>
    <mergeCell ref="WCT53:WCX53"/>
    <mergeCell ref="WAQ53:WAU53"/>
    <mergeCell ref="WAV53:WAZ53"/>
    <mergeCell ref="WBA53:WBE53"/>
    <mergeCell ref="WBF53:WBJ53"/>
    <mergeCell ref="WBK53:WBO53"/>
    <mergeCell ref="WBP53:WBT53"/>
    <mergeCell ref="VZM53:VZQ53"/>
    <mergeCell ref="VZR53:VZV53"/>
    <mergeCell ref="VZW53:WAA53"/>
    <mergeCell ref="WAB53:WAF53"/>
    <mergeCell ref="WAG53:WAK53"/>
    <mergeCell ref="WAL53:WAP53"/>
    <mergeCell ref="VYI53:VYM53"/>
    <mergeCell ref="VYN53:VYR53"/>
    <mergeCell ref="VYS53:VYW53"/>
    <mergeCell ref="VYX53:VZB53"/>
    <mergeCell ref="VZC53:VZG53"/>
    <mergeCell ref="VZH53:VZL53"/>
    <mergeCell ref="VXE53:VXI53"/>
    <mergeCell ref="VXJ53:VXN53"/>
    <mergeCell ref="VXO53:VXS53"/>
    <mergeCell ref="VXT53:VXX53"/>
    <mergeCell ref="VXY53:VYC53"/>
    <mergeCell ref="VYD53:VYH53"/>
    <mergeCell ref="VWA53:VWE53"/>
    <mergeCell ref="VWF53:VWJ53"/>
    <mergeCell ref="VWK53:VWO53"/>
    <mergeCell ref="VWP53:VWT53"/>
    <mergeCell ref="VWU53:VWY53"/>
    <mergeCell ref="VWZ53:VXD53"/>
    <mergeCell ref="VUW53:VVA53"/>
    <mergeCell ref="VVB53:VVF53"/>
    <mergeCell ref="VVG53:VVK53"/>
    <mergeCell ref="VVL53:VVP53"/>
    <mergeCell ref="VVQ53:VVU53"/>
    <mergeCell ref="VVV53:VVZ53"/>
    <mergeCell ref="VTS53:VTW53"/>
    <mergeCell ref="VTX53:VUB53"/>
    <mergeCell ref="VUC53:VUG53"/>
    <mergeCell ref="VUH53:VUL53"/>
    <mergeCell ref="VUM53:VUQ53"/>
    <mergeCell ref="VUR53:VUV53"/>
    <mergeCell ref="VSO53:VSS53"/>
    <mergeCell ref="VST53:VSX53"/>
    <mergeCell ref="VSY53:VTC53"/>
    <mergeCell ref="VTD53:VTH53"/>
    <mergeCell ref="VTI53:VTM53"/>
    <mergeCell ref="VTN53:VTR53"/>
    <mergeCell ref="VRK53:VRO53"/>
    <mergeCell ref="VRP53:VRT53"/>
    <mergeCell ref="VRU53:VRY53"/>
    <mergeCell ref="VRZ53:VSD53"/>
    <mergeCell ref="VSE53:VSI53"/>
    <mergeCell ref="VSJ53:VSN53"/>
    <mergeCell ref="VQG53:VQK53"/>
    <mergeCell ref="VQL53:VQP53"/>
    <mergeCell ref="VQQ53:VQU53"/>
    <mergeCell ref="VQV53:VQZ53"/>
    <mergeCell ref="VRA53:VRE53"/>
    <mergeCell ref="VRF53:VRJ53"/>
    <mergeCell ref="VPC53:VPG53"/>
    <mergeCell ref="VPH53:VPL53"/>
    <mergeCell ref="VPM53:VPQ53"/>
    <mergeCell ref="VPR53:VPV53"/>
    <mergeCell ref="VPW53:VQA53"/>
    <mergeCell ref="VQB53:VQF53"/>
    <mergeCell ref="VNY53:VOC53"/>
    <mergeCell ref="VOD53:VOH53"/>
    <mergeCell ref="VOI53:VOM53"/>
    <mergeCell ref="VON53:VOR53"/>
    <mergeCell ref="VOS53:VOW53"/>
    <mergeCell ref="VOX53:VPB53"/>
    <mergeCell ref="VMU53:VMY53"/>
    <mergeCell ref="VMZ53:VND53"/>
    <mergeCell ref="VNE53:VNI53"/>
    <mergeCell ref="VNJ53:VNN53"/>
    <mergeCell ref="VNO53:VNS53"/>
    <mergeCell ref="VNT53:VNX53"/>
    <mergeCell ref="VLQ53:VLU53"/>
    <mergeCell ref="VLV53:VLZ53"/>
    <mergeCell ref="VMA53:VME53"/>
    <mergeCell ref="VMF53:VMJ53"/>
    <mergeCell ref="VMK53:VMO53"/>
    <mergeCell ref="VMP53:VMT53"/>
    <mergeCell ref="VKM53:VKQ53"/>
    <mergeCell ref="VKR53:VKV53"/>
    <mergeCell ref="VKW53:VLA53"/>
    <mergeCell ref="VLB53:VLF53"/>
    <mergeCell ref="VLG53:VLK53"/>
    <mergeCell ref="VLL53:VLP53"/>
    <mergeCell ref="VJI53:VJM53"/>
    <mergeCell ref="VJN53:VJR53"/>
    <mergeCell ref="VJS53:VJW53"/>
    <mergeCell ref="VJX53:VKB53"/>
    <mergeCell ref="VKC53:VKG53"/>
    <mergeCell ref="VKH53:VKL53"/>
    <mergeCell ref="VIE53:VII53"/>
    <mergeCell ref="VIJ53:VIN53"/>
    <mergeCell ref="VIO53:VIS53"/>
    <mergeCell ref="VIT53:VIX53"/>
    <mergeCell ref="VIY53:VJC53"/>
    <mergeCell ref="VJD53:VJH53"/>
    <mergeCell ref="VHA53:VHE53"/>
    <mergeCell ref="VHF53:VHJ53"/>
    <mergeCell ref="VHK53:VHO53"/>
    <mergeCell ref="VHP53:VHT53"/>
    <mergeCell ref="VHU53:VHY53"/>
    <mergeCell ref="VHZ53:VID53"/>
    <mergeCell ref="VFW53:VGA53"/>
    <mergeCell ref="VGB53:VGF53"/>
    <mergeCell ref="VGG53:VGK53"/>
    <mergeCell ref="VGL53:VGP53"/>
    <mergeCell ref="VGQ53:VGU53"/>
    <mergeCell ref="VGV53:VGZ53"/>
    <mergeCell ref="VES53:VEW53"/>
    <mergeCell ref="VEX53:VFB53"/>
    <mergeCell ref="VFC53:VFG53"/>
    <mergeCell ref="VFH53:VFL53"/>
    <mergeCell ref="VFM53:VFQ53"/>
    <mergeCell ref="VFR53:VFV53"/>
    <mergeCell ref="VDO53:VDS53"/>
    <mergeCell ref="VDT53:VDX53"/>
    <mergeCell ref="VDY53:VEC53"/>
    <mergeCell ref="VED53:VEH53"/>
    <mergeCell ref="VEI53:VEM53"/>
    <mergeCell ref="VEN53:VER53"/>
    <mergeCell ref="VCK53:VCO53"/>
    <mergeCell ref="VCP53:VCT53"/>
    <mergeCell ref="VCU53:VCY53"/>
    <mergeCell ref="VCZ53:VDD53"/>
    <mergeCell ref="VDE53:VDI53"/>
    <mergeCell ref="VDJ53:VDN53"/>
    <mergeCell ref="VBG53:VBK53"/>
    <mergeCell ref="VBL53:VBP53"/>
    <mergeCell ref="VBQ53:VBU53"/>
    <mergeCell ref="VBV53:VBZ53"/>
    <mergeCell ref="VCA53:VCE53"/>
    <mergeCell ref="VCF53:VCJ53"/>
    <mergeCell ref="VAC53:VAG53"/>
    <mergeCell ref="VAH53:VAL53"/>
    <mergeCell ref="VAM53:VAQ53"/>
    <mergeCell ref="VAR53:VAV53"/>
    <mergeCell ref="VAW53:VBA53"/>
    <mergeCell ref="VBB53:VBF53"/>
    <mergeCell ref="UYY53:UZC53"/>
    <mergeCell ref="UZD53:UZH53"/>
    <mergeCell ref="UZI53:UZM53"/>
    <mergeCell ref="UZN53:UZR53"/>
    <mergeCell ref="UZS53:UZW53"/>
    <mergeCell ref="UZX53:VAB53"/>
    <mergeCell ref="UXU53:UXY53"/>
    <mergeCell ref="UXZ53:UYD53"/>
    <mergeCell ref="UYE53:UYI53"/>
    <mergeCell ref="UYJ53:UYN53"/>
    <mergeCell ref="UYO53:UYS53"/>
    <mergeCell ref="UYT53:UYX53"/>
    <mergeCell ref="UWQ53:UWU53"/>
    <mergeCell ref="UWV53:UWZ53"/>
    <mergeCell ref="UXA53:UXE53"/>
    <mergeCell ref="UXF53:UXJ53"/>
    <mergeCell ref="UXK53:UXO53"/>
    <mergeCell ref="UXP53:UXT53"/>
    <mergeCell ref="UVM53:UVQ53"/>
    <mergeCell ref="UVR53:UVV53"/>
    <mergeCell ref="UVW53:UWA53"/>
    <mergeCell ref="UWB53:UWF53"/>
    <mergeCell ref="UWG53:UWK53"/>
    <mergeCell ref="UWL53:UWP53"/>
    <mergeCell ref="UUI53:UUM53"/>
    <mergeCell ref="UUN53:UUR53"/>
    <mergeCell ref="UUS53:UUW53"/>
    <mergeCell ref="UUX53:UVB53"/>
    <mergeCell ref="UVC53:UVG53"/>
    <mergeCell ref="UVH53:UVL53"/>
    <mergeCell ref="UTE53:UTI53"/>
    <mergeCell ref="UTJ53:UTN53"/>
    <mergeCell ref="UTO53:UTS53"/>
    <mergeCell ref="UTT53:UTX53"/>
    <mergeCell ref="UTY53:UUC53"/>
    <mergeCell ref="UUD53:UUH53"/>
    <mergeCell ref="USA53:USE53"/>
    <mergeCell ref="USF53:USJ53"/>
    <mergeCell ref="USK53:USO53"/>
    <mergeCell ref="USP53:UST53"/>
    <mergeCell ref="USU53:USY53"/>
    <mergeCell ref="USZ53:UTD53"/>
    <mergeCell ref="UQW53:URA53"/>
    <mergeCell ref="URB53:URF53"/>
    <mergeCell ref="URG53:URK53"/>
    <mergeCell ref="URL53:URP53"/>
    <mergeCell ref="URQ53:URU53"/>
    <mergeCell ref="URV53:URZ53"/>
    <mergeCell ref="UPS53:UPW53"/>
    <mergeCell ref="UPX53:UQB53"/>
    <mergeCell ref="UQC53:UQG53"/>
    <mergeCell ref="UQH53:UQL53"/>
    <mergeCell ref="UQM53:UQQ53"/>
    <mergeCell ref="UQR53:UQV53"/>
    <mergeCell ref="UOO53:UOS53"/>
    <mergeCell ref="UOT53:UOX53"/>
    <mergeCell ref="UOY53:UPC53"/>
    <mergeCell ref="UPD53:UPH53"/>
    <mergeCell ref="UPI53:UPM53"/>
    <mergeCell ref="UPN53:UPR53"/>
    <mergeCell ref="UNK53:UNO53"/>
    <mergeCell ref="UNP53:UNT53"/>
    <mergeCell ref="UNU53:UNY53"/>
    <mergeCell ref="UNZ53:UOD53"/>
    <mergeCell ref="UOE53:UOI53"/>
    <mergeCell ref="UOJ53:UON53"/>
    <mergeCell ref="UMG53:UMK53"/>
    <mergeCell ref="UML53:UMP53"/>
    <mergeCell ref="UMQ53:UMU53"/>
    <mergeCell ref="UMV53:UMZ53"/>
    <mergeCell ref="UNA53:UNE53"/>
    <mergeCell ref="UNF53:UNJ53"/>
    <mergeCell ref="ULC53:ULG53"/>
    <mergeCell ref="ULH53:ULL53"/>
    <mergeCell ref="ULM53:ULQ53"/>
    <mergeCell ref="ULR53:ULV53"/>
    <mergeCell ref="ULW53:UMA53"/>
    <mergeCell ref="UMB53:UMF53"/>
    <mergeCell ref="UJY53:UKC53"/>
    <mergeCell ref="UKD53:UKH53"/>
    <mergeCell ref="UKI53:UKM53"/>
    <mergeCell ref="UKN53:UKR53"/>
    <mergeCell ref="UKS53:UKW53"/>
    <mergeCell ref="UKX53:ULB53"/>
    <mergeCell ref="UIU53:UIY53"/>
    <mergeCell ref="UIZ53:UJD53"/>
    <mergeCell ref="UJE53:UJI53"/>
    <mergeCell ref="UJJ53:UJN53"/>
    <mergeCell ref="UJO53:UJS53"/>
    <mergeCell ref="UJT53:UJX53"/>
    <mergeCell ref="UHQ53:UHU53"/>
    <mergeCell ref="UHV53:UHZ53"/>
    <mergeCell ref="UIA53:UIE53"/>
    <mergeCell ref="UIF53:UIJ53"/>
    <mergeCell ref="UIK53:UIO53"/>
    <mergeCell ref="UIP53:UIT53"/>
    <mergeCell ref="UGM53:UGQ53"/>
    <mergeCell ref="UGR53:UGV53"/>
    <mergeCell ref="UGW53:UHA53"/>
    <mergeCell ref="UHB53:UHF53"/>
    <mergeCell ref="UHG53:UHK53"/>
    <mergeCell ref="UHL53:UHP53"/>
    <mergeCell ref="UFI53:UFM53"/>
    <mergeCell ref="UFN53:UFR53"/>
    <mergeCell ref="UFS53:UFW53"/>
    <mergeCell ref="UFX53:UGB53"/>
    <mergeCell ref="UGC53:UGG53"/>
    <mergeCell ref="UGH53:UGL53"/>
    <mergeCell ref="UEE53:UEI53"/>
    <mergeCell ref="UEJ53:UEN53"/>
    <mergeCell ref="UEO53:UES53"/>
    <mergeCell ref="UET53:UEX53"/>
    <mergeCell ref="UEY53:UFC53"/>
    <mergeCell ref="UFD53:UFH53"/>
    <mergeCell ref="UDA53:UDE53"/>
    <mergeCell ref="UDF53:UDJ53"/>
    <mergeCell ref="UDK53:UDO53"/>
    <mergeCell ref="UDP53:UDT53"/>
    <mergeCell ref="UDU53:UDY53"/>
    <mergeCell ref="UDZ53:UED53"/>
    <mergeCell ref="UBW53:UCA53"/>
    <mergeCell ref="UCB53:UCF53"/>
    <mergeCell ref="UCG53:UCK53"/>
    <mergeCell ref="UCL53:UCP53"/>
    <mergeCell ref="UCQ53:UCU53"/>
    <mergeCell ref="UCV53:UCZ53"/>
    <mergeCell ref="UAS53:UAW53"/>
    <mergeCell ref="UAX53:UBB53"/>
    <mergeCell ref="UBC53:UBG53"/>
    <mergeCell ref="UBH53:UBL53"/>
    <mergeCell ref="UBM53:UBQ53"/>
    <mergeCell ref="UBR53:UBV53"/>
    <mergeCell ref="TZO53:TZS53"/>
    <mergeCell ref="TZT53:TZX53"/>
    <mergeCell ref="TZY53:UAC53"/>
    <mergeCell ref="UAD53:UAH53"/>
    <mergeCell ref="UAI53:UAM53"/>
    <mergeCell ref="UAN53:UAR53"/>
    <mergeCell ref="TYK53:TYO53"/>
    <mergeCell ref="TYP53:TYT53"/>
    <mergeCell ref="TYU53:TYY53"/>
    <mergeCell ref="TYZ53:TZD53"/>
    <mergeCell ref="TZE53:TZI53"/>
    <mergeCell ref="TZJ53:TZN53"/>
    <mergeCell ref="TXG53:TXK53"/>
    <mergeCell ref="TXL53:TXP53"/>
    <mergeCell ref="TXQ53:TXU53"/>
    <mergeCell ref="TXV53:TXZ53"/>
    <mergeCell ref="TYA53:TYE53"/>
    <mergeCell ref="TYF53:TYJ53"/>
    <mergeCell ref="TWC53:TWG53"/>
    <mergeCell ref="TWH53:TWL53"/>
    <mergeCell ref="TWM53:TWQ53"/>
    <mergeCell ref="TWR53:TWV53"/>
    <mergeCell ref="TWW53:TXA53"/>
    <mergeCell ref="TXB53:TXF53"/>
    <mergeCell ref="TUY53:TVC53"/>
    <mergeCell ref="TVD53:TVH53"/>
    <mergeCell ref="TVI53:TVM53"/>
    <mergeCell ref="TVN53:TVR53"/>
    <mergeCell ref="TVS53:TVW53"/>
    <mergeCell ref="TVX53:TWB53"/>
    <mergeCell ref="TTU53:TTY53"/>
    <mergeCell ref="TTZ53:TUD53"/>
    <mergeCell ref="TUE53:TUI53"/>
    <mergeCell ref="TUJ53:TUN53"/>
    <mergeCell ref="TUO53:TUS53"/>
    <mergeCell ref="TUT53:TUX53"/>
    <mergeCell ref="TSQ53:TSU53"/>
    <mergeCell ref="TSV53:TSZ53"/>
    <mergeCell ref="TTA53:TTE53"/>
    <mergeCell ref="TTF53:TTJ53"/>
    <mergeCell ref="TTK53:TTO53"/>
    <mergeCell ref="TTP53:TTT53"/>
    <mergeCell ref="TRM53:TRQ53"/>
    <mergeCell ref="TRR53:TRV53"/>
    <mergeCell ref="TRW53:TSA53"/>
    <mergeCell ref="TSB53:TSF53"/>
    <mergeCell ref="TSG53:TSK53"/>
    <mergeCell ref="TSL53:TSP53"/>
    <mergeCell ref="TQI53:TQM53"/>
    <mergeCell ref="TQN53:TQR53"/>
    <mergeCell ref="TQS53:TQW53"/>
    <mergeCell ref="TQX53:TRB53"/>
    <mergeCell ref="TRC53:TRG53"/>
    <mergeCell ref="TRH53:TRL53"/>
    <mergeCell ref="TPE53:TPI53"/>
    <mergeCell ref="TPJ53:TPN53"/>
    <mergeCell ref="TPO53:TPS53"/>
    <mergeCell ref="TPT53:TPX53"/>
    <mergeCell ref="TPY53:TQC53"/>
    <mergeCell ref="TQD53:TQH53"/>
    <mergeCell ref="TOA53:TOE53"/>
    <mergeCell ref="TOF53:TOJ53"/>
    <mergeCell ref="TOK53:TOO53"/>
    <mergeCell ref="TOP53:TOT53"/>
    <mergeCell ref="TOU53:TOY53"/>
    <mergeCell ref="TOZ53:TPD53"/>
    <mergeCell ref="TMW53:TNA53"/>
    <mergeCell ref="TNB53:TNF53"/>
    <mergeCell ref="TNG53:TNK53"/>
    <mergeCell ref="TNL53:TNP53"/>
    <mergeCell ref="TNQ53:TNU53"/>
    <mergeCell ref="TNV53:TNZ53"/>
    <mergeCell ref="TLS53:TLW53"/>
    <mergeCell ref="TLX53:TMB53"/>
    <mergeCell ref="TMC53:TMG53"/>
    <mergeCell ref="TMH53:TML53"/>
    <mergeCell ref="TMM53:TMQ53"/>
    <mergeCell ref="TMR53:TMV53"/>
    <mergeCell ref="TKO53:TKS53"/>
    <mergeCell ref="TKT53:TKX53"/>
    <mergeCell ref="TKY53:TLC53"/>
    <mergeCell ref="TLD53:TLH53"/>
    <mergeCell ref="TLI53:TLM53"/>
    <mergeCell ref="TLN53:TLR53"/>
    <mergeCell ref="TJK53:TJO53"/>
    <mergeCell ref="TJP53:TJT53"/>
    <mergeCell ref="TJU53:TJY53"/>
    <mergeCell ref="TJZ53:TKD53"/>
    <mergeCell ref="TKE53:TKI53"/>
    <mergeCell ref="TKJ53:TKN53"/>
    <mergeCell ref="TIG53:TIK53"/>
    <mergeCell ref="TIL53:TIP53"/>
    <mergeCell ref="TIQ53:TIU53"/>
    <mergeCell ref="TIV53:TIZ53"/>
    <mergeCell ref="TJA53:TJE53"/>
    <mergeCell ref="TJF53:TJJ53"/>
    <mergeCell ref="THC53:THG53"/>
    <mergeCell ref="THH53:THL53"/>
    <mergeCell ref="THM53:THQ53"/>
    <mergeCell ref="THR53:THV53"/>
    <mergeCell ref="THW53:TIA53"/>
    <mergeCell ref="TIB53:TIF53"/>
    <mergeCell ref="TFY53:TGC53"/>
    <mergeCell ref="TGD53:TGH53"/>
    <mergeCell ref="TGI53:TGM53"/>
    <mergeCell ref="TGN53:TGR53"/>
    <mergeCell ref="TGS53:TGW53"/>
    <mergeCell ref="TGX53:THB53"/>
    <mergeCell ref="TEU53:TEY53"/>
    <mergeCell ref="TEZ53:TFD53"/>
    <mergeCell ref="TFE53:TFI53"/>
    <mergeCell ref="TFJ53:TFN53"/>
    <mergeCell ref="TFO53:TFS53"/>
    <mergeCell ref="TFT53:TFX53"/>
    <mergeCell ref="TDQ53:TDU53"/>
    <mergeCell ref="TDV53:TDZ53"/>
    <mergeCell ref="TEA53:TEE53"/>
    <mergeCell ref="TEF53:TEJ53"/>
    <mergeCell ref="TEK53:TEO53"/>
    <mergeCell ref="TEP53:TET53"/>
    <mergeCell ref="TCM53:TCQ53"/>
    <mergeCell ref="TCR53:TCV53"/>
    <mergeCell ref="TCW53:TDA53"/>
    <mergeCell ref="TDB53:TDF53"/>
    <mergeCell ref="TDG53:TDK53"/>
    <mergeCell ref="TDL53:TDP53"/>
    <mergeCell ref="TBI53:TBM53"/>
    <mergeCell ref="TBN53:TBR53"/>
    <mergeCell ref="TBS53:TBW53"/>
    <mergeCell ref="TBX53:TCB53"/>
    <mergeCell ref="TCC53:TCG53"/>
    <mergeCell ref="TCH53:TCL53"/>
    <mergeCell ref="TAE53:TAI53"/>
    <mergeCell ref="TAJ53:TAN53"/>
    <mergeCell ref="TAO53:TAS53"/>
    <mergeCell ref="TAT53:TAX53"/>
    <mergeCell ref="TAY53:TBC53"/>
    <mergeCell ref="TBD53:TBH53"/>
    <mergeCell ref="SZA53:SZE53"/>
    <mergeCell ref="SZF53:SZJ53"/>
    <mergeCell ref="SZK53:SZO53"/>
    <mergeCell ref="SZP53:SZT53"/>
    <mergeCell ref="SZU53:SZY53"/>
    <mergeCell ref="SZZ53:TAD53"/>
    <mergeCell ref="SXW53:SYA53"/>
    <mergeCell ref="SYB53:SYF53"/>
    <mergeCell ref="SYG53:SYK53"/>
    <mergeCell ref="SYL53:SYP53"/>
    <mergeCell ref="SYQ53:SYU53"/>
    <mergeCell ref="SYV53:SYZ53"/>
    <mergeCell ref="SWS53:SWW53"/>
    <mergeCell ref="SWX53:SXB53"/>
    <mergeCell ref="SXC53:SXG53"/>
    <mergeCell ref="SXH53:SXL53"/>
    <mergeCell ref="SXM53:SXQ53"/>
    <mergeCell ref="SXR53:SXV53"/>
    <mergeCell ref="SVO53:SVS53"/>
    <mergeCell ref="SVT53:SVX53"/>
    <mergeCell ref="SVY53:SWC53"/>
    <mergeCell ref="SWD53:SWH53"/>
    <mergeCell ref="SWI53:SWM53"/>
    <mergeCell ref="SWN53:SWR53"/>
    <mergeCell ref="SUK53:SUO53"/>
    <mergeCell ref="SUP53:SUT53"/>
    <mergeCell ref="SUU53:SUY53"/>
    <mergeCell ref="SUZ53:SVD53"/>
    <mergeCell ref="SVE53:SVI53"/>
    <mergeCell ref="SVJ53:SVN53"/>
    <mergeCell ref="STG53:STK53"/>
    <mergeCell ref="STL53:STP53"/>
    <mergeCell ref="STQ53:STU53"/>
    <mergeCell ref="STV53:STZ53"/>
    <mergeCell ref="SUA53:SUE53"/>
    <mergeCell ref="SUF53:SUJ53"/>
    <mergeCell ref="SSC53:SSG53"/>
    <mergeCell ref="SSH53:SSL53"/>
    <mergeCell ref="SSM53:SSQ53"/>
    <mergeCell ref="SSR53:SSV53"/>
    <mergeCell ref="SSW53:STA53"/>
    <mergeCell ref="STB53:STF53"/>
    <mergeCell ref="SQY53:SRC53"/>
    <mergeCell ref="SRD53:SRH53"/>
    <mergeCell ref="SRI53:SRM53"/>
    <mergeCell ref="SRN53:SRR53"/>
    <mergeCell ref="SRS53:SRW53"/>
    <mergeCell ref="SRX53:SSB53"/>
    <mergeCell ref="SPU53:SPY53"/>
    <mergeCell ref="SPZ53:SQD53"/>
    <mergeCell ref="SQE53:SQI53"/>
    <mergeCell ref="SQJ53:SQN53"/>
    <mergeCell ref="SQO53:SQS53"/>
    <mergeCell ref="SQT53:SQX53"/>
    <mergeCell ref="SOQ53:SOU53"/>
    <mergeCell ref="SOV53:SOZ53"/>
    <mergeCell ref="SPA53:SPE53"/>
    <mergeCell ref="SPF53:SPJ53"/>
    <mergeCell ref="SPK53:SPO53"/>
    <mergeCell ref="SPP53:SPT53"/>
    <mergeCell ref="SNM53:SNQ53"/>
    <mergeCell ref="SNR53:SNV53"/>
    <mergeCell ref="SNW53:SOA53"/>
    <mergeCell ref="SOB53:SOF53"/>
    <mergeCell ref="SOG53:SOK53"/>
    <mergeCell ref="SOL53:SOP53"/>
    <mergeCell ref="SMI53:SMM53"/>
    <mergeCell ref="SMN53:SMR53"/>
    <mergeCell ref="SMS53:SMW53"/>
    <mergeCell ref="SMX53:SNB53"/>
    <mergeCell ref="SNC53:SNG53"/>
    <mergeCell ref="SNH53:SNL53"/>
    <mergeCell ref="SLE53:SLI53"/>
    <mergeCell ref="SLJ53:SLN53"/>
    <mergeCell ref="SLO53:SLS53"/>
    <mergeCell ref="SLT53:SLX53"/>
    <mergeCell ref="SLY53:SMC53"/>
    <mergeCell ref="SMD53:SMH53"/>
    <mergeCell ref="SKA53:SKE53"/>
    <mergeCell ref="SKF53:SKJ53"/>
    <mergeCell ref="SKK53:SKO53"/>
    <mergeCell ref="SKP53:SKT53"/>
    <mergeCell ref="SKU53:SKY53"/>
    <mergeCell ref="SKZ53:SLD53"/>
    <mergeCell ref="SIW53:SJA53"/>
    <mergeCell ref="SJB53:SJF53"/>
    <mergeCell ref="SJG53:SJK53"/>
    <mergeCell ref="SJL53:SJP53"/>
    <mergeCell ref="SJQ53:SJU53"/>
    <mergeCell ref="SJV53:SJZ53"/>
    <mergeCell ref="SHS53:SHW53"/>
    <mergeCell ref="SHX53:SIB53"/>
    <mergeCell ref="SIC53:SIG53"/>
    <mergeCell ref="SIH53:SIL53"/>
    <mergeCell ref="SIM53:SIQ53"/>
    <mergeCell ref="SIR53:SIV53"/>
    <mergeCell ref="SGO53:SGS53"/>
    <mergeCell ref="SGT53:SGX53"/>
    <mergeCell ref="SGY53:SHC53"/>
    <mergeCell ref="SHD53:SHH53"/>
    <mergeCell ref="SHI53:SHM53"/>
    <mergeCell ref="SHN53:SHR53"/>
    <mergeCell ref="SFK53:SFO53"/>
    <mergeCell ref="SFP53:SFT53"/>
    <mergeCell ref="SFU53:SFY53"/>
    <mergeCell ref="SFZ53:SGD53"/>
    <mergeCell ref="SGE53:SGI53"/>
    <mergeCell ref="SGJ53:SGN53"/>
    <mergeCell ref="SEG53:SEK53"/>
    <mergeCell ref="SEL53:SEP53"/>
    <mergeCell ref="SEQ53:SEU53"/>
    <mergeCell ref="SEV53:SEZ53"/>
    <mergeCell ref="SFA53:SFE53"/>
    <mergeCell ref="SFF53:SFJ53"/>
    <mergeCell ref="SDC53:SDG53"/>
    <mergeCell ref="SDH53:SDL53"/>
    <mergeCell ref="SDM53:SDQ53"/>
    <mergeCell ref="SDR53:SDV53"/>
    <mergeCell ref="SDW53:SEA53"/>
    <mergeCell ref="SEB53:SEF53"/>
    <mergeCell ref="SBY53:SCC53"/>
    <mergeCell ref="SCD53:SCH53"/>
    <mergeCell ref="SCI53:SCM53"/>
    <mergeCell ref="SCN53:SCR53"/>
    <mergeCell ref="SCS53:SCW53"/>
    <mergeCell ref="SCX53:SDB53"/>
    <mergeCell ref="SAU53:SAY53"/>
    <mergeCell ref="SAZ53:SBD53"/>
    <mergeCell ref="SBE53:SBI53"/>
    <mergeCell ref="SBJ53:SBN53"/>
    <mergeCell ref="SBO53:SBS53"/>
    <mergeCell ref="SBT53:SBX53"/>
    <mergeCell ref="RZQ53:RZU53"/>
    <mergeCell ref="RZV53:RZZ53"/>
    <mergeCell ref="SAA53:SAE53"/>
    <mergeCell ref="SAF53:SAJ53"/>
    <mergeCell ref="SAK53:SAO53"/>
    <mergeCell ref="SAP53:SAT53"/>
    <mergeCell ref="RYM53:RYQ53"/>
    <mergeCell ref="RYR53:RYV53"/>
    <mergeCell ref="RYW53:RZA53"/>
    <mergeCell ref="RZB53:RZF53"/>
    <mergeCell ref="RZG53:RZK53"/>
    <mergeCell ref="RZL53:RZP53"/>
    <mergeCell ref="RXI53:RXM53"/>
    <mergeCell ref="RXN53:RXR53"/>
    <mergeCell ref="RXS53:RXW53"/>
    <mergeCell ref="RXX53:RYB53"/>
    <mergeCell ref="RYC53:RYG53"/>
    <mergeCell ref="RYH53:RYL53"/>
    <mergeCell ref="RWE53:RWI53"/>
    <mergeCell ref="RWJ53:RWN53"/>
    <mergeCell ref="RWO53:RWS53"/>
    <mergeCell ref="RWT53:RWX53"/>
    <mergeCell ref="RWY53:RXC53"/>
    <mergeCell ref="RXD53:RXH53"/>
    <mergeCell ref="RVA53:RVE53"/>
    <mergeCell ref="RVF53:RVJ53"/>
    <mergeCell ref="RVK53:RVO53"/>
    <mergeCell ref="RVP53:RVT53"/>
    <mergeCell ref="RVU53:RVY53"/>
    <mergeCell ref="RVZ53:RWD53"/>
    <mergeCell ref="RTW53:RUA53"/>
    <mergeCell ref="RUB53:RUF53"/>
    <mergeCell ref="RUG53:RUK53"/>
    <mergeCell ref="RUL53:RUP53"/>
    <mergeCell ref="RUQ53:RUU53"/>
    <mergeCell ref="RUV53:RUZ53"/>
    <mergeCell ref="RSS53:RSW53"/>
    <mergeCell ref="RSX53:RTB53"/>
    <mergeCell ref="RTC53:RTG53"/>
    <mergeCell ref="RTH53:RTL53"/>
    <mergeCell ref="RTM53:RTQ53"/>
    <mergeCell ref="RTR53:RTV53"/>
    <mergeCell ref="RRO53:RRS53"/>
    <mergeCell ref="RRT53:RRX53"/>
    <mergeCell ref="RRY53:RSC53"/>
    <mergeCell ref="RSD53:RSH53"/>
    <mergeCell ref="RSI53:RSM53"/>
    <mergeCell ref="RSN53:RSR53"/>
    <mergeCell ref="RQK53:RQO53"/>
    <mergeCell ref="RQP53:RQT53"/>
    <mergeCell ref="RQU53:RQY53"/>
    <mergeCell ref="RQZ53:RRD53"/>
    <mergeCell ref="RRE53:RRI53"/>
    <mergeCell ref="RRJ53:RRN53"/>
    <mergeCell ref="RPG53:RPK53"/>
    <mergeCell ref="RPL53:RPP53"/>
    <mergeCell ref="RPQ53:RPU53"/>
    <mergeCell ref="RPV53:RPZ53"/>
    <mergeCell ref="RQA53:RQE53"/>
    <mergeCell ref="RQF53:RQJ53"/>
    <mergeCell ref="ROC53:ROG53"/>
    <mergeCell ref="ROH53:ROL53"/>
    <mergeCell ref="ROM53:ROQ53"/>
    <mergeCell ref="ROR53:ROV53"/>
    <mergeCell ref="ROW53:RPA53"/>
    <mergeCell ref="RPB53:RPF53"/>
    <mergeCell ref="RMY53:RNC53"/>
    <mergeCell ref="RND53:RNH53"/>
    <mergeCell ref="RNI53:RNM53"/>
    <mergeCell ref="RNN53:RNR53"/>
    <mergeCell ref="RNS53:RNW53"/>
    <mergeCell ref="RNX53:ROB53"/>
    <mergeCell ref="RLU53:RLY53"/>
    <mergeCell ref="RLZ53:RMD53"/>
    <mergeCell ref="RME53:RMI53"/>
    <mergeCell ref="RMJ53:RMN53"/>
    <mergeCell ref="RMO53:RMS53"/>
    <mergeCell ref="RMT53:RMX53"/>
    <mergeCell ref="RKQ53:RKU53"/>
    <mergeCell ref="RKV53:RKZ53"/>
    <mergeCell ref="RLA53:RLE53"/>
    <mergeCell ref="RLF53:RLJ53"/>
    <mergeCell ref="RLK53:RLO53"/>
    <mergeCell ref="RLP53:RLT53"/>
    <mergeCell ref="RJM53:RJQ53"/>
    <mergeCell ref="RJR53:RJV53"/>
    <mergeCell ref="RJW53:RKA53"/>
    <mergeCell ref="RKB53:RKF53"/>
    <mergeCell ref="RKG53:RKK53"/>
    <mergeCell ref="RKL53:RKP53"/>
    <mergeCell ref="RII53:RIM53"/>
    <mergeCell ref="RIN53:RIR53"/>
    <mergeCell ref="RIS53:RIW53"/>
    <mergeCell ref="RIX53:RJB53"/>
    <mergeCell ref="RJC53:RJG53"/>
    <mergeCell ref="RJH53:RJL53"/>
    <mergeCell ref="RHE53:RHI53"/>
    <mergeCell ref="RHJ53:RHN53"/>
    <mergeCell ref="RHO53:RHS53"/>
    <mergeCell ref="RHT53:RHX53"/>
    <mergeCell ref="RHY53:RIC53"/>
    <mergeCell ref="RID53:RIH53"/>
    <mergeCell ref="RGA53:RGE53"/>
    <mergeCell ref="RGF53:RGJ53"/>
    <mergeCell ref="RGK53:RGO53"/>
    <mergeCell ref="RGP53:RGT53"/>
    <mergeCell ref="RGU53:RGY53"/>
    <mergeCell ref="RGZ53:RHD53"/>
    <mergeCell ref="REW53:RFA53"/>
    <mergeCell ref="RFB53:RFF53"/>
    <mergeCell ref="RFG53:RFK53"/>
    <mergeCell ref="RFL53:RFP53"/>
    <mergeCell ref="RFQ53:RFU53"/>
    <mergeCell ref="RFV53:RFZ53"/>
    <mergeCell ref="RDS53:RDW53"/>
    <mergeCell ref="RDX53:REB53"/>
    <mergeCell ref="REC53:REG53"/>
    <mergeCell ref="REH53:REL53"/>
    <mergeCell ref="REM53:REQ53"/>
    <mergeCell ref="RER53:REV53"/>
    <mergeCell ref="RCO53:RCS53"/>
    <mergeCell ref="RCT53:RCX53"/>
    <mergeCell ref="RCY53:RDC53"/>
    <mergeCell ref="RDD53:RDH53"/>
    <mergeCell ref="RDI53:RDM53"/>
    <mergeCell ref="RDN53:RDR53"/>
    <mergeCell ref="RBK53:RBO53"/>
    <mergeCell ref="RBP53:RBT53"/>
    <mergeCell ref="RBU53:RBY53"/>
    <mergeCell ref="RBZ53:RCD53"/>
    <mergeCell ref="RCE53:RCI53"/>
    <mergeCell ref="RCJ53:RCN53"/>
    <mergeCell ref="RAG53:RAK53"/>
    <mergeCell ref="RAL53:RAP53"/>
    <mergeCell ref="RAQ53:RAU53"/>
    <mergeCell ref="RAV53:RAZ53"/>
    <mergeCell ref="RBA53:RBE53"/>
    <mergeCell ref="RBF53:RBJ53"/>
    <mergeCell ref="QZC53:QZG53"/>
    <mergeCell ref="QZH53:QZL53"/>
    <mergeCell ref="QZM53:QZQ53"/>
    <mergeCell ref="QZR53:QZV53"/>
    <mergeCell ref="QZW53:RAA53"/>
    <mergeCell ref="RAB53:RAF53"/>
    <mergeCell ref="QXY53:QYC53"/>
    <mergeCell ref="QYD53:QYH53"/>
    <mergeCell ref="QYI53:QYM53"/>
    <mergeCell ref="QYN53:QYR53"/>
    <mergeCell ref="QYS53:QYW53"/>
    <mergeCell ref="QYX53:QZB53"/>
    <mergeCell ref="QWU53:QWY53"/>
    <mergeCell ref="QWZ53:QXD53"/>
    <mergeCell ref="QXE53:QXI53"/>
    <mergeCell ref="QXJ53:QXN53"/>
    <mergeCell ref="QXO53:QXS53"/>
    <mergeCell ref="QXT53:QXX53"/>
    <mergeCell ref="QVQ53:QVU53"/>
    <mergeCell ref="QVV53:QVZ53"/>
    <mergeCell ref="QWA53:QWE53"/>
    <mergeCell ref="QWF53:QWJ53"/>
    <mergeCell ref="QWK53:QWO53"/>
    <mergeCell ref="QWP53:QWT53"/>
    <mergeCell ref="QUM53:QUQ53"/>
    <mergeCell ref="QUR53:QUV53"/>
    <mergeCell ref="QUW53:QVA53"/>
    <mergeCell ref="QVB53:QVF53"/>
    <mergeCell ref="QVG53:QVK53"/>
    <mergeCell ref="QVL53:QVP53"/>
    <mergeCell ref="QTI53:QTM53"/>
    <mergeCell ref="QTN53:QTR53"/>
    <mergeCell ref="QTS53:QTW53"/>
    <mergeCell ref="QTX53:QUB53"/>
    <mergeCell ref="QUC53:QUG53"/>
    <mergeCell ref="QUH53:QUL53"/>
    <mergeCell ref="QSE53:QSI53"/>
    <mergeCell ref="QSJ53:QSN53"/>
    <mergeCell ref="QSO53:QSS53"/>
    <mergeCell ref="QST53:QSX53"/>
    <mergeCell ref="QSY53:QTC53"/>
    <mergeCell ref="QTD53:QTH53"/>
    <mergeCell ref="QRA53:QRE53"/>
    <mergeCell ref="QRF53:QRJ53"/>
    <mergeCell ref="QRK53:QRO53"/>
    <mergeCell ref="QRP53:QRT53"/>
    <mergeCell ref="QRU53:QRY53"/>
    <mergeCell ref="QRZ53:QSD53"/>
    <mergeCell ref="QPW53:QQA53"/>
    <mergeCell ref="QQB53:QQF53"/>
    <mergeCell ref="QQG53:QQK53"/>
    <mergeCell ref="QQL53:QQP53"/>
    <mergeCell ref="QQQ53:QQU53"/>
    <mergeCell ref="QQV53:QQZ53"/>
    <mergeCell ref="QOS53:QOW53"/>
    <mergeCell ref="QOX53:QPB53"/>
    <mergeCell ref="QPC53:QPG53"/>
    <mergeCell ref="QPH53:QPL53"/>
    <mergeCell ref="QPM53:QPQ53"/>
    <mergeCell ref="QPR53:QPV53"/>
    <mergeCell ref="QNO53:QNS53"/>
    <mergeCell ref="QNT53:QNX53"/>
    <mergeCell ref="QNY53:QOC53"/>
    <mergeCell ref="QOD53:QOH53"/>
    <mergeCell ref="QOI53:QOM53"/>
    <mergeCell ref="QON53:QOR53"/>
    <mergeCell ref="QMK53:QMO53"/>
    <mergeCell ref="QMP53:QMT53"/>
    <mergeCell ref="QMU53:QMY53"/>
    <mergeCell ref="QMZ53:QND53"/>
    <mergeCell ref="QNE53:QNI53"/>
    <mergeCell ref="QNJ53:QNN53"/>
    <mergeCell ref="QLG53:QLK53"/>
    <mergeCell ref="QLL53:QLP53"/>
    <mergeCell ref="QLQ53:QLU53"/>
    <mergeCell ref="QLV53:QLZ53"/>
    <mergeCell ref="QMA53:QME53"/>
    <mergeCell ref="QMF53:QMJ53"/>
    <mergeCell ref="QKC53:QKG53"/>
    <mergeCell ref="QKH53:QKL53"/>
    <mergeCell ref="QKM53:QKQ53"/>
    <mergeCell ref="QKR53:QKV53"/>
    <mergeCell ref="QKW53:QLA53"/>
    <mergeCell ref="QLB53:QLF53"/>
    <mergeCell ref="QIY53:QJC53"/>
    <mergeCell ref="QJD53:QJH53"/>
    <mergeCell ref="QJI53:QJM53"/>
    <mergeCell ref="QJN53:QJR53"/>
    <mergeCell ref="QJS53:QJW53"/>
    <mergeCell ref="QJX53:QKB53"/>
    <mergeCell ref="QHU53:QHY53"/>
    <mergeCell ref="QHZ53:QID53"/>
    <mergeCell ref="QIE53:QII53"/>
    <mergeCell ref="QIJ53:QIN53"/>
    <mergeCell ref="QIO53:QIS53"/>
    <mergeCell ref="QIT53:QIX53"/>
    <mergeCell ref="QGQ53:QGU53"/>
    <mergeCell ref="QGV53:QGZ53"/>
    <mergeCell ref="QHA53:QHE53"/>
    <mergeCell ref="QHF53:QHJ53"/>
    <mergeCell ref="QHK53:QHO53"/>
    <mergeCell ref="QHP53:QHT53"/>
    <mergeCell ref="QFM53:QFQ53"/>
    <mergeCell ref="QFR53:QFV53"/>
    <mergeCell ref="QFW53:QGA53"/>
    <mergeCell ref="QGB53:QGF53"/>
    <mergeCell ref="QGG53:QGK53"/>
    <mergeCell ref="QGL53:QGP53"/>
    <mergeCell ref="QEI53:QEM53"/>
    <mergeCell ref="QEN53:QER53"/>
    <mergeCell ref="QES53:QEW53"/>
    <mergeCell ref="QEX53:QFB53"/>
    <mergeCell ref="QFC53:QFG53"/>
    <mergeCell ref="QFH53:QFL53"/>
    <mergeCell ref="QDE53:QDI53"/>
    <mergeCell ref="QDJ53:QDN53"/>
    <mergeCell ref="QDO53:QDS53"/>
    <mergeCell ref="QDT53:QDX53"/>
    <mergeCell ref="QDY53:QEC53"/>
    <mergeCell ref="QED53:QEH53"/>
    <mergeCell ref="QCA53:QCE53"/>
    <mergeCell ref="QCF53:QCJ53"/>
    <mergeCell ref="QCK53:QCO53"/>
    <mergeCell ref="QCP53:QCT53"/>
    <mergeCell ref="QCU53:QCY53"/>
    <mergeCell ref="QCZ53:QDD53"/>
    <mergeCell ref="QAW53:QBA53"/>
    <mergeCell ref="QBB53:QBF53"/>
    <mergeCell ref="QBG53:QBK53"/>
    <mergeCell ref="QBL53:QBP53"/>
    <mergeCell ref="QBQ53:QBU53"/>
    <mergeCell ref="QBV53:QBZ53"/>
    <mergeCell ref="PZS53:PZW53"/>
    <mergeCell ref="PZX53:QAB53"/>
    <mergeCell ref="QAC53:QAG53"/>
    <mergeCell ref="QAH53:QAL53"/>
    <mergeCell ref="QAM53:QAQ53"/>
    <mergeCell ref="QAR53:QAV53"/>
    <mergeCell ref="PYO53:PYS53"/>
    <mergeCell ref="PYT53:PYX53"/>
    <mergeCell ref="PYY53:PZC53"/>
    <mergeCell ref="PZD53:PZH53"/>
    <mergeCell ref="PZI53:PZM53"/>
    <mergeCell ref="PZN53:PZR53"/>
    <mergeCell ref="PXK53:PXO53"/>
    <mergeCell ref="PXP53:PXT53"/>
    <mergeCell ref="PXU53:PXY53"/>
    <mergeCell ref="PXZ53:PYD53"/>
    <mergeCell ref="PYE53:PYI53"/>
    <mergeCell ref="PYJ53:PYN53"/>
    <mergeCell ref="PWG53:PWK53"/>
    <mergeCell ref="PWL53:PWP53"/>
    <mergeCell ref="PWQ53:PWU53"/>
    <mergeCell ref="PWV53:PWZ53"/>
    <mergeCell ref="PXA53:PXE53"/>
    <mergeCell ref="PXF53:PXJ53"/>
    <mergeCell ref="PVC53:PVG53"/>
    <mergeCell ref="PVH53:PVL53"/>
    <mergeCell ref="PVM53:PVQ53"/>
    <mergeCell ref="PVR53:PVV53"/>
    <mergeCell ref="PVW53:PWA53"/>
    <mergeCell ref="PWB53:PWF53"/>
    <mergeCell ref="PTY53:PUC53"/>
    <mergeCell ref="PUD53:PUH53"/>
    <mergeCell ref="PUI53:PUM53"/>
    <mergeCell ref="PUN53:PUR53"/>
    <mergeCell ref="PUS53:PUW53"/>
    <mergeCell ref="PUX53:PVB53"/>
    <mergeCell ref="PSU53:PSY53"/>
    <mergeCell ref="PSZ53:PTD53"/>
    <mergeCell ref="PTE53:PTI53"/>
    <mergeCell ref="PTJ53:PTN53"/>
    <mergeCell ref="PTO53:PTS53"/>
    <mergeCell ref="PTT53:PTX53"/>
    <mergeCell ref="PRQ53:PRU53"/>
    <mergeCell ref="PRV53:PRZ53"/>
    <mergeCell ref="PSA53:PSE53"/>
    <mergeCell ref="PSF53:PSJ53"/>
    <mergeCell ref="PSK53:PSO53"/>
    <mergeCell ref="PSP53:PST53"/>
    <mergeCell ref="PQM53:PQQ53"/>
    <mergeCell ref="PQR53:PQV53"/>
    <mergeCell ref="PQW53:PRA53"/>
    <mergeCell ref="PRB53:PRF53"/>
    <mergeCell ref="PRG53:PRK53"/>
    <mergeCell ref="PRL53:PRP53"/>
    <mergeCell ref="PPI53:PPM53"/>
    <mergeCell ref="PPN53:PPR53"/>
    <mergeCell ref="PPS53:PPW53"/>
    <mergeCell ref="PPX53:PQB53"/>
    <mergeCell ref="PQC53:PQG53"/>
    <mergeCell ref="PQH53:PQL53"/>
    <mergeCell ref="POE53:POI53"/>
    <mergeCell ref="POJ53:PON53"/>
    <mergeCell ref="POO53:POS53"/>
    <mergeCell ref="POT53:POX53"/>
    <mergeCell ref="POY53:PPC53"/>
    <mergeCell ref="PPD53:PPH53"/>
    <mergeCell ref="PNA53:PNE53"/>
    <mergeCell ref="PNF53:PNJ53"/>
    <mergeCell ref="PNK53:PNO53"/>
    <mergeCell ref="PNP53:PNT53"/>
    <mergeCell ref="PNU53:PNY53"/>
    <mergeCell ref="PNZ53:POD53"/>
    <mergeCell ref="PLW53:PMA53"/>
    <mergeCell ref="PMB53:PMF53"/>
    <mergeCell ref="PMG53:PMK53"/>
    <mergeCell ref="PML53:PMP53"/>
    <mergeCell ref="PMQ53:PMU53"/>
    <mergeCell ref="PMV53:PMZ53"/>
    <mergeCell ref="PKS53:PKW53"/>
    <mergeCell ref="PKX53:PLB53"/>
    <mergeCell ref="PLC53:PLG53"/>
    <mergeCell ref="PLH53:PLL53"/>
    <mergeCell ref="PLM53:PLQ53"/>
    <mergeCell ref="PLR53:PLV53"/>
    <mergeCell ref="PJO53:PJS53"/>
    <mergeCell ref="PJT53:PJX53"/>
    <mergeCell ref="PJY53:PKC53"/>
    <mergeCell ref="PKD53:PKH53"/>
    <mergeCell ref="PKI53:PKM53"/>
    <mergeCell ref="PKN53:PKR53"/>
    <mergeCell ref="PIK53:PIO53"/>
    <mergeCell ref="PIP53:PIT53"/>
    <mergeCell ref="PIU53:PIY53"/>
    <mergeCell ref="PIZ53:PJD53"/>
    <mergeCell ref="PJE53:PJI53"/>
    <mergeCell ref="PJJ53:PJN53"/>
    <mergeCell ref="PHG53:PHK53"/>
    <mergeCell ref="PHL53:PHP53"/>
    <mergeCell ref="PHQ53:PHU53"/>
    <mergeCell ref="PHV53:PHZ53"/>
    <mergeCell ref="PIA53:PIE53"/>
    <mergeCell ref="PIF53:PIJ53"/>
    <mergeCell ref="PGC53:PGG53"/>
    <mergeCell ref="PGH53:PGL53"/>
    <mergeCell ref="PGM53:PGQ53"/>
    <mergeCell ref="PGR53:PGV53"/>
    <mergeCell ref="PGW53:PHA53"/>
    <mergeCell ref="PHB53:PHF53"/>
    <mergeCell ref="PEY53:PFC53"/>
    <mergeCell ref="PFD53:PFH53"/>
    <mergeCell ref="PFI53:PFM53"/>
    <mergeCell ref="PFN53:PFR53"/>
    <mergeCell ref="PFS53:PFW53"/>
    <mergeCell ref="PFX53:PGB53"/>
    <mergeCell ref="PDU53:PDY53"/>
    <mergeCell ref="PDZ53:PED53"/>
    <mergeCell ref="PEE53:PEI53"/>
    <mergeCell ref="PEJ53:PEN53"/>
    <mergeCell ref="PEO53:PES53"/>
    <mergeCell ref="PET53:PEX53"/>
    <mergeCell ref="PCQ53:PCU53"/>
    <mergeCell ref="PCV53:PCZ53"/>
    <mergeCell ref="PDA53:PDE53"/>
    <mergeCell ref="PDF53:PDJ53"/>
    <mergeCell ref="PDK53:PDO53"/>
    <mergeCell ref="PDP53:PDT53"/>
    <mergeCell ref="PBM53:PBQ53"/>
    <mergeCell ref="PBR53:PBV53"/>
    <mergeCell ref="PBW53:PCA53"/>
    <mergeCell ref="PCB53:PCF53"/>
    <mergeCell ref="PCG53:PCK53"/>
    <mergeCell ref="PCL53:PCP53"/>
    <mergeCell ref="PAI53:PAM53"/>
    <mergeCell ref="PAN53:PAR53"/>
    <mergeCell ref="PAS53:PAW53"/>
    <mergeCell ref="PAX53:PBB53"/>
    <mergeCell ref="PBC53:PBG53"/>
    <mergeCell ref="PBH53:PBL53"/>
    <mergeCell ref="OZE53:OZI53"/>
    <mergeCell ref="OZJ53:OZN53"/>
    <mergeCell ref="OZO53:OZS53"/>
    <mergeCell ref="OZT53:OZX53"/>
    <mergeCell ref="OZY53:PAC53"/>
    <mergeCell ref="PAD53:PAH53"/>
    <mergeCell ref="OYA53:OYE53"/>
    <mergeCell ref="OYF53:OYJ53"/>
    <mergeCell ref="OYK53:OYO53"/>
    <mergeCell ref="OYP53:OYT53"/>
    <mergeCell ref="OYU53:OYY53"/>
    <mergeCell ref="OYZ53:OZD53"/>
    <mergeCell ref="OWW53:OXA53"/>
    <mergeCell ref="OXB53:OXF53"/>
    <mergeCell ref="OXG53:OXK53"/>
    <mergeCell ref="OXL53:OXP53"/>
    <mergeCell ref="OXQ53:OXU53"/>
    <mergeCell ref="OXV53:OXZ53"/>
    <mergeCell ref="OVS53:OVW53"/>
    <mergeCell ref="OVX53:OWB53"/>
    <mergeCell ref="OWC53:OWG53"/>
    <mergeCell ref="OWH53:OWL53"/>
    <mergeCell ref="OWM53:OWQ53"/>
    <mergeCell ref="OWR53:OWV53"/>
    <mergeCell ref="OUO53:OUS53"/>
    <mergeCell ref="OUT53:OUX53"/>
    <mergeCell ref="OUY53:OVC53"/>
    <mergeCell ref="OVD53:OVH53"/>
    <mergeCell ref="OVI53:OVM53"/>
    <mergeCell ref="OVN53:OVR53"/>
    <mergeCell ref="OTK53:OTO53"/>
    <mergeCell ref="OTP53:OTT53"/>
    <mergeCell ref="OTU53:OTY53"/>
    <mergeCell ref="OTZ53:OUD53"/>
    <mergeCell ref="OUE53:OUI53"/>
    <mergeCell ref="OUJ53:OUN53"/>
    <mergeCell ref="OSG53:OSK53"/>
    <mergeCell ref="OSL53:OSP53"/>
    <mergeCell ref="OSQ53:OSU53"/>
    <mergeCell ref="OSV53:OSZ53"/>
    <mergeCell ref="OTA53:OTE53"/>
    <mergeCell ref="OTF53:OTJ53"/>
    <mergeCell ref="ORC53:ORG53"/>
    <mergeCell ref="ORH53:ORL53"/>
    <mergeCell ref="ORM53:ORQ53"/>
    <mergeCell ref="ORR53:ORV53"/>
    <mergeCell ref="ORW53:OSA53"/>
    <mergeCell ref="OSB53:OSF53"/>
    <mergeCell ref="OPY53:OQC53"/>
    <mergeCell ref="OQD53:OQH53"/>
    <mergeCell ref="OQI53:OQM53"/>
    <mergeCell ref="OQN53:OQR53"/>
    <mergeCell ref="OQS53:OQW53"/>
    <mergeCell ref="OQX53:ORB53"/>
    <mergeCell ref="OOU53:OOY53"/>
    <mergeCell ref="OOZ53:OPD53"/>
    <mergeCell ref="OPE53:OPI53"/>
    <mergeCell ref="OPJ53:OPN53"/>
    <mergeCell ref="OPO53:OPS53"/>
    <mergeCell ref="OPT53:OPX53"/>
    <mergeCell ref="ONQ53:ONU53"/>
    <mergeCell ref="ONV53:ONZ53"/>
    <mergeCell ref="OOA53:OOE53"/>
    <mergeCell ref="OOF53:OOJ53"/>
    <mergeCell ref="OOK53:OOO53"/>
    <mergeCell ref="OOP53:OOT53"/>
    <mergeCell ref="OMM53:OMQ53"/>
    <mergeCell ref="OMR53:OMV53"/>
    <mergeCell ref="OMW53:ONA53"/>
    <mergeCell ref="ONB53:ONF53"/>
    <mergeCell ref="ONG53:ONK53"/>
    <mergeCell ref="ONL53:ONP53"/>
    <mergeCell ref="OLI53:OLM53"/>
    <mergeCell ref="OLN53:OLR53"/>
    <mergeCell ref="OLS53:OLW53"/>
    <mergeCell ref="OLX53:OMB53"/>
    <mergeCell ref="OMC53:OMG53"/>
    <mergeCell ref="OMH53:OML53"/>
    <mergeCell ref="OKE53:OKI53"/>
    <mergeCell ref="OKJ53:OKN53"/>
    <mergeCell ref="OKO53:OKS53"/>
    <mergeCell ref="OKT53:OKX53"/>
    <mergeCell ref="OKY53:OLC53"/>
    <mergeCell ref="OLD53:OLH53"/>
    <mergeCell ref="OJA53:OJE53"/>
    <mergeCell ref="OJF53:OJJ53"/>
    <mergeCell ref="OJK53:OJO53"/>
    <mergeCell ref="OJP53:OJT53"/>
    <mergeCell ref="OJU53:OJY53"/>
    <mergeCell ref="OJZ53:OKD53"/>
    <mergeCell ref="OHW53:OIA53"/>
    <mergeCell ref="OIB53:OIF53"/>
    <mergeCell ref="OIG53:OIK53"/>
    <mergeCell ref="OIL53:OIP53"/>
    <mergeCell ref="OIQ53:OIU53"/>
    <mergeCell ref="OIV53:OIZ53"/>
    <mergeCell ref="OGS53:OGW53"/>
    <mergeCell ref="OGX53:OHB53"/>
    <mergeCell ref="OHC53:OHG53"/>
    <mergeCell ref="OHH53:OHL53"/>
    <mergeCell ref="OHM53:OHQ53"/>
    <mergeCell ref="OHR53:OHV53"/>
    <mergeCell ref="OFO53:OFS53"/>
    <mergeCell ref="OFT53:OFX53"/>
    <mergeCell ref="OFY53:OGC53"/>
    <mergeCell ref="OGD53:OGH53"/>
    <mergeCell ref="OGI53:OGM53"/>
    <mergeCell ref="OGN53:OGR53"/>
    <mergeCell ref="OEK53:OEO53"/>
    <mergeCell ref="OEP53:OET53"/>
    <mergeCell ref="OEU53:OEY53"/>
    <mergeCell ref="OEZ53:OFD53"/>
    <mergeCell ref="OFE53:OFI53"/>
    <mergeCell ref="OFJ53:OFN53"/>
    <mergeCell ref="ODG53:ODK53"/>
    <mergeCell ref="ODL53:ODP53"/>
    <mergeCell ref="ODQ53:ODU53"/>
    <mergeCell ref="ODV53:ODZ53"/>
    <mergeCell ref="OEA53:OEE53"/>
    <mergeCell ref="OEF53:OEJ53"/>
    <mergeCell ref="OCC53:OCG53"/>
    <mergeCell ref="OCH53:OCL53"/>
    <mergeCell ref="OCM53:OCQ53"/>
    <mergeCell ref="OCR53:OCV53"/>
    <mergeCell ref="OCW53:ODA53"/>
    <mergeCell ref="ODB53:ODF53"/>
    <mergeCell ref="OAY53:OBC53"/>
    <mergeCell ref="OBD53:OBH53"/>
    <mergeCell ref="OBI53:OBM53"/>
    <mergeCell ref="OBN53:OBR53"/>
    <mergeCell ref="OBS53:OBW53"/>
    <mergeCell ref="OBX53:OCB53"/>
    <mergeCell ref="NZU53:NZY53"/>
    <mergeCell ref="NZZ53:OAD53"/>
    <mergeCell ref="OAE53:OAI53"/>
    <mergeCell ref="OAJ53:OAN53"/>
    <mergeCell ref="OAO53:OAS53"/>
    <mergeCell ref="OAT53:OAX53"/>
    <mergeCell ref="NYQ53:NYU53"/>
    <mergeCell ref="NYV53:NYZ53"/>
    <mergeCell ref="NZA53:NZE53"/>
    <mergeCell ref="NZF53:NZJ53"/>
    <mergeCell ref="NZK53:NZO53"/>
    <mergeCell ref="NZP53:NZT53"/>
    <mergeCell ref="NXM53:NXQ53"/>
    <mergeCell ref="NXR53:NXV53"/>
    <mergeCell ref="NXW53:NYA53"/>
    <mergeCell ref="NYB53:NYF53"/>
    <mergeCell ref="NYG53:NYK53"/>
    <mergeCell ref="NYL53:NYP53"/>
    <mergeCell ref="NWI53:NWM53"/>
    <mergeCell ref="NWN53:NWR53"/>
    <mergeCell ref="NWS53:NWW53"/>
    <mergeCell ref="NWX53:NXB53"/>
    <mergeCell ref="NXC53:NXG53"/>
    <mergeCell ref="NXH53:NXL53"/>
    <mergeCell ref="NVE53:NVI53"/>
    <mergeCell ref="NVJ53:NVN53"/>
    <mergeCell ref="NVO53:NVS53"/>
    <mergeCell ref="NVT53:NVX53"/>
    <mergeCell ref="NVY53:NWC53"/>
    <mergeCell ref="NWD53:NWH53"/>
    <mergeCell ref="NUA53:NUE53"/>
    <mergeCell ref="NUF53:NUJ53"/>
    <mergeCell ref="NUK53:NUO53"/>
    <mergeCell ref="NUP53:NUT53"/>
    <mergeCell ref="NUU53:NUY53"/>
    <mergeCell ref="NUZ53:NVD53"/>
    <mergeCell ref="NSW53:NTA53"/>
    <mergeCell ref="NTB53:NTF53"/>
    <mergeCell ref="NTG53:NTK53"/>
    <mergeCell ref="NTL53:NTP53"/>
    <mergeCell ref="NTQ53:NTU53"/>
    <mergeCell ref="NTV53:NTZ53"/>
    <mergeCell ref="NRS53:NRW53"/>
    <mergeCell ref="NRX53:NSB53"/>
    <mergeCell ref="NSC53:NSG53"/>
    <mergeCell ref="NSH53:NSL53"/>
    <mergeCell ref="NSM53:NSQ53"/>
    <mergeCell ref="NSR53:NSV53"/>
    <mergeCell ref="NQO53:NQS53"/>
    <mergeCell ref="NQT53:NQX53"/>
    <mergeCell ref="NQY53:NRC53"/>
    <mergeCell ref="NRD53:NRH53"/>
    <mergeCell ref="NRI53:NRM53"/>
    <mergeCell ref="NRN53:NRR53"/>
    <mergeCell ref="NPK53:NPO53"/>
    <mergeCell ref="NPP53:NPT53"/>
    <mergeCell ref="NPU53:NPY53"/>
    <mergeCell ref="NPZ53:NQD53"/>
    <mergeCell ref="NQE53:NQI53"/>
    <mergeCell ref="NQJ53:NQN53"/>
    <mergeCell ref="NOG53:NOK53"/>
    <mergeCell ref="NOL53:NOP53"/>
    <mergeCell ref="NOQ53:NOU53"/>
    <mergeCell ref="NOV53:NOZ53"/>
    <mergeCell ref="NPA53:NPE53"/>
    <mergeCell ref="NPF53:NPJ53"/>
    <mergeCell ref="NNC53:NNG53"/>
    <mergeCell ref="NNH53:NNL53"/>
    <mergeCell ref="NNM53:NNQ53"/>
    <mergeCell ref="NNR53:NNV53"/>
    <mergeCell ref="NNW53:NOA53"/>
    <mergeCell ref="NOB53:NOF53"/>
    <mergeCell ref="NLY53:NMC53"/>
    <mergeCell ref="NMD53:NMH53"/>
    <mergeCell ref="NMI53:NMM53"/>
    <mergeCell ref="NMN53:NMR53"/>
    <mergeCell ref="NMS53:NMW53"/>
    <mergeCell ref="NMX53:NNB53"/>
    <mergeCell ref="NKU53:NKY53"/>
    <mergeCell ref="NKZ53:NLD53"/>
    <mergeCell ref="NLE53:NLI53"/>
    <mergeCell ref="NLJ53:NLN53"/>
    <mergeCell ref="NLO53:NLS53"/>
    <mergeCell ref="NLT53:NLX53"/>
    <mergeCell ref="NJQ53:NJU53"/>
    <mergeCell ref="NJV53:NJZ53"/>
    <mergeCell ref="NKA53:NKE53"/>
    <mergeCell ref="NKF53:NKJ53"/>
    <mergeCell ref="NKK53:NKO53"/>
    <mergeCell ref="NKP53:NKT53"/>
    <mergeCell ref="NIM53:NIQ53"/>
    <mergeCell ref="NIR53:NIV53"/>
    <mergeCell ref="NIW53:NJA53"/>
    <mergeCell ref="NJB53:NJF53"/>
    <mergeCell ref="NJG53:NJK53"/>
    <mergeCell ref="NJL53:NJP53"/>
    <mergeCell ref="NHI53:NHM53"/>
    <mergeCell ref="NHN53:NHR53"/>
    <mergeCell ref="NHS53:NHW53"/>
    <mergeCell ref="NHX53:NIB53"/>
    <mergeCell ref="NIC53:NIG53"/>
    <mergeCell ref="NIH53:NIL53"/>
    <mergeCell ref="NGE53:NGI53"/>
    <mergeCell ref="NGJ53:NGN53"/>
    <mergeCell ref="NGO53:NGS53"/>
    <mergeCell ref="NGT53:NGX53"/>
    <mergeCell ref="NGY53:NHC53"/>
    <mergeCell ref="NHD53:NHH53"/>
    <mergeCell ref="NFA53:NFE53"/>
    <mergeCell ref="NFF53:NFJ53"/>
    <mergeCell ref="NFK53:NFO53"/>
    <mergeCell ref="NFP53:NFT53"/>
    <mergeCell ref="NFU53:NFY53"/>
    <mergeCell ref="NFZ53:NGD53"/>
    <mergeCell ref="NDW53:NEA53"/>
    <mergeCell ref="NEB53:NEF53"/>
    <mergeCell ref="NEG53:NEK53"/>
    <mergeCell ref="NEL53:NEP53"/>
    <mergeCell ref="NEQ53:NEU53"/>
    <mergeCell ref="NEV53:NEZ53"/>
    <mergeCell ref="NCS53:NCW53"/>
    <mergeCell ref="NCX53:NDB53"/>
    <mergeCell ref="NDC53:NDG53"/>
    <mergeCell ref="NDH53:NDL53"/>
    <mergeCell ref="NDM53:NDQ53"/>
    <mergeCell ref="NDR53:NDV53"/>
    <mergeCell ref="NBO53:NBS53"/>
    <mergeCell ref="NBT53:NBX53"/>
    <mergeCell ref="NBY53:NCC53"/>
    <mergeCell ref="NCD53:NCH53"/>
    <mergeCell ref="NCI53:NCM53"/>
    <mergeCell ref="NCN53:NCR53"/>
    <mergeCell ref="NAK53:NAO53"/>
    <mergeCell ref="NAP53:NAT53"/>
    <mergeCell ref="NAU53:NAY53"/>
    <mergeCell ref="NAZ53:NBD53"/>
    <mergeCell ref="NBE53:NBI53"/>
    <mergeCell ref="NBJ53:NBN53"/>
    <mergeCell ref="MZG53:MZK53"/>
    <mergeCell ref="MZL53:MZP53"/>
    <mergeCell ref="MZQ53:MZU53"/>
    <mergeCell ref="MZV53:MZZ53"/>
    <mergeCell ref="NAA53:NAE53"/>
    <mergeCell ref="NAF53:NAJ53"/>
    <mergeCell ref="MYC53:MYG53"/>
    <mergeCell ref="MYH53:MYL53"/>
    <mergeCell ref="MYM53:MYQ53"/>
    <mergeCell ref="MYR53:MYV53"/>
    <mergeCell ref="MYW53:MZA53"/>
    <mergeCell ref="MZB53:MZF53"/>
    <mergeCell ref="MWY53:MXC53"/>
    <mergeCell ref="MXD53:MXH53"/>
    <mergeCell ref="MXI53:MXM53"/>
    <mergeCell ref="MXN53:MXR53"/>
    <mergeCell ref="MXS53:MXW53"/>
    <mergeCell ref="MXX53:MYB53"/>
    <mergeCell ref="MVU53:MVY53"/>
    <mergeCell ref="MVZ53:MWD53"/>
    <mergeCell ref="MWE53:MWI53"/>
    <mergeCell ref="MWJ53:MWN53"/>
    <mergeCell ref="MWO53:MWS53"/>
    <mergeCell ref="MWT53:MWX53"/>
    <mergeCell ref="MUQ53:MUU53"/>
    <mergeCell ref="MUV53:MUZ53"/>
    <mergeCell ref="MVA53:MVE53"/>
    <mergeCell ref="MVF53:MVJ53"/>
    <mergeCell ref="MVK53:MVO53"/>
    <mergeCell ref="MVP53:MVT53"/>
    <mergeCell ref="MTM53:MTQ53"/>
    <mergeCell ref="MTR53:MTV53"/>
    <mergeCell ref="MTW53:MUA53"/>
    <mergeCell ref="MUB53:MUF53"/>
    <mergeCell ref="MUG53:MUK53"/>
    <mergeCell ref="MUL53:MUP53"/>
    <mergeCell ref="MSI53:MSM53"/>
    <mergeCell ref="MSN53:MSR53"/>
    <mergeCell ref="MSS53:MSW53"/>
    <mergeCell ref="MSX53:MTB53"/>
    <mergeCell ref="MTC53:MTG53"/>
    <mergeCell ref="MTH53:MTL53"/>
    <mergeCell ref="MRE53:MRI53"/>
    <mergeCell ref="MRJ53:MRN53"/>
    <mergeCell ref="MRO53:MRS53"/>
    <mergeCell ref="MRT53:MRX53"/>
    <mergeCell ref="MRY53:MSC53"/>
    <mergeCell ref="MSD53:MSH53"/>
    <mergeCell ref="MQA53:MQE53"/>
    <mergeCell ref="MQF53:MQJ53"/>
    <mergeCell ref="MQK53:MQO53"/>
    <mergeCell ref="MQP53:MQT53"/>
    <mergeCell ref="MQU53:MQY53"/>
    <mergeCell ref="MQZ53:MRD53"/>
    <mergeCell ref="MOW53:MPA53"/>
    <mergeCell ref="MPB53:MPF53"/>
    <mergeCell ref="MPG53:MPK53"/>
    <mergeCell ref="MPL53:MPP53"/>
    <mergeCell ref="MPQ53:MPU53"/>
    <mergeCell ref="MPV53:MPZ53"/>
    <mergeCell ref="MNS53:MNW53"/>
    <mergeCell ref="MNX53:MOB53"/>
    <mergeCell ref="MOC53:MOG53"/>
    <mergeCell ref="MOH53:MOL53"/>
    <mergeCell ref="MOM53:MOQ53"/>
    <mergeCell ref="MOR53:MOV53"/>
    <mergeCell ref="MMO53:MMS53"/>
    <mergeCell ref="MMT53:MMX53"/>
    <mergeCell ref="MMY53:MNC53"/>
    <mergeCell ref="MND53:MNH53"/>
    <mergeCell ref="MNI53:MNM53"/>
    <mergeCell ref="MNN53:MNR53"/>
    <mergeCell ref="MLK53:MLO53"/>
    <mergeCell ref="MLP53:MLT53"/>
    <mergeCell ref="MLU53:MLY53"/>
    <mergeCell ref="MLZ53:MMD53"/>
    <mergeCell ref="MME53:MMI53"/>
    <mergeCell ref="MMJ53:MMN53"/>
    <mergeCell ref="MKG53:MKK53"/>
    <mergeCell ref="MKL53:MKP53"/>
    <mergeCell ref="MKQ53:MKU53"/>
    <mergeCell ref="MKV53:MKZ53"/>
    <mergeCell ref="MLA53:MLE53"/>
    <mergeCell ref="MLF53:MLJ53"/>
    <mergeCell ref="MJC53:MJG53"/>
    <mergeCell ref="MJH53:MJL53"/>
    <mergeCell ref="MJM53:MJQ53"/>
    <mergeCell ref="MJR53:MJV53"/>
    <mergeCell ref="MJW53:MKA53"/>
    <mergeCell ref="MKB53:MKF53"/>
    <mergeCell ref="MHY53:MIC53"/>
    <mergeCell ref="MID53:MIH53"/>
    <mergeCell ref="MII53:MIM53"/>
    <mergeCell ref="MIN53:MIR53"/>
    <mergeCell ref="MIS53:MIW53"/>
    <mergeCell ref="MIX53:MJB53"/>
    <mergeCell ref="MGU53:MGY53"/>
    <mergeCell ref="MGZ53:MHD53"/>
    <mergeCell ref="MHE53:MHI53"/>
    <mergeCell ref="MHJ53:MHN53"/>
    <mergeCell ref="MHO53:MHS53"/>
    <mergeCell ref="MHT53:MHX53"/>
    <mergeCell ref="MFQ53:MFU53"/>
    <mergeCell ref="MFV53:MFZ53"/>
    <mergeCell ref="MGA53:MGE53"/>
    <mergeCell ref="MGF53:MGJ53"/>
    <mergeCell ref="MGK53:MGO53"/>
    <mergeCell ref="MGP53:MGT53"/>
    <mergeCell ref="MEM53:MEQ53"/>
    <mergeCell ref="MER53:MEV53"/>
    <mergeCell ref="MEW53:MFA53"/>
    <mergeCell ref="MFB53:MFF53"/>
    <mergeCell ref="MFG53:MFK53"/>
    <mergeCell ref="MFL53:MFP53"/>
    <mergeCell ref="MDI53:MDM53"/>
    <mergeCell ref="MDN53:MDR53"/>
    <mergeCell ref="MDS53:MDW53"/>
    <mergeCell ref="MDX53:MEB53"/>
    <mergeCell ref="MEC53:MEG53"/>
    <mergeCell ref="MEH53:MEL53"/>
    <mergeCell ref="MCE53:MCI53"/>
    <mergeCell ref="MCJ53:MCN53"/>
    <mergeCell ref="MCO53:MCS53"/>
    <mergeCell ref="MCT53:MCX53"/>
    <mergeCell ref="MCY53:MDC53"/>
    <mergeCell ref="MDD53:MDH53"/>
    <mergeCell ref="MBA53:MBE53"/>
    <mergeCell ref="MBF53:MBJ53"/>
    <mergeCell ref="MBK53:MBO53"/>
    <mergeCell ref="MBP53:MBT53"/>
    <mergeCell ref="MBU53:MBY53"/>
    <mergeCell ref="MBZ53:MCD53"/>
    <mergeCell ref="LZW53:MAA53"/>
    <mergeCell ref="MAB53:MAF53"/>
    <mergeCell ref="MAG53:MAK53"/>
    <mergeCell ref="MAL53:MAP53"/>
    <mergeCell ref="MAQ53:MAU53"/>
    <mergeCell ref="MAV53:MAZ53"/>
    <mergeCell ref="LYS53:LYW53"/>
    <mergeCell ref="LYX53:LZB53"/>
    <mergeCell ref="LZC53:LZG53"/>
    <mergeCell ref="LZH53:LZL53"/>
    <mergeCell ref="LZM53:LZQ53"/>
    <mergeCell ref="LZR53:LZV53"/>
    <mergeCell ref="LXO53:LXS53"/>
    <mergeCell ref="LXT53:LXX53"/>
    <mergeCell ref="LXY53:LYC53"/>
    <mergeCell ref="LYD53:LYH53"/>
    <mergeCell ref="LYI53:LYM53"/>
    <mergeCell ref="LYN53:LYR53"/>
    <mergeCell ref="LWK53:LWO53"/>
    <mergeCell ref="LWP53:LWT53"/>
    <mergeCell ref="LWU53:LWY53"/>
    <mergeCell ref="LWZ53:LXD53"/>
    <mergeCell ref="LXE53:LXI53"/>
    <mergeCell ref="LXJ53:LXN53"/>
    <mergeCell ref="LVG53:LVK53"/>
    <mergeCell ref="LVL53:LVP53"/>
    <mergeCell ref="LVQ53:LVU53"/>
    <mergeCell ref="LVV53:LVZ53"/>
    <mergeCell ref="LWA53:LWE53"/>
    <mergeCell ref="LWF53:LWJ53"/>
    <mergeCell ref="LUC53:LUG53"/>
    <mergeCell ref="LUH53:LUL53"/>
    <mergeCell ref="LUM53:LUQ53"/>
    <mergeCell ref="LUR53:LUV53"/>
    <mergeCell ref="LUW53:LVA53"/>
    <mergeCell ref="LVB53:LVF53"/>
    <mergeCell ref="LSY53:LTC53"/>
    <mergeCell ref="LTD53:LTH53"/>
    <mergeCell ref="LTI53:LTM53"/>
    <mergeCell ref="LTN53:LTR53"/>
    <mergeCell ref="LTS53:LTW53"/>
    <mergeCell ref="LTX53:LUB53"/>
    <mergeCell ref="LRU53:LRY53"/>
    <mergeCell ref="LRZ53:LSD53"/>
    <mergeCell ref="LSE53:LSI53"/>
    <mergeCell ref="LSJ53:LSN53"/>
    <mergeCell ref="LSO53:LSS53"/>
    <mergeCell ref="LST53:LSX53"/>
    <mergeCell ref="LQQ53:LQU53"/>
    <mergeCell ref="LQV53:LQZ53"/>
    <mergeCell ref="LRA53:LRE53"/>
    <mergeCell ref="LRF53:LRJ53"/>
    <mergeCell ref="LRK53:LRO53"/>
    <mergeCell ref="LRP53:LRT53"/>
    <mergeCell ref="LPM53:LPQ53"/>
    <mergeCell ref="LPR53:LPV53"/>
    <mergeCell ref="LPW53:LQA53"/>
    <mergeCell ref="LQB53:LQF53"/>
    <mergeCell ref="LQG53:LQK53"/>
    <mergeCell ref="LQL53:LQP53"/>
    <mergeCell ref="LOI53:LOM53"/>
    <mergeCell ref="LON53:LOR53"/>
    <mergeCell ref="LOS53:LOW53"/>
    <mergeCell ref="LOX53:LPB53"/>
    <mergeCell ref="LPC53:LPG53"/>
    <mergeCell ref="LPH53:LPL53"/>
    <mergeCell ref="LNE53:LNI53"/>
    <mergeCell ref="LNJ53:LNN53"/>
    <mergeCell ref="LNO53:LNS53"/>
    <mergeCell ref="LNT53:LNX53"/>
    <mergeCell ref="LNY53:LOC53"/>
    <mergeCell ref="LOD53:LOH53"/>
    <mergeCell ref="LMA53:LME53"/>
    <mergeCell ref="LMF53:LMJ53"/>
    <mergeCell ref="LMK53:LMO53"/>
    <mergeCell ref="LMP53:LMT53"/>
    <mergeCell ref="LMU53:LMY53"/>
    <mergeCell ref="LMZ53:LND53"/>
    <mergeCell ref="LKW53:LLA53"/>
    <mergeCell ref="LLB53:LLF53"/>
    <mergeCell ref="LLG53:LLK53"/>
    <mergeCell ref="LLL53:LLP53"/>
    <mergeCell ref="LLQ53:LLU53"/>
    <mergeCell ref="LLV53:LLZ53"/>
    <mergeCell ref="LJS53:LJW53"/>
    <mergeCell ref="LJX53:LKB53"/>
    <mergeCell ref="LKC53:LKG53"/>
    <mergeCell ref="LKH53:LKL53"/>
    <mergeCell ref="LKM53:LKQ53"/>
    <mergeCell ref="LKR53:LKV53"/>
    <mergeCell ref="LIO53:LIS53"/>
    <mergeCell ref="LIT53:LIX53"/>
    <mergeCell ref="LIY53:LJC53"/>
    <mergeCell ref="LJD53:LJH53"/>
    <mergeCell ref="LJI53:LJM53"/>
    <mergeCell ref="LJN53:LJR53"/>
    <mergeCell ref="LHK53:LHO53"/>
    <mergeCell ref="LHP53:LHT53"/>
    <mergeCell ref="LHU53:LHY53"/>
    <mergeCell ref="LHZ53:LID53"/>
    <mergeCell ref="LIE53:LII53"/>
    <mergeCell ref="LIJ53:LIN53"/>
    <mergeCell ref="LGG53:LGK53"/>
    <mergeCell ref="LGL53:LGP53"/>
    <mergeCell ref="LGQ53:LGU53"/>
    <mergeCell ref="LGV53:LGZ53"/>
    <mergeCell ref="LHA53:LHE53"/>
    <mergeCell ref="LHF53:LHJ53"/>
    <mergeCell ref="LFC53:LFG53"/>
    <mergeCell ref="LFH53:LFL53"/>
    <mergeCell ref="LFM53:LFQ53"/>
    <mergeCell ref="LFR53:LFV53"/>
    <mergeCell ref="LFW53:LGA53"/>
    <mergeCell ref="LGB53:LGF53"/>
    <mergeCell ref="LDY53:LEC53"/>
    <mergeCell ref="LED53:LEH53"/>
    <mergeCell ref="LEI53:LEM53"/>
    <mergeCell ref="LEN53:LER53"/>
    <mergeCell ref="LES53:LEW53"/>
    <mergeCell ref="LEX53:LFB53"/>
    <mergeCell ref="LCU53:LCY53"/>
    <mergeCell ref="LCZ53:LDD53"/>
    <mergeCell ref="LDE53:LDI53"/>
    <mergeCell ref="LDJ53:LDN53"/>
    <mergeCell ref="LDO53:LDS53"/>
    <mergeCell ref="LDT53:LDX53"/>
    <mergeCell ref="LBQ53:LBU53"/>
    <mergeCell ref="LBV53:LBZ53"/>
    <mergeCell ref="LCA53:LCE53"/>
    <mergeCell ref="LCF53:LCJ53"/>
    <mergeCell ref="LCK53:LCO53"/>
    <mergeCell ref="LCP53:LCT53"/>
    <mergeCell ref="LAM53:LAQ53"/>
    <mergeCell ref="LAR53:LAV53"/>
    <mergeCell ref="LAW53:LBA53"/>
    <mergeCell ref="LBB53:LBF53"/>
    <mergeCell ref="LBG53:LBK53"/>
    <mergeCell ref="LBL53:LBP53"/>
    <mergeCell ref="KZI53:KZM53"/>
    <mergeCell ref="KZN53:KZR53"/>
    <mergeCell ref="KZS53:KZW53"/>
    <mergeCell ref="KZX53:LAB53"/>
    <mergeCell ref="LAC53:LAG53"/>
    <mergeCell ref="LAH53:LAL53"/>
    <mergeCell ref="KYE53:KYI53"/>
    <mergeCell ref="KYJ53:KYN53"/>
    <mergeCell ref="KYO53:KYS53"/>
    <mergeCell ref="KYT53:KYX53"/>
    <mergeCell ref="KYY53:KZC53"/>
    <mergeCell ref="KZD53:KZH53"/>
    <mergeCell ref="KXA53:KXE53"/>
    <mergeCell ref="KXF53:KXJ53"/>
    <mergeCell ref="KXK53:KXO53"/>
    <mergeCell ref="KXP53:KXT53"/>
    <mergeCell ref="KXU53:KXY53"/>
    <mergeCell ref="KXZ53:KYD53"/>
    <mergeCell ref="KVW53:KWA53"/>
    <mergeCell ref="KWB53:KWF53"/>
    <mergeCell ref="KWG53:KWK53"/>
    <mergeCell ref="KWL53:KWP53"/>
    <mergeCell ref="KWQ53:KWU53"/>
    <mergeCell ref="KWV53:KWZ53"/>
    <mergeCell ref="KUS53:KUW53"/>
    <mergeCell ref="KUX53:KVB53"/>
    <mergeCell ref="KVC53:KVG53"/>
    <mergeCell ref="KVH53:KVL53"/>
    <mergeCell ref="KVM53:KVQ53"/>
    <mergeCell ref="KVR53:KVV53"/>
    <mergeCell ref="KTO53:KTS53"/>
    <mergeCell ref="KTT53:KTX53"/>
    <mergeCell ref="KTY53:KUC53"/>
    <mergeCell ref="KUD53:KUH53"/>
    <mergeCell ref="KUI53:KUM53"/>
    <mergeCell ref="KUN53:KUR53"/>
    <mergeCell ref="KSK53:KSO53"/>
    <mergeCell ref="KSP53:KST53"/>
    <mergeCell ref="KSU53:KSY53"/>
    <mergeCell ref="KSZ53:KTD53"/>
    <mergeCell ref="KTE53:KTI53"/>
    <mergeCell ref="KTJ53:KTN53"/>
    <mergeCell ref="KRG53:KRK53"/>
    <mergeCell ref="KRL53:KRP53"/>
    <mergeCell ref="KRQ53:KRU53"/>
    <mergeCell ref="KRV53:KRZ53"/>
    <mergeCell ref="KSA53:KSE53"/>
    <mergeCell ref="KSF53:KSJ53"/>
    <mergeCell ref="KQC53:KQG53"/>
    <mergeCell ref="KQH53:KQL53"/>
    <mergeCell ref="KQM53:KQQ53"/>
    <mergeCell ref="KQR53:KQV53"/>
    <mergeCell ref="KQW53:KRA53"/>
    <mergeCell ref="KRB53:KRF53"/>
    <mergeCell ref="KOY53:KPC53"/>
    <mergeCell ref="KPD53:KPH53"/>
    <mergeCell ref="KPI53:KPM53"/>
    <mergeCell ref="KPN53:KPR53"/>
    <mergeCell ref="KPS53:KPW53"/>
    <mergeCell ref="KPX53:KQB53"/>
    <mergeCell ref="KNU53:KNY53"/>
    <mergeCell ref="KNZ53:KOD53"/>
    <mergeCell ref="KOE53:KOI53"/>
    <mergeCell ref="KOJ53:KON53"/>
    <mergeCell ref="KOO53:KOS53"/>
    <mergeCell ref="KOT53:KOX53"/>
    <mergeCell ref="KMQ53:KMU53"/>
    <mergeCell ref="KMV53:KMZ53"/>
    <mergeCell ref="KNA53:KNE53"/>
    <mergeCell ref="KNF53:KNJ53"/>
    <mergeCell ref="KNK53:KNO53"/>
    <mergeCell ref="KNP53:KNT53"/>
    <mergeCell ref="KLM53:KLQ53"/>
    <mergeCell ref="KLR53:KLV53"/>
    <mergeCell ref="KLW53:KMA53"/>
    <mergeCell ref="KMB53:KMF53"/>
    <mergeCell ref="KMG53:KMK53"/>
    <mergeCell ref="KML53:KMP53"/>
    <mergeCell ref="KKI53:KKM53"/>
    <mergeCell ref="KKN53:KKR53"/>
    <mergeCell ref="KKS53:KKW53"/>
    <mergeCell ref="KKX53:KLB53"/>
    <mergeCell ref="KLC53:KLG53"/>
    <mergeCell ref="KLH53:KLL53"/>
    <mergeCell ref="KJE53:KJI53"/>
    <mergeCell ref="KJJ53:KJN53"/>
    <mergeCell ref="KJO53:KJS53"/>
    <mergeCell ref="KJT53:KJX53"/>
    <mergeCell ref="KJY53:KKC53"/>
    <mergeCell ref="KKD53:KKH53"/>
    <mergeCell ref="KIA53:KIE53"/>
    <mergeCell ref="KIF53:KIJ53"/>
    <mergeCell ref="KIK53:KIO53"/>
    <mergeCell ref="KIP53:KIT53"/>
    <mergeCell ref="KIU53:KIY53"/>
    <mergeCell ref="KIZ53:KJD53"/>
    <mergeCell ref="KGW53:KHA53"/>
    <mergeCell ref="KHB53:KHF53"/>
    <mergeCell ref="KHG53:KHK53"/>
    <mergeCell ref="KHL53:KHP53"/>
    <mergeCell ref="KHQ53:KHU53"/>
    <mergeCell ref="KHV53:KHZ53"/>
    <mergeCell ref="KFS53:KFW53"/>
    <mergeCell ref="KFX53:KGB53"/>
    <mergeCell ref="KGC53:KGG53"/>
    <mergeCell ref="KGH53:KGL53"/>
    <mergeCell ref="KGM53:KGQ53"/>
    <mergeCell ref="KGR53:KGV53"/>
    <mergeCell ref="KEO53:KES53"/>
    <mergeCell ref="KET53:KEX53"/>
    <mergeCell ref="KEY53:KFC53"/>
    <mergeCell ref="KFD53:KFH53"/>
    <mergeCell ref="KFI53:KFM53"/>
    <mergeCell ref="KFN53:KFR53"/>
    <mergeCell ref="KDK53:KDO53"/>
    <mergeCell ref="KDP53:KDT53"/>
    <mergeCell ref="KDU53:KDY53"/>
    <mergeCell ref="KDZ53:KED53"/>
    <mergeCell ref="KEE53:KEI53"/>
    <mergeCell ref="KEJ53:KEN53"/>
    <mergeCell ref="KCG53:KCK53"/>
    <mergeCell ref="KCL53:KCP53"/>
    <mergeCell ref="KCQ53:KCU53"/>
    <mergeCell ref="KCV53:KCZ53"/>
    <mergeCell ref="KDA53:KDE53"/>
    <mergeCell ref="KDF53:KDJ53"/>
    <mergeCell ref="KBC53:KBG53"/>
    <mergeCell ref="KBH53:KBL53"/>
    <mergeCell ref="KBM53:KBQ53"/>
    <mergeCell ref="KBR53:KBV53"/>
    <mergeCell ref="KBW53:KCA53"/>
    <mergeCell ref="KCB53:KCF53"/>
    <mergeCell ref="JZY53:KAC53"/>
    <mergeCell ref="KAD53:KAH53"/>
    <mergeCell ref="KAI53:KAM53"/>
    <mergeCell ref="KAN53:KAR53"/>
    <mergeCell ref="KAS53:KAW53"/>
    <mergeCell ref="KAX53:KBB53"/>
    <mergeCell ref="JYU53:JYY53"/>
    <mergeCell ref="JYZ53:JZD53"/>
    <mergeCell ref="JZE53:JZI53"/>
    <mergeCell ref="JZJ53:JZN53"/>
    <mergeCell ref="JZO53:JZS53"/>
    <mergeCell ref="JZT53:JZX53"/>
    <mergeCell ref="JXQ53:JXU53"/>
    <mergeCell ref="JXV53:JXZ53"/>
    <mergeCell ref="JYA53:JYE53"/>
    <mergeCell ref="JYF53:JYJ53"/>
    <mergeCell ref="JYK53:JYO53"/>
    <mergeCell ref="JYP53:JYT53"/>
    <mergeCell ref="JWM53:JWQ53"/>
    <mergeCell ref="JWR53:JWV53"/>
    <mergeCell ref="JWW53:JXA53"/>
    <mergeCell ref="JXB53:JXF53"/>
    <mergeCell ref="JXG53:JXK53"/>
    <mergeCell ref="JXL53:JXP53"/>
    <mergeCell ref="JVI53:JVM53"/>
    <mergeCell ref="JVN53:JVR53"/>
    <mergeCell ref="JVS53:JVW53"/>
    <mergeCell ref="JVX53:JWB53"/>
    <mergeCell ref="JWC53:JWG53"/>
    <mergeCell ref="JWH53:JWL53"/>
    <mergeCell ref="JUE53:JUI53"/>
    <mergeCell ref="JUJ53:JUN53"/>
    <mergeCell ref="JUO53:JUS53"/>
    <mergeCell ref="JUT53:JUX53"/>
    <mergeCell ref="JUY53:JVC53"/>
    <mergeCell ref="JVD53:JVH53"/>
    <mergeCell ref="JTA53:JTE53"/>
    <mergeCell ref="JTF53:JTJ53"/>
    <mergeCell ref="JTK53:JTO53"/>
    <mergeCell ref="JTP53:JTT53"/>
    <mergeCell ref="JTU53:JTY53"/>
    <mergeCell ref="JTZ53:JUD53"/>
    <mergeCell ref="JRW53:JSA53"/>
    <mergeCell ref="JSB53:JSF53"/>
    <mergeCell ref="JSG53:JSK53"/>
    <mergeCell ref="JSL53:JSP53"/>
    <mergeCell ref="JSQ53:JSU53"/>
    <mergeCell ref="JSV53:JSZ53"/>
    <mergeCell ref="JQS53:JQW53"/>
    <mergeCell ref="JQX53:JRB53"/>
    <mergeCell ref="JRC53:JRG53"/>
    <mergeCell ref="JRH53:JRL53"/>
    <mergeCell ref="JRM53:JRQ53"/>
    <mergeCell ref="JRR53:JRV53"/>
    <mergeCell ref="JPO53:JPS53"/>
    <mergeCell ref="JPT53:JPX53"/>
    <mergeCell ref="JPY53:JQC53"/>
    <mergeCell ref="JQD53:JQH53"/>
    <mergeCell ref="JQI53:JQM53"/>
    <mergeCell ref="JQN53:JQR53"/>
    <mergeCell ref="JOK53:JOO53"/>
    <mergeCell ref="JOP53:JOT53"/>
    <mergeCell ref="JOU53:JOY53"/>
    <mergeCell ref="JOZ53:JPD53"/>
    <mergeCell ref="JPE53:JPI53"/>
    <mergeCell ref="JPJ53:JPN53"/>
    <mergeCell ref="JNG53:JNK53"/>
    <mergeCell ref="JNL53:JNP53"/>
    <mergeCell ref="JNQ53:JNU53"/>
    <mergeCell ref="JNV53:JNZ53"/>
    <mergeCell ref="JOA53:JOE53"/>
    <mergeCell ref="JOF53:JOJ53"/>
    <mergeCell ref="JMC53:JMG53"/>
    <mergeCell ref="JMH53:JML53"/>
    <mergeCell ref="JMM53:JMQ53"/>
    <mergeCell ref="JMR53:JMV53"/>
    <mergeCell ref="JMW53:JNA53"/>
    <mergeCell ref="JNB53:JNF53"/>
    <mergeCell ref="JKY53:JLC53"/>
    <mergeCell ref="JLD53:JLH53"/>
    <mergeCell ref="JLI53:JLM53"/>
    <mergeCell ref="JLN53:JLR53"/>
    <mergeCell ref="JLS53:JLW53"/>
    <mergeCell ref="JLX53:JMB53"/>
    <mergeCell ref="JJU53:JJY53"/>
    <mergeCell ref="JJZ53:JKD53"/>
    <mergeCell ref="JKE53:JKI53"/>
    <mergeCell ref="JKJ53:JKN53"/>
    <mergeCell ref="JKO53:JKS53"/>
    <mergeCell ref="JKT53:JKX53"/>
    <mergeCell ref="JIQ53:JIU53"/>
    <mergeCell ref="JIV53:JIZ53"/>
    <mergeCell ref="JJA53:JJE53"/>
    <mergeCell ref="JJF53:JJJ53"/>
    <mergeCell ref="JJK53:JJO53"/>
    <mergeCell ref="JJP53:JJT53"/>
    <mergeCell ref="JHM53:JHQ53"/>
    <mergeCell ref="JHR53:JHV53"/>
    <mergeCell ref="JHW53:JIA53"/>
    <mergeCell ref="JIB53:JIF53"/>
    <mergeCell ref="JIG53:JIK53"/>
    <mergeCell ref="JIL53:JIP53"/>
    <mergeCell ref="JGI53:JGM53"/>
    <mergeCell ref="JGN53:JGR53"/>
    <mergeCell ref="JGS53:JGW53"/>
    <mergeCell ref="JGX53:JHB53"/>
    <mergeCell ref="JHC53:JHG53"/>
    <mergeCell ref="JHH53:JHL53"/>
    <mergeCell ref="JFE53:JFI53"/>
    <mergeCell ref="JFJ53:JFN53"/>
    <mergeCell ref="JFO53:JFS53"/>
    <mergeCell ref="JFT53:JFX53"/>
    <mergeCell ref="JFY53:JGC53"/>
    <mergeCell ref="JGD53:JGH53"/>
    <mergeCell ref="JEA53:JEE53"/>
    <mergeCell ref="JEF53:JEJ53"/>
    <mergeCell ref="JEK53:JEO53"/>
    <mergeCell ref="JEP53:JET53"/>
    <mergeCell ref="JEU53:JEY53"/>
    <mergeCell ref="JEZ53:JFD53"/>
    <mergeCell ref="JCW53:JDA53"/>
    <mergeCell ref="JDB53:JDF53"/>
    <mergeCell ref="JDG53:JDK53"/>
    <mergeCell ref="JDL53:JDP53"/>
    <mergeCell ref="JDQ53:JDU53"/>
    <mergeCell ref="JDV53:JDZ53"/>
    <mergeCell ref="JBS53:JBW53"/>
    <mergeCell ref="JBX53:JCB53"/>
    <mergeCell ref="JCC53:JCG53"/>
    <mergeCell ref="JCH53:JCL53"/>
    <mergeCell ref="JCM53:JCQ53"/>
    <mergeCell ref="JCR53:JCV53"/>
    <mergeCell ref="JAO53:JAS53"/>
    <mergeCell ref="JAT53:JAX53"/>
    <mergeCell ref="JAY53:JBC53"/>
    <mergeCell ref="JBD53:JBH53"/>
    <mergeCell ref="JBI53:JBM53"/>
    <mergeCell ref="JBN53:JBR53"/>
    <mergeCell ref="IZK53:IZO53"/>
    <mergeCell ref="IZP53:IZT53"/>
    <mergeCell ref="IZU53:IZY53"/>
    <mergeCell ref="IZZ53:JAD53"/>
    <mergeCell ref="JAE53:JAI53"/>
    <mergeCell ref="JAJ53:JAN53"/>
    <mergeCell ref="IYG53:IYK53"/>
    <mergeCell ref="IYL53:IYP53"/>
    <mergeCell ref="IYQ53:IYU53"/>
    <mergeCell ref="IYV53:IYZ53"/>
    <mergeCell ref="IZA53:IZE53"/>
    <mergeCell ref="IZF53:IZJ53"/>
    <mergeCell ref="IXC53:IXG53"/>
    <mergeCell ref="IXH53:IXL53"/>
    <mergeCell ref="IXM53:IXQ53"/>
    <mergeCell ref="IXR53:IXV53"/>
    <mergeCell ref="IXW53:IYA53"/>
    <mergeCell ref="IYB53:IYF53"/>
    <mergeCell ref="IVY53:IWC53"/>
    <mergeCell ref="IWD53:IWH53"/>
    <mergeCell ref="IWI53:IWM53"/>
    <mergeCell ref="IWN53:IWR53"/>
    <mergeCell ref="IWS53:IWW53"/>
    <mergeCell ref="IWX53:IXB53"/>
    <mergeCell ref="IUU53:IUY53"/>
    <mergeCell ref="IUZ53:IVD53"/>
    <mergeCell ref="IVE53:IVI53"/>
    <mergeCell ref="IVJ53:IVN53"/>
    <mergeCell ref="IVO53:IVS53"/>
    <mergeCell ref="IVT53:IVX53"/>
    <mergeCell ref="ITQ53:ITU53"/>
    <mergeCell ref="ITV53:ITZ53"/>
    <mergeCell ref="IUA53:IUE53"/>
    <mergeCell ref="IUF53:IUJ53"/>
    <mergeCell ref="IUK53:IUO53"/>
    <mergeCell ref="IUP53:IUT53"/>
    <mergeCell ref="ISM53:ISQ53"/>
    <mergeCell ref="ISR53:ISV53"/>
    <mergeCell ref="ISW53:ITA53"/>
    <mergeCell ref="ITB53:ITF53"/>
    <mergeCell ref="ITG53:ITK53"/>
    <mergeCell ref="ITL53:ITP53"/>
    <mergeCell ref="IRI53:IRM53"/>
    <mergeCell ref="IRN53:IRR53"/>
    <mergeCell ref="IRS53:IRW53"/>
    <mergeCell ref="IRX53:ISB53"/>
    <mergeCell ref="ISC53:ISG53"/>
    <mergeCell ref="ISH53:ISL53"/>
    <mergeCell ref="IQE53:IQI53"/>
    <mergeCell ref="IQJ53:IQN53"/>
    <mergeCell ref="IQO53:IQS53"/>
    <mergeCell ref="IQT53:IQX53"/>
    <mergeCell ref="IQY53:IRC53"/>
    <mergeCell ref="IRD53:IRH53"/>
    <mergeCell ref="IPA53:IPE53"/>
    <mergeCell ref="IPF53:IPJ53"/>
    <mergeCell ref="IPK53:IPO53"/>
    <mergeCell ref="IPP53:IPT53"/>
    <mergeCell ref="IPU53:IPY53"/>
    <mergeCell ref="IPZ53:IQD53"/>
    <mergeCell ref="INW53:IOA53"/>
    <mergeCell ref="IOB53:IOF53"/>
    <mergeCell ref="IOG53:IOK53"/>
    <mergeCell ref="IOL53:IOP53"/>
    <mergeCell ref="IOQ53:IOU53"/>
    <mergeCell ref="IOV53:IOZ53"/>
    <mergeCell ref="IMS53:IMW53"/>
    <mergeCell ref="IMX53:INB53"/>
    <mergeCell ref="INC53:ING53"/>
    <mergeCell ref="INH53:INL53"/>
    <mergeCell ref="INM53:INQ53"/>
    <mergeCell ref="INR53:INV53"/>
    <mergeCell ref="ILO53:ILS53"/>
    <mergeCell ref="ILT53:ILX53"/>
    <mergeCell ref="ILY53:IMC53"/>
    <mergeCell ref="IMD53:IMH53"/>
    <mergeCell ref="IMI53:IMM53"/>
    <mergeCell ref="IMN53:IMR53"/>
    <mergeCell ref="IKK53:IKO53"/>
    <mergeCell ref="IKP53:IKT53"/>
    <mergeCell ref="IKU53:IKY53"/>
    <mergeCell ref="IKZ53:ILD53"/>
    <mergeCell ref="ILE53:ILI53"/>
    <mergeCell ref="ILJ53:ILN53"/>
    <mergeCell ref="IJG53:IJK53"/>
    <mergeCell ref="IJL53:IJP53"/>
    <mergeCell ref="IJQ53:IJU53"/>
    <mergeCell ref="IJV53:IJZ53"/>
    <mergeCell ref="IKA53:IKE53"/>
    <mergeCell ref="IKF53:IKJ53"/>
    <mergeCell ref="IIC53:IIG53"/>
    <mergeCell ref="IIH53:IIL53"/>
    <mergeCell ref="IIM53:IIQ53"/>
    <mergeCell ref="IIR53:IIV53"/>
    <mergeCell ref="IIW53:IJA53"/>
    <mergeCell ref="IJB53:IJF53"/>
    <mergeCell ref="IGY53:IHC53"/>
    <mergeCell ref="IHD53:IHH53"/>
    <mergeCell ref="IHI53:IHM53"/>
    <mergeCell ref="IHN53:IHR53"/>
    <mergeCell ref="IHS53:IHW53"/>
    <mergeCell ref="IHX53:IIB53"/>
    <mergeCell ref="IFU53:IFY53"/>
    <mergeCell ref="IFZ53:IGD53"/>
    <mergeCell ref="IGE53:IGI53"/>
    <mergeCell ref="IGJ53:IGN53"/>
    <mergeCell ref="IGO53:IGS53"/>
    <mergeCell ref="IGT53:IGX53"/>
    <mergeCell ref="IEQ53:IEU53"/>
    <mergeCell ref="IEV53:IEZ53"/>
    <mergeCell ref="IFA53:IFE53"/>
    <mergeCell ref="IFF53:IFJ53"/>
    <mergeCell ref="IFK53:IFO53"/>
    <mergeCell ref="IFP53:IFT53"/>
    <mergeCell ref="IDM53:IDQ53"/>
    <mergeCell ref="IDR53:IDV53"/>
    <mergeCell ref="IDW53:IEA53"/>
    <mergeCell ref="IEB53:IEF53"/>
    <mergeCell ref="IEG53:IEK53"/>
    <mergeCell ref="IEL53:IEP53"/>
    <mergeCell ref="ICI53:ICM53"/>
    <mergeCell ref="ICN53:ICR53"/>
    <mergeCell ref="ICS53:ICW53"/>
    <mergeCell ref="ICX53:IDB53"/>
    <mergeCell ref="IDC53:IDG53"/>
    <mergeCell ref="IDH53:IDL53"/>
    <mergeCell ref="IBE53:IBI53"/>
    <mergeCell ref="IBJ53:IBN53"/>
    <mergeCell ref="IBO53:IBS53"/>
    <mergeCell ref="IBT53:IBX53"/>
    <mergeCell ref="IBY53:ICC53"/>
    <mergeCell ref="ICD53:ICH53"/>
    <mergeCell ref="IAA53:IAE53"/>
    <mergeCell ref="IAF53:IAJ53"/>
    <mergeCell ref="IAK53:IAO53"/>
    <mergeCell ref="IAP53:IAT53"/>
    <mergeCell ref="IAU53:IAY53"/>
    <mergeCell ref="IAZ53:IBD53"/>
    <mergeCell ref="HYW53:HZA53"/>
    <mergeCell ref="HZB53:HZF53"/>
    <mergeCell ref="HZG53:HZK53"/>
    <mergeCell ref="HZL53:HZP53"/>
    <mergeCell ref="HZQ53:HZU53"/>
    <mergeCell ref="HZV53:HZZ53"/>
    <mergeCell ref="HXS53:HXW53"/>
    <mergeCell ref="HXX53:HYB53"/>
    <mergeCell ref="HYC53:HYG53"/>
    <mergeCell ref="HYH53:HYL53"/>
    <mergeCell ref="HYM53:HYQ53"/>
    <mergeCell ref="HYR53:HYV53"/>
    <mergeCell ref="HWO53:HWS53"/>
    <mergeCell ref="HWT53:HWX53"/>
    <mergeCell ref="HWY53:HXC53"/>
    <mergeCell ref="HXD53:HXH53"/>
    <mergeCell ref="HXI53:HXM53"/>
    <mergeCell ref="HXN53:HXR53"/>
    <mergeCell ref="HVK53:HVO53"/>
    <mergeCell ref="HVP53:HVT53"/>
    <mergeCell ref="HVU53:HVY53"/>
    <mergeCell ref="HVZ53:HWD53"/>
    <mergeCell ref="HWE53:HWI53"/>
    <mergeCell ref="HWJ53:HWN53"/>
    <mergeCell ref="HUG53:HUK53"/>
    <mergeCell ref="HUL53:HUP53"/>
    <mergeCell ref="HUQ53:HUU53"/>
    <mergeCell ref="HUV53:HUZ53"/>
    <mergeCell ref="HVA53:HVE53"/>
    <mergeCell ref="HVF53:HVJ53"/>
    <mergeCell ref="HTC53:HTG53"/>
    <mergeCell ref="HTH53:HTL53"/>
    <mergeCell ref="HTM53:HTQ53"/>
    <mergeCell ref="HTR53:HTV53"/>
    <mergeCell ref="HTW53:HUA53"/>
    <mergeCell ref="HUB53:HUF53"/>
    <mergeCell ref="HRY53:HSC53"/>
    <mergeCell ref="HSD53:HSH53"/>
    <mergeCell ref="HSI53:HSM53"/>
    <mergeCell ref="HSN53:HSR53"/>
    <mergeCell ref="HSS53:HSW53"/>
    <mergeCell ref="HSX53:HTB53"/>
    <mergeCell ref="HQU53:HQY53"/>
    <mergeCell ref="HQZ53:HRD53"/>
    <mergeCell ref="HRE53:HRI53"/>
    <mergeCell ref="HRJ53:HRN53"/>
    <mergeCell ref="HRO53:HRS53"/>
    <mergeCell ref="HRT53:HRX53"/>
    <mergeCell ref="HPQ53:HPU53"/>
    <mergeCell ref="HPV53:HPZ53"/>
    <mergeCell ref="HQA53:HQE53"/>
    <mergeCell ref="HQF53:HQJ53"/>
    <mergeCell ref="HQK53:HQO53"/>
    <mergeCell ref="HQP53:HQT53"/>
    <mergeCell ref="HOM53:HOQ53"/>
    <mergeCell ref="HOR53:HOV53"/>
    <mergeCell ref="HOW53:HPA53"/>
    <mergeCell ref="HPB53:HPF53"/>
    <mergeCell ref="HPG53:HPK53"/>
    <mergeCell ref="HPL53:HPP53"/>
    <mergeCell ref="HNI53:HNM53"/>
    <mergeCell ref="HNN53:HNR53"/>
    <mergeCell ref="HNS53:HNW53"/>
    <mergeCell ref="HNX53:HOB53"/>
    <mergeCell ref="HOC53:HOG53"/>
    <mergeCell ref="HOH53:HOL53"/>
    <mergeCell ref="HME53:HMI53"/>
    <mergeCell ref="HMJ53:HMN53"/>
    <mergeCell ref="HMO53:HMS53"/>
    <mergeCell ref="HMT53:HMX53"/>
    <mergeCell ref="HMY53:HNC53"/>
    <mergeCell ref="HND53:HNH53"/>
    <mergeCell ref="HLA53:HLE53"/>
    <mergeCell ref="HLF53:HLJ53"/>
    <mergeCell ref="HLK53:HLO53"/>
    <mergeCell ref="HLP53:HLT53"/>
    <mergeCell ref="HLU53:HLY53"/>
    <mergeCell ref="HLZ53:HMD53"/>
    <mergeCell ref="HJW53:HKA53"/>
    <mergeCell ref="HKB53:HKF53"/>
    <mergeCell ref="HKG53:HKK53"/>
    <mergeCell ref="HKL53:HKP53"/>
    <mergeCell ref="HKQ53:HKU53"/>
    <mergeCell ref="HKV53:HKZ53"/>
    <mergeCell ref="HIS53:HIW53"/>
    <mergeCell ref="HIX53:HJB53"/>
    <mergeCell ref="HJC53:HJG53"/>
    <mergeCell ref="HJH53:HJL53"/>
    <mergeCell ref="HJM53:HJQ53"/>
    <mergeCell ref="HJR53:HJV53"/>
    <mergeCell ref="HHO53:HHS53"/>
    <mergeCell ref="HHT53:HHX53"/>
    <mergeCell ref="HHY53:HIC53"/>
    <mergeCell ref="HID53:HIH53"/>
    <mergeCell ref="HII53:HIM53"/>
    <mergeCell ref="HIN53:HIR53"/>
    <mergeCell ref="HGK53:HGO53"/>
    <mergeCell ref="HGP53:HGT53"/>
    <mergeCell ref="HGU53:HGY53"/>
    <mergeCell ref="HGZ53:HHD53"/>
    <mergeCell ref="HHE53:HHI53"/>
    <mergeCell ref="HHJ53:HHN53"/>
    <mergeCell ref="HFG53:HFK53"/>
    <mergeCell ref="HFL53:HFP53"/>
    <mergeCell ref="HFQ53:HFU53"/>
    <mergeCell ref="HFV53:HFZ53"/>
    <mergeCell ref="HGA53:HGE53"/>
    <mergeCell ref="HGF53:HGJ53"/>
    <mergeCell ref="HEC53:HEG53"/>
    <mergeCell ref="HEH53:HEL53"/>
    <mergeCell ref="HEM53:HEQ53"/>
    <mergeCell ref="HER53:HEV53"/>
    <mergeCell ref="HEW53:HFA53"/>
    <mergeCell ref="HFB53:HFF53"/>
    <mergeCell ref="HCY53:HDC53"/>
    <mergeCell ref="HDD53:HDH53"/>
    <mergeCell ref="HDI53:HDM53"/>
    <mergeCell ref="HDN53:HDR53"/>
    <mergeCell ref="HDS53:HDW53"/>
    <mergeCell ref="HDX53:HEB53"/>
    <mergeCell ref="HBU53:HBY53"/>
    <mergeCell ref="HBZ53:HCD53"/>
    <mergeCell ref="HCE53:HCI53"/>
    <mergeCell ref="HCJ53:HCN53"/>
    <mergeCell ref="HCO53:HCS53"/>
    <mergeCell ref="HCT53:HCX53"/>
    <mergeCell ref="HAQ53:HAU53"/>
    <mergeCell ref="HAV53:HAZ53"/>
    <mergeCell ref="HBA53:HBE53"/>
    <mergeCell ref="HBF53:HBJ53"/>
    <mergeCell ref="HBK53:HBO53"/>
    <mergeCell ref="HBP53:HBT53"/>
    <mergeCell ref="GZM53:GZQ53"/>
    <mergeCell ref="GZR53:GZV53"/>
    <mergeCell ref="GZW53:HAA53"/>
    <mergeCell ref="HAB53:HAF53"/>
    <mergeCell ref="HAG53:HAK53"/>
    <mergeCell ref="HAL53:HAP53"/>
    <mergeCell ref="GYI53:GYM53"/>
    <mergeCell ref="GYN53:GYR53"/>
    <mergeCell ref="GYS53:GYW53"/>
    <mergeCell ref="GYX53:GZB53"/>
    <mergeCell ref="GZC53:GZG53"/>
    <mergeCell ref="GZH53:GZL53"/>
    <mergeCell ref="GXE53:GXI53"/>
    <mergeCell ref="GXJ53:GXN53"/>
    <mergeCell ref="GXO53:GXS53"/>
    <mergeCell ref="GXT53:GXX53"/>
    <mergeCell ref="GXY53:GYC53"/>
    <mergeCell ref="GYD53:GYH53"/>
    <mergeCell ref="GWA53:GWE53"/>
    <mergeCell ref="GWF53:GWJ53"/>
    <mergeCell ref="GWK53:GWO53"/>
    <mergeCell ref="GWP53:GWT53"/>
    <mergeCell ref="GWU53:GWY53"/>
    <mergeCell ref="GWZ53:GXD53"/>
    <mergeCell ref="GUW53:GVA53"/>
    <mergeCell ref="GVB53:GVF53"/>
    <mergeCell ref="GVG53:GVK53"/>
    <mergeCell ref="GVL53:GVP53"/>
    <mergeCell ref="GVQ53:GVU53"/>
    <mergeCell ref="GVV53:GVZ53"/>
    <mergeCell ref="GTS53:GTW53"/>
    <mergeCell ref="GTX53:GUB53"/>
    <mergeCell ref="GUC53:GUG53"/>
    <mergeCell ref="GUH53:GUL53"/>
    <mergeCell ref="GUM53:GUQ53"/>
    <mergeCell ref="GUR53:GUV53"/>
    <mergeCell ref="GSO53:GSS53"/>
    <mergeCell ref="GST53:GSX53"/>
    <mergeCell ref="GSY53:GTC53"/>
    <mergeCell ref="GTD53:GTH53"/>
    <mergeCell ref="GTI53:GTM53"/>
    <mergeCell ref="GTN53:GTR53"/>
    <mergeCell ref="GRK53:GRO53"/>
    <mergeCell ref="GRP53:GRT53"/>
    <mergeCell ref="GRU53:GRY53"/>
    <mergeCell ref="GRZ53:GSD53"/>
    <mergeCell ref="GSE53:GSI53"/>
    <mergeCell ref="GSJ53:GSN53"/>
    <mergeCell ref="GQG53:GQK53"/>
    <mergeCell ref="GQL53:GQP53"/>
    <mergeCell ref="GQQ53:GQU53"/>
    <mergeCell ref="GQV53:GQZ53"/>
    <mergeCell ref="GRA53:GRE53"/>
    <mergeCell ref="GRF53:GRJ53"/>
    <mergeCell ref="GPC53:GPG53"/>
    <mergeCell ref="GPH53:GPL53"/>
    <mergeCell ref="GPM53:GPQ53"/>
    <mergeCell ref="GPR53:GPV53"/>
    <mergeCell ref="GPW53:GQA53"/>
    <mergeCell ref="GQB53:GQF53"/>
    <mergeCell ref="GNY53:GOC53"/>
    <mergeCell ref="GOD53:GOH53"/>
    <mergeCell ref="GOI53:GOM53"/>
    <mergeCell ref="GON53:GOR53"/>
    <mergeCell ref="GOS53:GOW53"/>
    <mergeCell ref="GOX53:GPB53"/>
    <mergeCell ref="GMU53:GMY53"/>
    <mergeCell ref="GMZ53:GND53"/>
    <mergeCell ref="GNE53:GNI53"/>
    <mergeCell ref="GNJ53:GNN53"/>
    <mergeCell ref="GNO53:GNS53"/>
    <mergeCell ref="GNT53:GNX53"/>
    <mergeCell ref="GLQ53:GLU53"/>
    <mergeCell ref="GLV53:GLZ53"/>
    <mergeCell ref="GMA53:GME53"/>
    <mergeCell ref="GMF53:GMJ53"/>
    <mergeCell ref="GMK53:GMO53"/>
    <mergeCell ref="GMP53:GMT53"/>
    <mergeCell ref="GKM53:GKQ53"/>
    <mergeCell ref="GKR53:GKV53"/>
    <mergeCell ref="GKW53:GLA53"/>
    <mergeCell ref="GLB53:GLF53"/>
    <mergeCell ref="GLG53:GLK53"/>
    <mergeCell ref="GLL53:GLP53"/>
    <mergeCell ref="GJI53:GJM53"/>
    <mergeCell ref="GJN53:GJR53"/>
    <mergeCell ref="GJS53:GJW53"/>
    <mergeCell ref="GJX53:GKB53"/>
    <mergeCell ref="GKC53:GKG53"/>
    <mergeCell ref="GKH53:GKL53"/>
    <mergeCell ref="GIE53:GII53"/>
    <mergeCell ref="GIJ53:GIN53"/>
    <mergeCell ref="GIO53:GIS53"/>
    <mergeCell ref="GIT53:GIX53"/>
    <mergeCell ref="GIY53:GJC53"/>
    <mergeCell ref="GJD53:GJH53"/>
    <mergeCell ref="GHA53:GHE53"/>
    <mergeCell ref="GHF53:GHJ53"/>
    <mergeCell ref="GHK53:GHO53"/>
    <mergeCell ref="GHP53:GHT53"/>
    <mergeCell ref="GHU53:GHY53"/>
    <mergeCell ref="GHZ53:GID53"/>
    <mergeCell ref="GFW53:GGA53"/>
    <mergeCell ref="GGB53:GGF53"/>
    <mergeCell ref="GGG53:GGK53"/>
    <mergeCell ref="GGL53:GGP53"/>
    <mergeCell ref="GGQ53:GGU53"/>
    <mergeCell ref="GGV53:GGZ53"/>
    <mergeCell ref="GES53:GEW53"/>
    <mergeCell ref="GEX53:GFB53"/>
    <mergeCell ref="GFC53:GFG53"/>
    <mergeCell ref="GFH53:GFL53"/>
    <mergeCell ref="GFM53:GFQ53"/>
    <mergeCell ref="GFR53:GFV53"/>
    <mergeCell ref="GDO53:GDS53"/>
    <mergeCell ref="GDT53:GDX53"/>
    <mergeCell ref="GDY53:GEC53"/>
    <mergeCell ref="GED53:GEH53"/>
    <mergeCell ref="GEI53:GEM53"/>
    <mergeCell ref="GEN53:GER53"/>
    <mergeCell ref="GCK53:GCO53"/>
    <mergeCell ref="GCP53:GCT53"/>
    <mergeCell ref="GCU53:GCY53"/>
    <mergeCell ref="GCZ53:GDD53"/>
    <mergeCell ref="GDE53:GDI53"/>
    <mergeCell ref="GDJ53:GDN53"/>
    <mergeCell ref="GBG53:GBK53"/>
    <mergeCell ref="GBL53:GBP53"/>
    <mergeCell ref="GBQ53:GBU53"/>
    <mergeCell ref="GBV53:GBZ53"/>
    <mergeCell ref="GCA53:GCE53"/>
    <mergeCell ref="GCF53:GCJ53"/>
    <mergeCell ref="GAC53:GAG53"/>
    <mergeCell ref="GAH53:GAL53"/>
    <mergeCell ref="GAM53:GAQ53"/>
    <mergeCell ref="GAR53:GAV53"/>
    <mergeCell ref="GAW53:GBA53"/>
    <mergeCell ref="GBB53:GBF53"/>
    <mergeCell ref="FYY53:FZC53"/>
    <mergeCell ref="FZD53:FZH53"/>
    <mergeCell ref="FZI53:FZM53"/>
    <mergeCell ref="FZN53:FZR53"/>
    <mergeCell ref="FZS53:FZW53"/>
    <mergeCell ref="FZX53:GAB53"/>
    <mergeCell ref="FXU53:FXY53"/>
    <mergeCell ref="FXZ53:FYD53"/>
    <mergeCell ref="FYE53:FYI53"/>
    <mergeCell ref="FYJ53:FYN53"/>
    <mergeCell ref="FYO53:FYS53"/>
    <mergeCell ref="FYT53:FYX53"/>
    <mergeCell ref="FWQ53:FWU53"/>
    <mergeCell ref="FWV53:FWZ53"/>
    <mergeCell ref="FXA53:FXE53"/>
    <mergeCell ref="FXF53:FXJ53"/>
    <mergeCell ref="FXK53:FXO53"/>
    <mergeCell ref="FXP53:FXT53"/>
    <mergeCell ref="FVM53:FVQ53"/>
    <mergeCell ref="FVR53:FVV53"/>
    <mergeCell ref="FVW53:FWA53"/>
    <mergeCell ref="FWB53:FWF53"/>
    <mergeCell ref="FWG53:FWK53"/>
    <mergeCell ref="FWL53:FWP53"/>
    <mergeCell ref="FUI53:FUM53"/>
    <mergeCell ref="FUN53:FUR53"/>
    <mergeCell ref="FUS53:FUW53"/>
    <mergeCell ref="FUX53:FVB53"/>
    <mergeCell ref="FVC53:FVG53"/>
    <mergeCell ref="FVH53:FVL53"/>
    <mergeCell ref="FTE53:FTI53"/>
    <mergeCell ref="FTJ53:FTN53"/>
    <mergeCell ref="FTO53:FTS53"/>
    <mergeCell ref="FTT53:FTX53"/>
    <mergeCell ref="FTY53:FUC53"/>
    <mergeCell ref="FUD53:FUH53"/>
    <mergeCell ref="FSA53:FSE53"/>
    <mergeCell ref="FSF53:FSJ53"/>
    <mergeCell ref="FSK53:FSO53"/>
    <mergeCell ref="FSP53:FST53"/>
    <mergeCell ref="FSU53:FSY53"/>
    <mergeCell ref="FSZ53:FTD53"/>
    <mergeCell ref="FQW53:FRA53"/>
    <mergeCell ref="FRB53:FRF53"/>
    <mergeCell ref="FRG53:FRK53"/>
    <mergeCell ref="FRL53:FRP53"/>
    <mergeCell ref="FRQ53:FRU53"/>
    <mergeCell ref="FRV53:FRZ53"/>
    <mergeCell ref="FPS53:FPW53"/>
    <mergeCell ref="FPX53:FQB53"/>
    <mergeCell ref="FQC53:FQG53"/>
    <mergeCell ref="FQH53:FQL53"/>
    <mergeCell ref="FQM53:FQQ53"/>
    <mergeCell ref="FQR53:FQV53"/>
    <mergeCell ref="FOO53:FOS53"/>
    <mergeCell ref="FOT53:FOX53"/>
    <mergeCell ref="FOY53:FPC53"/>
    <mergeCell ref="FPD53:FPH53"/>
    <mergeCell ref="FPI53:FPM53"/>
    <mergeCell ref="FPN53:FPR53"/>
    <mergeCell ref="FNK53:FNO53"/>
    <mergeCell ref="FNP53:FNT53"/>
    <mergeCell ref="FNU53:FNY53"/>
    <mergeCell ref="FNZ53:FOD53"/>
    <mergeCell ref="FOE53:FOI53"/>
    <mergeCell ref="FOJ53:FON53"/>
    <mergeCell ref="FMG53:FMK53"/>
    <mergeCell ref="FML53:FMP53"/>
    <mergeCell ref="FMQ53:FMU53"/>
    <mergeCell ref="FMV53:FMZ53"/>
    <mergeCell ref="FNA53:FNE53"/>
    <mergeCell ref="FNF53:FNJ53"/>
    <mergeCell ref="FLC53:FLG53"/>
    <mergeCell ref="FLH53:FLL53"/>
    <mergeCell ref="FLM53:FLQ53"/>
    <mergeCell ref="FLR53:FLV53"/>
    <mergeCell ref="FLW53:FMA53"/>
    <mergeCell ref="FMB53:FMF53"/>
    <mergeCell ref="FJY53:FKC53"/>
    <mergeCell ref="FKD53:FKH53"/>
    <mergeCell ref="FKI53:FKM53"/>
    <mergeCell ref="FKN53:FKR53"/>
    <mergeCell ref="FKS53:FKW53"/>
    <mergeCell ref="FKX53:FLB53"/>
    <mergeCell ref="FIU53:FIY53"/>
    <mergeCell ref="FIZ53:FJD53"/>
    <mergeCell ref="FJE53:FJI53"/>
    <mergeCell ref="FJJ53:FJN53"/>
    <mergeCell ref="FJO53:FJS53"/>
    <mergeCell ref="FJT53:FJX53"/>
    <mergeCell ref="FHQ53:FHU53"/>
    <mergeCell ref="FHV53:FHZ53"/>
    <mergeCell ref="FIA53:FIE53"/>
    <mergeCell ref="FIF53:FIJ53"/>
    <mergeCell ref="FIK53:FIO53"/>
    <mergeCell ref="FIP53:FIT53"/>
    <mergeCell ref="FGM53:FGQ53"/>
    <mergeCell ref="FGR53:FGV53"/>
    <mergeCell ref="FGW53:FHA53"/>
    <mergeCell ref="FHB53:FHF53"/>
    <mergeCell ref="FHG53:FHK53"/>
    <mergeCell ref="FHL53:FHP53"/>
    <mergeCell ref="FFI53:FFM53"/>
    <mergeCell ref="FFN53:FFR53"/>
    <mergeCell ref="FFS53:FFW53"/>
    <mergeCell ref="FFX53:FGB53"/>
    <mergeCell ref="FGC53:FGG53"/>
    <mergeCell ref="FGH53:FGL53"/>
    <mergeCell ref="FEE53:FEI53"/>
    <mergeCell ref="FEJ53:FEN53"/>
    <mergeCell ref="FEO53:FES53"/>
    <mergeCell ref="FET53:FEX53"/>
    <mergeCell ref="FEY53:FFC53"/>
    <mergeCell ref="FFD53:FFH53"/>
    <mergeCell ref="FDA53:FDE53"/>
    <mergeCell ref="FDF53:FDJ53"/>
    <mergeCell ref="FDK53:FDO53"/>
    <mergeCell ref="FDP53:FDT53"/>
    <mergeCell ref="FDU53:FDY53"/>
    <mergeCell ref="FDZ53:FED53"/>
    <mergeCell ref="FBW53:FCA53"/>
    <mergeCell ref="FCB53:FCF53"/>
    <mergeCell ref="FCG53:FCK53"/>
    <mergeCell ref="FCL53:FCP53"/>
    <mergeCell ref="FCQ53:FCU53"/>
    <mergeCell ref="FCV53:FCZ53"/>
    <mergeCell ref="FAS53:FAW53"/>
    <mergeCell ref="FAX53:FBB53"/>
    <mergeCell ref="FBC53:FBG53"/>
    <mergeCell ref="FBH53:FBL53"/>
    <mergeCell ref="FBM53:FBQ53"/>
    <mergeCell ref="FBR53:FBV53"/>
    <mergeCell ref="EZO53:EZS53"/>
    <mergeCell ref="EZT53:EZX53"/>
    <mergeCell ref="EZY53:FAC53"/>
    <mergeCell ref="FAD53:FAH53"/>
    <mergeCell ref="FAI53:FAM53"/>
    <mergeCell ref="FAN53:FAR53"/>
    <mergeCell ref="EYK53:EYO53"/>
    <mergeCell ref="EYP53:EYT53"/>
    <mergeCell ref="EYU53:EYY53"/>
    <mergeCell ref="EYZ53:EZD53"/>
    <mergeCell ref="EZE53:EZI53"/>
    <mergeCell ref="EZJ53:EZN53"/>
    <mergeCell ref="EXG53:EXK53"/>
    <mergeCell ref="EXL53:EXP53"/>
    <mergeCell ref="EXQ53:EXU53"/>
    <mergeCell ref="EXV53:EXZ53"/>
    <mergeCell ref="EYA53:EYE53"/>
    <mergeCell ref="EYF53:EYJ53"/>
    <mergeCell ref="EWC53:EWG53"/>
    <mergeCell ref="EWH53:EWL53"/>
    <mergeCell ref="EWM53:EWQ53"/>
    <mergeCell ref="EWR53:EWV53"/>
    <mergeCell ref="EWW53:EXA53"/>
    <mergeCell ref="EXB53:EXF53"/>
    <mergeCell ref="EUY53:EVC53"/>
    <mergeCell ref="EVD53:EVH53"/>
    <mergeCell ref="EVI53:EVM53"/>
    <mergeCell ref="EVN53:EVR53"/>
    <mergeCell ref="EVS53:EVW53"/>
    <mergeCell ref="EVX53:EWB53"/>
    <mergeCell ref="ETU53:ETY53"/>
    <mergeCell ref="ETZ53:EUD53"/>
    <mergeCell ref="EUE53:EUI53"/>
    <mergeCell ref="EUJ53:EUN53"/>
    <mergeCell ref="EUO53:EUS53"/>
    <mergeCell ref="EUT53:EUX53"/>
    <mergeCell ref="ESQ53:ESU53"/>
    <mergeCell ref="ESV53:ESZ53"/>
    <mergeCell ref="ETA53:ETE53"/>
    <mergeCell ref="ETF53:ETJ53"/>
    <mergeCell ref="ETK53:ETO53"/>
    <mergeCell ref="ETP53:ETT53"/>
    <mergeCell ref="ERM53:ERQ53"/>
    <mergeCell ref="ERR53:ERV53"/>
    <mergeCell ref="ERW53:ESA53"/>
    <mergeCell ref="ESB53:ESF53"/>
    <mergeCell ref="ESG53:ESK53"/>
    <mergeCell ref="ESL53:ESP53"/>
    <mergeCell ref="EQI53:EQM53"/>
    <mergeCell ref="EQN53:EQR53"/>
    <mergeCell ref="EQS53:EQW53"/>
    <mergeCell ref="EQX53:ERB53"/>
    <mergeCell ref="ERC53:ERG53"/>
    <mergeCell ref="ERH53:ERL53"/>
    <mergeCell ref="EPE53:EPI53"/>
    <mergeCell ref="EPJ53:EPN53"/>
    <mergeCell ref="EPO53:EPS53"/>
    <mergeCell ref="EPT53:EPX53"/>
    <mergeCell ref="EPY53:EQC53"/>
    <mergeCell ref="EQD53:EQH53"/>
    <mergeCell ref="EOA53:EOE53"/>
    <mergeCell ref="EOF53:EOJ53"/>
    <mergeCell ref="EOK53:EOO53"/>
    <mergeCell ref="EOP53:EOT53"/>
    <mergeCell ref="EOU53:EOY53"/>
    <mergeCell ref="EOZ53:EPD53"/>
    <mergeCell ref="EMW53:ENA53"/>
    <mergeCell ref="ENB53:ENF53"/>
    <mergeCell ref="ENG53:ENK53"/>
    <mergeCell ref="ENL53:ENP53"/>
    <mergeCell ref="ENQ53:ENU53"/>
    <mergeCell ref="ENV53:ENZ53"/>
    <mergeCell ref="ELS53:ELW53"/>
    <mergeCell ref="ELX53:EMB53"/>
    <mergeCell ref="EMC53:EMG53"/>
    <mergeCell ref="EMH53:EML53"/>
    <mergeCell ref="EMM53:EMQ53"/>
    <mergeCell ref="EMR53:EMV53"/>
    <mergeCell ref="EKO53:EKS53"/>
    <mergeCell ref="EKT53:EKX53"/>
    <mergeCell ref="EKY53:ELC53"/>
    <mergeCell ref="ELD53:ELH53"/>
    <mergeCell ref="ELI53:ELM53"/>
    <mergeCell ref="ELN53:ELR53"/>
    <mergeCell ref="EJK53:EJO53"/>
    <mergeCell ref="EJP53:EJT53"/>
    <mergeCell ref="EJU53:EJY53"/>
    <mergeCell ref="EJZ53:EKD53"/>
    <mergeCell ref="EKE53:EKI53"/>
    <mergeCell ref="EKJ53:EKN53"/>
    <mergeCell ref="EIG53:EIK53"/>
    <mergeCell ref="EIL53:EIP53"/>
    <mergeCell ref="EIQ53:EIU53"/>
    <mergeCell ref="EIV53:EIZ53"/>
    <mergeCell ref="EJA53:EJE53"/>
    <mergeCell ref="EJF53:EJJ53"/>
    <mergeCell ref="EHC53:EHG53"/>
    <mergeCell ref="EHH53:EHL53"/>
    <mergeCell ref="EHM53:EHQ53"/>
    <mergeCell ref="EHR53:EHV53"/>
    <mergeCell ref="EHW53:EIA53"/>
    <mergeCell ref="EIB53:EIF53"/>
    <mergeCell ref="EFY53:EGC53"/>
    <mergeCell ref="EGD53:EGH53"/>
    <mergeCell ref="EGI53:EGM53"/>
    <mergeCell ref="EGN53:EGR53"/>
    <mergeCell ref="EGS53:EGW53"/>
    <mergeCell ref="EGX53:EHB53"/>
    <mergeCell ref="EEU53:EEY53"/>
    <mergeCell ref="EEZ53:EFD53"/>
    <mergeCell ref="EFE53:EFI53"/>
    <mergeCell ref="EFJ53:EFN53"/>
    <mergeCell ref="EFO53:EFS53"/>
    <mergeCell ref="EFT53:EFX53"/>
    <mergeCell ref="EDQ53:EDU53"/>
    <mergeCell ref="EDV53:EDZ53"/>
    <mergeCell ref="EEA53:EEE53"/>
    <mergeCell ref="EEF53:EEJ53"/>
    <mergeCell ref="EEK53:EEO53"/>
    <mergeCell ref="EEP53:EET53"/>
    <mergeCell ref="ECM53:ECQ53"/>
    <mergeCell ref="ECR53:ECV53"/>
    <mergeCell ref="ECW53:EDA53"/>
    <mergeCell ref="EDB53:EDF53"/>
    <mergeCell ref="EDG53:EDK53"/>
    <mergeCell ref="EDL53:EDP53"/>
    <mergeCell ref="EBI53:EBM53"/>
    <mergeCell ref="EBN53:EBR53"/>
    <mergeCell ref="EBS53:EBW53"/>
    <mergeCell ref="EBX53:ECB53"/>
    <mergeCell ref="ECC53:ECG53"/>
    <mergeCell ref="ECH53:ECL53"/>
    <mergeCell ref="EAE53:EAI53"/>
    <mergeCell ref="EAJ53:EAN53"/>
    <mergeCell ref="EAO53:EAS53"/>
    <mergeCell ref="EAT53:EAX53"/>
    <mergeCell ref="EAY53:EBC53"/>
    <mergeCell ref="EBD53:EBH53"/>
    <mergeCell ref="DZA53:DZE53"/>
    <mergeCell ref="DZF53:DZJ53"/>
    <mergeCell ref="DZK53:DZO53"/>
    <mergeCell ref="DZP53:DZT53"/>
    <mergeCell ref="DZU53:DZY53"/>
    <mergeCell ref="DZZ53:EAD53"/>
    <mergeCell ref="DXW53:DYA53"/>
    <mergeCell ref="DYB53:DYF53"/>
    <mergeCell ref="DYG53:DYK53"/>
    <mergeCell ref="DYL53:DYP53"/>
    <mergeCell ref="DYQ53:DYU53"/>
    <mergeCell ref="DYV53:DYZ53"/>
    <mergeCell ref="DWS53:DWW53"/>
    <mergeCell ref="DWX53:DXB53"/>
    <mergeCell ref="DXC53:DXG53"/>
    <mergeCell ref="DXH53:DXL53"/>
    <mergeCell ref="DXM53:DXQ53"/>
    <mergeCell ref="DXR53:DXV53"/>
    <mergeCell ref="DVO53:DVS53"/>
    <mergeCell ref="DVT53:DVX53"/>
    <mergeCell ref="DVY53:DWC53"/>
    <mergeCell ref="DWD53:DWH53"/>
    <mergeCell ref="DWI53:DWM53"/>
    <mergeCell ref="DWN53:DWR53"/>
    <mergeCell ref="DUK53:DUO53"/>
    <mergeCell ref="DUP53:DUT53"/>
    <mergeCell ref="DUU53:DUY53"/>
    <mergeCell ref="DUZ53:DVD53"/>
    <mergeCell ref="DVE53:DVI53"/>
    <mergeCell ref="DVJ53:DVN53"/>
    <mergeCell ref="DTG53:DTK53"/>
    <mergeCell ref="DTL53:DTP53"/>
    <mergeCell ref="DTQ53:DTU53"/>
    <mergeCell ref="DTV53:DTZ53"/>
    <mergeCell ref="DUA53:DUE53"/>
    <mergeCell ref="DUF53:DUJ53"/>
    <mergeCell ref="DSC53:DSG53"/>
    <mergeCell ref="DSH53:DSL53"/>
    <mergeCell ref="DSM53:DSQ53"/>
    <mergeCell ref="DSR53:DSV53"/>
    <mergeCell ref="DSW53:DTA53"/>
    <mergeCell ref="DTB53:DTF53"/>
    <mergeCell ref="DQY53:DRC53"/>
    <mergeCell ref="DRD53:DRH53"/>
    <mergeCell ref="DRI53:DRM53"/>
    <mergeCell ref="DRN53:DRR53"/>
    <mergeCell ref="DRS53:DRW53"/>
    <mergeCell ref="DRX53:DSB53"/>
    <mergeCell ref="DPU53:DPY53"/>
    <mergeCell ref="DPZ53:DQD53"/>
    <mergeCell ref="DQE53:DQI53"/>
    <mergeCell ref="DQJ53:DQN53"/>
    <mergeCell ref="DQO53:DQS53"/>
    <mergeCell ref="DQT53:DQX53"/>
    <mergeCell ref="DOQ53:DOU53"/>
    <mergeCell ref="DOV53:DOZ53"/>
    <mergeCell ref="DPA53:DPE53"/>
    <mergeCell ref="DPF53:DPJ53"/>
    <mergeCell ref="DPK53:DPO53"/>
    <mergeCell ref="DPP53:DPT53"/>
    <mergeCell ref="DNM53:DNQ53"/>
    <mergeCell ref="DNR53:DNV53"/>
    <mergeCell ref="DNW53:DOA53"/>
    <mergeCell ref="DOB53:DOF53"/>
    <mergeCell ref="DOG53:DOK53"/>
    <mergeCell ref="DOL53:DOP53"/>
    <mergeCell ref="DMI53:DMM53"/>
    <mergeCell ref="DMN53:DMR53"/>
    <mergeCell ref="DMS53:DMW53"/>
    <mergeCell ref="DMX53:DNB53"/>
    <mergeCell ref="DNC53:DNG53"/>
    <mergeCell ref="DNH53:DNL53"/>
    <mergeCell ref="DLE53:DLI53"/>
    <mergeCell ref="DLJ53:DLN53"/>
    <mergeCell ref="DLO53:DLS53"/>
    <mergeCell ref="DLT53:DLX53"/>
    <mergeCell ref="DLY53:DMC53"/>
    <mergeCell ref="DMD53:DMH53"/>
    <mergeCell ref="DKA53:DKE53"/>
    <mergeCell ref="DKF53:DKJ53"/>
    <mergeCell ref="DKK53:DKO53"/>
    <mergeCell ref="DKP53:DKT53"/>
    <mergeCell ref="DKU53:DKY53"/>
    <mergeCell ref="DKZ53:DLD53"/>
    <mergeCell ref="DIW53:DJA53"/>
    <mergeCell ref="DJB53:DJF53"/>
    <mergeCell ref="DJG53:DJK53"/>
    <mergeCell ref="DJL53:DJP53"/>
    <mergeCell ref="DJQ53:DJU53"/>
    <mergeCell ref="DJV53:DJZ53"/>
    <mergeCell ref="DHS53:DHW53"/>
    <mergeCell ref="DHX53:DIB53"/>
    <mergeCell ref="DIC53:DIG53"/>
    <mergeCell ref="DIH53:DIL53"/>
    <mergeCell ref="DIM53:DIQ53"/>
    <mergeCell ref="DIR53:DIV53"/>
    <mergeCell ref="DGO53:DGS53"/>
    <mergeCell ref="DGT53:DGX53"/>
    <mergeCell ref="DGY53:DHC53"/>
    <mergeCell ref="DHD53:DHH53"/>
    <mergeCell ref="DHI53:DHM53"/>
    <mergeCell ref="DHN53:DHR53"/>
    <mergeCell ref="DFK53:DFO53"/>
    <mergeCell ref="DFP53:DFT53"/>
    <mergeCell ref="DFU53:DFY53"/>
    <mergeCell ref="DFZ53:DGD53"/>
    <mergeCell ref="DGE53:DGI53"/>
    <mergeCell ref="DGJ53:DGN53"/>
    <mergeCell ref="DEG53:DEK53"/>
    <mergeCell ref="DEL53:DEP53"/>
    <mergeCell ref="DEQ53:DEU53"/>
    <mergeCell ref="DEV53:DEZ53"/>
    <mergeCell ref="DFA53:DFE53"/>
    <mergeCell ref="DFF53:DFJ53"/>
    <mergeCell ref="DDC53:DDG53"/>
    <mergeCell ref="DDH53:DDL53"/>
    <mergeCell ref="DDM53:DDQ53"/>
    <mergeCell ref="DDR53:DDV53"/>
    <mergeCell ref="DDW53:DEA53"/>
    <mergeCell ref="DEB53:DEF53"/>
    <mergeCell ref="DBY53:DCC53"/>
    <mergeCell ref="DCD53:DCH53"/>
    <mergeCell ref="DCI53:DCM53"/>
    <mergeCell ref="DCN53:DCR53"/>
    <mergeCell ref="DCS53:DCW53"/>
    <mergeCell ref="DCX53:DDB53"/>
    <mergeCell ref="DAU53:DAY53"/>
    <mergeCell ref="DAZ53:DBD53"/>
    <mergeCell ref="DBE53:DBI53"/>
    <mergeCell ref="DBJ53:DBN53"/>
    <mergeCell ref="DBO53:DBS53"/>
    <mergeCell ref="DBT53:DBX53"/>
    <mergeCell ref="CZQ53:CZU53"/>
    <mergeCell ref="CZV53:CZZ53"/>
    <mergeCell ref="DAA53:DAE53"/>
    <mergeCell ref="DAF53:DAJ53"/>
    <mergeCell ref="DAK53:DAO53"/>
    <mergeCell ref="DAP53:DAT53"/>
    <mergeCell ref="CYM53:CYQ53"/>
    <mergeCell ref="CYR53:CYV53"/>
    <mergeCell ref="CYW53:CZA53"/>
    <mergeCell ref="CZB53:CZF53"/>
    <mergeCell ref="CZG53:CZK53"/>
    <mergeCell ref="CZL53:CZP53"/>
    <mergeCell ref="CXI53:CXM53"/>
    <mergeCell ref="CXN53:CXR53"/>
    <mergeCell ref="CXS53:CXW53"/>
    <mergeCell ref="CXX53:CYB53"/>
    <mergeCell ref="CYC53:CYG53"/>
    <mergeCell ref="CYH53:CYL53"/>
    <mergeCell ref="CWE53:CWI53"/>
    <mergeCell ref="CWJ53:CWN53"/>
    <mergeCell ref="CWO53:CWS53"/>
    <mergeCell ref="CWT53:CWX53"/>
    <mergeCell ref="CWY53:CXC53"/>
    <mergeCell ref="CXD53:CXH53"/>
    <mergeCell ref="CVA53:CVE53"/>
    <mergeCell ref="CVF53:CVJ53"/>
    <mergeCell ref="CVK53:CVO53"/>
    <mergeCell ref="CVP53:CVT53"/>
    <mergeCell ref="CVU53:CVY53"/>
    <mergeCell ref="CVZ53:CWD53"/>
    <mergeCell ref="CTW53:CUA53"/>
    <mergeCell ref="CUB53:CUF53"/>
    <mergeCell ref="CUG53:CUK53"/>
    <mergeCell ref="CUL53:CUP53"/>
    <mergeCell ref="CUQ53:CUU53"/>
    <mergeCell ref="CUV53:CUZ53"/>
    <mergeCell ref="CSS53:CSW53"/>
    <mergeCell ref="CSX53:CTB53"/>
    <mergeCell ref="CTC53:CTG53"/>
    <mergeCell ref="CTH53:CTL53"/>
    <mergeCell ref="CTM53:CTQ53"/>
    <mergeCell ref="CTR53:CTV53"/>
    <mergeCell ref="CRO53:CRS53"/>
    <mergeCell ref="CRT53:CRX53"/>
    <mergeCell ref="CRY53:CSC53"/>
    <mergeCell ref="CSD53:CSH53"/>
    <mergeCell ref="CSI53:CSM53"/>
    <mergeCell ref="CSN53:CSR53"/>
    <mergeCell ref="CQK53:CQO53"/>
    <mergeCell ref="CQP53:CQT53"/>
    <mergeCell ref="CQU53:CQY53"/>
    <mergeCell ref="CQZ53:CRD53"/>
    <mergeCell ref="CRE53:CRI53"/>
    <mergeCell ref="CRJ53:CRN53"/>
    <mergeCell ref="CPG53:CPK53"/>
    <mergeCell ref="CPL53:CPP53"/>
    <mergeCell ref="CPQ53:CPU53"/>
    <mergeCell ref="CPV53:CPZ53"/>
    <mergeCell ref="CQA53:CQE53"/>
    <mergeCell ref="CQF53:CQJ53"/>
    <mergeCell ref="COC53:COG53"/>
    <mergeCell ref="COH53:COL53"/>
    <mergeCell ref="COM53:COQ53"/>
    <mergeCell ref="COR53:COV53"/>
    <mergeCell ref="COW53:CPA53"/>
    <mergeCell ref="CPB53:CPF53"/>
    <mergeCell ref="CMY53:CNC53"/>
    <mergeCell ref="CND53:CNH53"/>
    <mergeCell ref="CNI53:CNM53"/>
    <mergeCell ref="CNN53:CNR53"/>
    <mergeCell ref="CNS53:CNW53"/>
    <mergeCell ref="CNX53:COB53"/>
    <mergeCell ref="CLU53:CLY53"/>
    <mergeCell ref="CLZ53:CMD53"/>
    <mergeCell ref="CME53:CMI53"/>
    <mergeCell ref="CMJ53:CMN53"/>
    <mergeCell ref="CMO53:CMS53"/>
    <mergeCell ref="CMT53:CMX53"/>
    <mergeCell ref="CKQ53:CKU53"/>
    <mergeCell ref="CKV53:CKZ53"/>
    <mergeCell ref="CLA53:CLE53"/>
    <mergeCell ref="CLF53:CLJ53"/>
    <mergeCell ref="CLK53:CLO53"/>
    <mergeCell ref="CLP53:CLT53"/>
    <mergeCell ref="CJM53:CJQ53"/>
    <mergeCell ref="CJR53:CJV53"/>
    <mergeCell ref="CJW53:CKA53"/>
    <mergeCell ref="CKB53:CKF53"/>
    <mergeCell ref="CKG53:CKK53"/>
    <mergeCell ref="CKL53:CKP53"/>
    <mergeCell ref="CII53:CIM53"/>
    <mergeCell ref="CIN53:CIR53"/>
    <mergeCell ref="CIS53:CIW53"/>
    <mergeCell ref="CIX53:CJB53"/>
    <mergeCell ref="CJC53:CJG53"/>
    <mergeCell ref="CJH53:CJL53"/>
    <mergeCell ref="CHE53:CHI53"/>
    <mergeCell ref="CHJ53:CHN53"/>
    <mergeCell ref="CHO53:CHS53"/>
    <mergeCell ref="CHT53:CHX53"/>
    <mergeCell ref="CHY53:CIC53"/>
    <mergeCell ref="CID53:CIH53"/>
    <mergeCell ref="CGA53:CGE53"/>
    <mergeCell ref="CGF53:CGJ53"/>
    <mergeCell ref="CGK53:CGO53"/>
    <mergeCell ref="CGP53:CGT53"/>
    <mergeCell ref="CGU53:CGY53"/>
    <mergeCell ref="CGZ53:CHD53"/>
    <mergeCell ref="CEW53:CFA53"/>
    <mergeCell ref="CFB53:CFF53"/>
    <mergeCell ref="CFG53:CFK53"/>
    <mergeCell ref="CFL53:CFP53"/>
    <mergeCell ref="CFQ53:CFU53"/>
    <mergeCell ref="CFV53:CFZ53"/>
    <mergeCell ref="CDS53:CDW53"/>
    <mergeCell ref="CDX53:CEB53"/>
    <mergeCell ref="CEC53:CEG53"/>
    <mergeCell ref="CEH53:CEL53"/>
    <mergeCell ref="CEM53:CEQ53"/>
    <mergeCell ref="CER53:CEV53"/>
    <mergeCell ref="CCO53:CCS53"/>
    <mergeCell ref="CCT53:CCX53"/>
    <mergeCell ref="CCY53:CDC53"/>
    <mergeCell ref="CDD53:CDH53"/>
    <mergeCell ref="CDI53:CDM53"/>
    <mergeCell ref="CDN53:CDR53"/>
    <mergeCell ref="CBK53:CBO53"/>
    <mergeCell ref="CBP53:CBT53"/>
    <mergeCell ref="CBU53:CBY53"/>
    <mergeCell ref="CBZ53:CCD53"/>
    <mergeCell ref="CCE53:CCI53"/>
    <mergeCell ref="CCJ53:CCN53"/>
    <mergeCell ref="CAG53:CAK53"/>
    <mergeCell ref="CAL53:CAP53"/>
    <mergeCell ref="CAQ53:CAU53"/>
    <mergeCell ref="CAV53:CAZ53"/>
    <mergeCell ref="CBA53:CBE53"/>
    <mergeCell ref="CBF53:CBJ53"/>
    <mergeCell ref="BZC53:BZG53"/>
    <mergeCell ref="BZH53:BZL53"/>
    <mergeCell ref="BZM53:BZQ53"/>
    <mergeCell ref="BZR53:BZV53"/>
    <mergeCell ref="BZW53:CAA53"/>
    <mergeCell ref="CAB53:CAF53"/>
    <mergeCell ref="BXY53:BYC53"/>
    <mergeCell ref="BYD53:BYH53"/>
    <mergeCell ref="BYI53:BYM53"/>
    <mergeCell ref="BYN53:BYR53"/>
    <mergeCell ref="BYS53:BYW53"/>
    <mergeCell ref="BYX53:BZB53"/>
    <mergeCell ref="BWU53:BWY53"/>
    <mergeCell ref="BWZ53:BXD53"/>
    <mergeCell ref="BXE53:BXI53"/>
    <mergeCell ref="BXJ53:BXN53"/>
    <mergeCell ref="BXO53:BXS53"/>
    <mergeCell ref="BXT53:BXX53"/>
    <mergeCell ref="BVQ53:BVU53"/>
    <mergeCell ref="BVV53:BVZ53"/>
    <mergeCell ref="BWA53:BWE53"/>
    <mergeCell ref="BWF53:BWJ53"/>
    <mergeCell ref="BWK53:BWO53"/>
    <mergeCell ref="BWP53:BWT53"/>
    <mergeCell ref="BUM53:BUQ53"/>
    <mergeCell ref="BUR53:BUV53"/>
    <mergeCell ref="BUW53:BVA53"/>
    <mergeCell ref="BVB53:BVF53"/>
    <mergeCell ref="BVG53:BVK53"/>
    <mergeCell ref="BVL53:BVP53"/>
    <mergeCell ref="BTI53:BTM53"/>
    <mergeCell ref="BTN53:BTR53"/>
    <mergeCell ref="BTS53:BTW53"/>
    <mergeCell ref="BTX53:BUB53"/>
    <mergeCell ref="BUC53:BUG53"/>
    <mergeCell ref="BUH53:BUL53"/>
    <mergeCell ref="BSE53:BSI53"/>
    <mergeCell ref="BSJ53:BSN53"/>
    <mergeCell ref="BSO53:BSS53"/>
    <mergeCell ref="BST53:BSX53"/>
    <mergeCell ref="BSY53:BTC53"/>
    <mergeCell ref="BTD53:BTH53"/>
    <mergeCell ref="BRA53:BRE53"/>
    <mergeCell ref="BRF53:BRJ53"/>
    <mergeCell ref="BRK53:BRO53"/>
    <mergeCell ref="BRP53:BRT53"/>
    <mergeCell ref="BRU53:BRY53"/>
    <mergeCell ref="BRZ53:BSD53"/>
    <mergeCell ref="BPW53:BQA53"/>
    <mergeCell ref="BQB53:BQF53"/>
    <mergeCell ref="BQG53:BQK53"/>
    <mergeCell ref="BQL53:BQP53"/>
    <mergeCell ref="BQQ53:BQU53"/>
    <mergeCell ref="BQV53:BQZ53"/>
    <mergeCell ref="BOS53:BOW53"/>
    <mergeCell ref="BOX53:BPB53"/>
    <mergeCell ref="BPC53:BPG53"/>
    <mergeCell ref="BPH53:BPL53"/>
    <mergeCell ref="BPM53:BPQ53"/>
    <mergeCell ref="BPR53:BPV53"/>
    <mergeCell ref="BNO53:BNS53"/>
    <mergeCell ref="BNT53:BNX53"/>
    <mergeCell ref="BNY53:BOC53"/>
    <mergeCell ref="BOD53:BOH53"/>
    <mergeCell ref="BOI53:BOM53"/>
    <mergeCell ref="BON53:BOR53"/>
    <mergeCell ref="BMK53:BMO53"/>
    <mergeCell ref="BMP53:BMT53"/>
    <mergeCell ref="BMU53:BMY53"/>
    <mergeCell ref="BMZ53:BND53"/>
    <mergeCell ref="BNE53:BNI53"/>
    <mergeCell ref="BNJ53:BNN53"/>
    <mergeCell ref="BLG53:BLK53"/>
    <mergeCell ref="BLL53:BLP53"/>
    <mergeCell ref="BLQ53:BLU53"/>
    <mergeCell ref="BLV53:BLZ53"/>
    <mergeCell ref="BMA53:BME53"/>
    <mergeCell ref="BMF53:BMJ53"/>
    <mergeCell ref="BKC53:BKG53"/>
    <mergeCell ref="BKH53:BKL53"/>
    <mergeCell ref="BKM53:BKQ53"/>
    <mergeCell ref="BKR53:BKV53"/>
    <mergeCell ref="BKW53:BLA53"/>
    <mergeCell ref="BLB53:BLF53"/>
    <mergeCell ref="BIY53:BJC53"/>
    <mergeCell ref="BJD53:BJH53"/>
    <mergeCell ref="BJI53:BJM53"/>
    <mergeCell ref="BJN53:BJR53"/>
    <mergeCell ref="BJS53:BJW53"/>
    <mergeCell ref="BJX53:BKB53"/>
    <mergeCell ref="BHU53:BHY53"/>
    <mergeCell ref="BHZ53:BID53"/>
    <mergeCell ref="BIE53:BII53"/>
    <mergeCell ref="BIJ53:BIN53"/>
    <mergeCell ref="BIO53:BIS53"/>
    <mergeCell ref="BIT53:BIX53"/>
    <mergeCell ref="BGQ53:BGU53"/>
    <mergeCell ref="BGV53:BGZ53"/>
    <mergeCell ref="BHA53:BHE53"/>
    <mergeCell ref="BHF53:BHJ53"/>
    <mergeCell ref="BHK53:BHO53"/>
    <mergeCell ref="BHP53:BHT53"/>
    <mergeCell ref="BFM53:BFQ53"/>
    <mergeCell ref="BFR53:BFV53"/>
    <mergeCell ref="BFW53:BGA53"/>
    <mergeCell ref="BGB53:BGF53"/>
    <mergeCell ref="BGG53:BGK53"/>
    <mergeCell ref="BGL53:BGP53"/>
    <mergeCell ref="BEI53:BEM53"/>
    <mergeCell ref="BEN53:BER53"/>
    <mergeCell ref="BES53:BEW53"/>
    <mergeCell ref="BEX53:BFB53"/>
    <mergeCell ref="BFC53:BFG53"/>
    <mergeCell ref="BFH53:BFL53"/>
    <mergeCell ref="BDE53:BDI53"/>
    <mergeCell ref="BDJ53:BDN53"/>
    <mergeCell ref="BDO53:BDS53"/>
    <mergeCell ref="BDT53:BDX53"/>
    <mergeCell ref="BDY53:BEC53"/>
    <mergeCell ref="BED53:BEH53"/>
    <mergeCell ref="BCA53:BCE53"/>
    <mergeCell ref="BCF53:BCJ53"/>
    <mergeCell ref="BCK53:BCO53"/>
    <mergeCell ref="BCP53:BCT53"/>
    <mergeCell ref="BCU53:BCY53"/>
    <mergeCell ref="BCZ53:BDD53"/>
    <mergeCell ref="BAW53:BBA53"/>
    <mergeCell ref="BBB53:BBF53"/>
    <mergeCell ref="BBG53:BBK53"/>
    <mergeCell ref="BBL53:BBP53"/>
    <mergeCell ref="BBQ53:BBU53"/>
    <mergeCell ref="BBV53:BBZ53"/>
    <mergeCell ref="AZS53:AZW53"/>
    <mergeCell ref="AZX53:BAB53"/>
    <mergeCell ref="BAC53:BAG53"/>
    <mergeCell ref="BAH53:BAL53"/>
    <mergeCell ref="BAM53:BAQ53"/>
    <mergeCell ref="BAR53:BAV53"/>
    <mergeCell ref="AYO53:AYS53"/>
    <mergeCell ref="AYT53:AYX53"/>
    <mergeCell ref="AYY53:AZC53"/>
    <mergeCell ref="AZD53:AZH53"/>
    <mergeCell ref="AZI53:AZM53"/>
    <mergeCell ref="AZN53:AZR53"/>
    <mergeCell ref="AXK53:AXO53"/>
    <mergeCell ref="AXP53:AXT53"/>
    <mergeCell ref="AXU53:AXY53"/>
    <mergeCell ref="AXZ53:AYD53"/>
    <mergeCell ref="AYE53:AYI53"/>
    <mergeCell ref="AYJ53:AYN53"/>
    <mergeCell ref="AWG53:AWK53"/>
    <mergeCell ref="AWL53:AWP53"/>
    <mergeCell ref="AWQ53:AWU53"/>
    <mergeCell ref="AWV53:AWZ53"/>
    <mergeCell ref="AXA53:AXE53"/>
    <mergeCell ref="AXF53:AXJ53"/>
    <mergeCell ref="AVC53:AVG53"/>
    <mergeCell ref="AVH53:AVL53"/>
    <mergeCell ref="AVM53:AVQ53"/>
    <mergeCell ref="AVR53:AVV53"/>
    <mergeCell ref="AVW53:AWA53"/>
    <mergeCell ref="AWB53:AWF53"/>
    <mergeCell ref="ATY53:AUC53"/>
    <mergeCell ref="AUD53:AUH53"/>
    <mergeCell ref="AUI53:AUM53"/>
    <mergeCell ref="AUN53:AUR53"/>
    <mergeCell ref="AUS53:AUW53"/>
    <mergeCell ref="AUX53:AVB53"/>
    <mergeCell ref="ASU53:ASY53"/>
    <mergeCell ref="ASZ53:ATD53"/>
    <mergeCell ref="ATE53:ATI53"/>
    <mergeCell ref="ATJ53:ATN53"/>
    <mergeCell ref="ATO53:ATS53"/>
    <mergeCell ref="ATT53:ATX53"/>
    <mergeCell ref="ARQ53:ARU53"/>
    <mergeCell ref="ARV53:ARZ53"/>
    <mergeCell ref="ASA53:ASE53"/>
    <mergeCell ref="ASF53:ASJ53"/>
    <mergeCell ref="ASK53:ASO53"/>
    <mergeCell ref="ASP53:AST53"/>
    <mergeCell ref="AQM53:AQQ53"/>
    <mergeCell ref="AQR53:AQV53"/>
    <mergeCell ref="AQW53:ARA53"/>
    <mergeCell ref="ARB53:ARF53"/>
    <mergeCell ref="ARG53:ARK53"/>
    <mergeCell ref="ARL53:ARP53"/>
    <mergeCell ref="API53:APM53"/>
    <mergeCell ref="APN53:APR53"/>
    <mergeCell ref="APS53:APW53"/>
    <mergeCell ref="APX53:AQB53"/>
    <mergeCell ref="AQC53:AQG53"/>
    <mergeCell ref="AQH53:AQL53"/>
    <mergeCell ref="AOE53:AOI53"/>
    <mergeCell ref="AOJ53:AON53"/>
    <mergeCell ref="AOO53:AOS53"/>
    <mergeCell ref="AOT53:AOX53"/>
    <mergeCell ref="AOY53:APC53"/>
    <mergeCell ref="APD53:APH53"/>
    <mergeCell ref="ANA53:ANE53"/>
    <mergeCell ref="ANF53:ANJ53"/>
    <mergeCell ref="ANK53:ANO53"/>
    <mergeCell ref="ANP53:ANT53"/>
    <mergeCell ref="ANU53:ANY53"/>
    <mergeCell ref="ANZ53:AOD53"/>
    <mergeCell ref="ALW53:AMA53"/>
    <mergeCell ref="AMB53:AMF53"/>
    <mergeCell ref="AMG53:AMK53"/>
    <mergeCell ref="AML53:AMP53"/>
    <mergeCell ref="AMQ53:AMU53"/>
    <mergeCell ref="AMV53:AMZ53"/>
    <mergeCell ref="AKS53:AKW53"/>
    <mergeCell ref="AKX53:ALB53"/>
    <mergeCell ref="ALC53:ALG53"/>
    <mergeCell ref="ALH53:ALL53"/>
    <mergeCell ref="ALM53:ALQ53"/>
    <mergeCell ref="ALR53:ALV53"/>
    <mergeCell ref="AJO53:AJS53"/>
    <mergeCell ref="AJT53:AJX53"/>
    <mergeCell ref="AJY53:AKC53"/>
    <mergeCell ref="AKD53:AKH53"/>
    <mergeCell ref="AKI53:AKM53"/>
    <mergeCell ref="AKN53:AKR53"/>
    <mergeCell ref="AIK53:AIO53"/>
    <mergeCell ref="AIP53:AIT53"/>
    <mergeCell ref="AIU53:AIY53"/>
    <mergeCell ref="AIZ53:AJD53"/>
    <mergeCell ref="AJE53:AJI53"/>
    <mergeCell ref="AJJ53:AJN53"/>
    <mergeCell ref="AHG53:AHK53"/>
    <mergeCell ref="AHL53:AHP53"/>
    <mergeCell ref="AHQ53:AHU53"/>
    <mergeCell ref="AHV53:AHZ53"/>
    <mergeCell ref="AIA53:AIE53"/>
    <mergeCell ref="AIF53:AIJ53"/>
    <mergeCell ref="AGC53:AGG53"/>
    <mergeCell ref="AGH53:AGL53"/>
    <mergeCell ref="AGM53:AGQ53"/>
    <mergeCell ref="AGR53:AGV53"/>
    <mergeCell ref="AGW53:AHA53"/>
    <mergeCell ref="AHB53:AHF53"/>
    <mergeCell ref="AEY53:AFC53"/>
    <mergeCell ref="AFD53:AFH53"/>
    <mergeCell ref="AFI53:AFM53"/>
    <mergeCell ref="AFN53:AFR53"/>
    <mergeCell ref="AFS53:AFW53"/>
    <mergeCell ref="AFX53:AGB53"/>
    <mergeCell ref="ADU53:ADY53"/>
    <mergeCell ref="ADZ53:AED53"/>
    <mergeCell ref="AEE53:AEI53"/>
    <mergeCell ref="AEJ53:AEN53"/>
    <mergeCell ref="AEO53:AES53"/>
    <mergeCell ref="AET53:AEX53"/>
    <mergeCell ref="ACQ53:ACU53"/>
    <mergeCell ref="ACV53:ACZ53"/>
    <mergeCell ref="ADA53:ADE53"/>
    <mergeCell ref="ADF53:ADJ53"/>
    <mergeCell ref="ADK53:ADO53"/>
    <mergeCell ref="ADP53:ADT53"/>
    <mergeCell ref="ABM53:ABQ53"/>
    <mergeCell ref="ABR53:ABV53"/>
    <mergeCell ref="ABW53:ACA53"/>
    <mergeCell ref="ACB53:ACF53"/>
    <mergeCell ref="ACG53:ACK53"/>
    <mergeCell ref="ACL53:ACP53"/>
    <mergeCell ref="AAI53:AAM53"/>
    <mergeCell ref="AAN53:AAR53"/>
    <mergeCell ref="AAS53:AAW53"/>
    <mergeCell ref="AAX53:ABB53"/>
    <mergeCell ref="ABC53:ABG53"/>
    <mergeCell ref="ABH53:ABL53"/>
    <mergeCell ref="ZE53:ZI53"/>
    <mergeCell ref="ZJ53:ZN53"/>
    <mergeCell ref="ZO53:ZS53"/>
    <mergeCell ref="ZT53:ZX53"/>
    <mergeCell ref="ZY53:AAC53"/>
    <mergeCell ref="AAD53:AAH53"/>
    <mergeCell ref="YA53:YE53"/>
    <mergeCell ref="YF53:YJ53"/>
    <mergeCell ref="YK53:YO53"/>
    <mergeCell ref="YP53:YT53"/>
    <mergeCell ref="YU53:YY53"/>
    <mergeCell ref="YZ53:ZD53"/>
    <mergeCell ref="WW53:XA53"/>
    <mergeCell ref="XB53:XF53"/>
    <mergeCell ref="XG53:XK53"/>
    <mergeCell ref="XL53:XP53"/>
    <mergeCell ref="XQ53:XU53"/>
    <mergeCell ref="XV53:XZ53"/>
    <mergeCell ref="VS53:VW53"/>
    <mergeCell ref="VX53:WB53"/>
    <mergeCell ref="WC53:WG53"/>
    <mergeCell ref="WH53:WL53"/>
    <mergeCell ref="WM53:WQ53"/>
    <mergeCell ref="WR53:WV53"/>
    <mergeCell ref="UO53:US53"/>
    <mergeCell ref="UT53:UX53"/>
    <mergeCell ref="UY53:VC53"/>
    <mergeCell ref="VD53:VH53"/>
    <mergeCell ref="VI53:VM53"/>
    <mergeCell ref="VN53:VR53"/>
    <mergeCell ref="TK53:TO53"/>
    <mergeCell ref="TP53:TT53"/>
    <mergeCell ref="TU53:TY53"/>
    <mergeCell ref="TZ53:UD53"/>
    <mergeCell ref="UE53:UI53"/>
    <mergeCell ref="UJ53:UN53"/>
    <mergeCell ref="SG53:SK53"/>
    <mergeCell ref="SL53:SP53"/>
    <mergeCell ref="SQ53:SU53"/>
    <mergeCell ref="SV53:SZ53"/>
    <mergeCell ref="TA53:TE53"/>
    <mergeCell ref="TF53:TJ53"/>
    <mergeCell ref="RC53:RG53"/>
    <mergeCell ref="RH53:RL53"/>
    <mergeCell ref="RM53:RQ53"/>
    <mergeCell ref="RR53:RV53"/>
    <mergeCell ref="RW53:SA53"/>
    <mergeCell ref="SB53:SF53"/>
    <mergeCell ref="PY53:QC53"/>
    <mergeCell ref="QD53:QH53"/>
    <mergeCell ref="QI53:QM53"/>
    <mergeCell ref="QN53:QR53"/>
    <mergeCell ref="QS53:QW53"/>
    <mergeCell ref="QX53:RB53"/>
    <mergeCell ref="OU53:OY53"/>
    <mergeCell ref="OZ53:PD53"/>
    <mergeCell ref="PE53:PI53"/>
    <mergeCell ref="PJ53:PN53"/>
    <mergeCell ref="PO53:PS53"/>
    <mergeCell ref="PT53:PX53"/>
    <mergeCell ref="NQ53:NU53"/>
    <mergeCell ref="NV53:NZ53"/>
    <mergeCell ref="OA53:OE53"/>
    <mergeCell ref="OF53:OJ53"/>
    <mergeCell ref="OK53:OO53"/>
    <mergeCell ref="OP53:OT53"/>
    <mergeCell ref="MM53:MQ53"/>
    <mergeCell ref="MR53:MV53"/>
    <mergeCell ref="MW53:NA53"/>
    <mergeCell ref="NB53:NF53"/>
    <mergeCell ref="NG53:NK53"/>
    <mergeCell ref="NL53:NP53"/>
    <mergeCell ref="LI53:LM53"/>
    <mergeCell ref="LN53:LR53"/>
    <mergeCell ref="LS53:LW53"/>
    <mergeCell ref="LX53:MB53"/>
    <mergeCell ref="MC53:MG53"/>
    <mergeCell ref="MH53:ML53"/>
    <mergeCell ref="KE53:KI53"/>
    <mergeCell ref="KJ53:KN53"/>
    <mergeCell ref="KO53:KS53"/>
    <mergeCell ref="KT53:KX53"/>
    <mergeCell ref="KY53:LC53"/>
    <mergeCell ref="LD53:LH53"/>
    <mergeCell ref="JA53:JE53"/>
    <mergeCell ref="JF53:JJ53"/>
    <mergeCell ref="JK53:JO53"/>
    <mergeCell ref="JP53:JT53"/>
    <mergeCell ref="JU53:JY53"/>
    <mergeCell ref="JZ53:KD53"/>
    <mergeCell ref="HW53:IA53"/>
    <mergeCell ref="IB53:IF53"/>
    <mergeCell ref="IG53:IK53"/>
    <mergeCell ref="IL53:IP53"/>
    <mergeCell ref="IQ53:IU53"/>
    <mergeCell ref="IV53:IZ53"/>
    <mergeCell ref="GS53:GW53"/>
    <mergeCell ref="GX53:HB53"/>
    <mergeCell ref="HC53:HG53"/>
    <mergeCell ref="HH53:HL53"/>
    <mergeCell ref="HM53:HQ53"/>
    <mergeCell ref="HR53:HV53"/>
    <mergeCell ref="FO53:FS53"/>
    <mergeCell ref="FT53:FX53"/>
    <mergeCell ref="FY53:GC53"/>
    <mergeCell ref="GD53:GH53"/>
    <mergeCell ref="GI53:GM53"/>
    <mergeCell ref="GN53:GR53"/>
    <mergeCell ref="EK53:EO53"/>
    <mergeCell ref="EP53:ET53"/>
    <mergeCell ref="EU53:EY53"/>
    <mergeCell ref="EZ53:FD53"/>
    <mergeCell ref="FE53:FI53"/>
    <mergeCell ref="FJ53:FN53"/>
    <mergeCell ref="DG53:DK53"/>
    <mergeCell ref="DL53:DP53"/>
    <mergeCell ref="DQ53:DU53"/>
    <mergeCell ref="DV53:DZ53"/>
    <mergeCell ref="EA53:EE53"/>
    <mergeCell ref="EF53:EJ53"/>
    <mergeCell ref="CC53:CG53"/>
    <mergeCell ref="CH53:CL53"/>
    <mergeCell ref="CM53:CQ53"/>
    <mergeCell ref="CR53:CV53"/>
    <mergeCell ref="CW53:DA53"/>
    <mergeCell ref="DB53:DF53"/>
    <mergeCell ref="AY53:BC53"/>
    <mergeCell ref="BD53:BH53"/>
    <mergeCell ref="BI53:BM53"/>
    <mergeCell ref="BN53:BR53"/>
    <mergeCell ref="BS53:BW53"/>
    <mergeCell ref="BX53:CB53"/>
    <mergeCell ref="U53:Y53"/>
    <mergeCell ref="Z53:AD53"/>
    <mergeCell ref="AE53:AI53"/>
    <mergeCell ref="AJ53:AN53"/>
    <mergeCell ref="AO53:AS53"/>
    <mergeCell ref="AT53:AX53"/>
    <mergeCell ref="A13:E13"/>
    <mergeCell ref="A52:E52"/>
    <mergeCell ref="A53:E53"/>
    <mergeCell ref="F53:J53"/>
    <mergeCell ref="K53:O53"/>
    <mergeCell ref="P53:T53"/>
    <mergeCell ref="D29:E29"/>
    <mergeCell ref="D30:E30"/>
    <mergeCell ref="D31:E31"/>
    <mergeCell ref="D32:E32"/>
    <mergeCell ref="C6:E6"/>
    <mergeCell ref="C7:E7"/>
    <mergeCell ref="C8:E8"/>
    <mergeCell ref="C9:E9"/>
    <mergeCell ref="C10:E10"/>
  </mergeCells>
  <conditionalFormatting sqref="C28:C41">
    <cfRule type="containsText" dxfId="10" priority="1" operator="containsText" text="High">
      <formula>NOT(ISERROR(SEARCH("High",C28)))</formula>
    </cfRule>
  </conditionalFormatting>
  <printOptions horizontalCentered="1"/>
  <pageMargins left="0.7" right="0.7" top="0.75" bottom="0.75" header="0.3" footer="0.3"/>
  <pageSetup paperSize="0" scale="51"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EBF3-BAB1-C447-A1B6-955AA65A680B}">
  <sheetPr>
    <tabColor rgb="FF1F3864"/>
    <pageSetUpPr fitToPage="1"/>
  </sheetPr>
  <dimension ref="A1:E58"/>
  <sheetViews>
    <sheetView showGridLines="0" workbookViewId="0">
      <pane ySplit="2" topLeftCell="A3" activePane="bottomLeft" state="frozen"/>
      <selection pane="bottomLeft" activeCell="B45" sqref="B45:E45"/>
    </sheetView>
  </sheetViews>
  <sheetFormatPr baseColWidth="10" defaultRowHeight="15" x14ac:dyDescent="0.2"/>
  <cols>
    <col min="1" max="1" width="35" customWidth="1"/>
    <col min="2" max="2" width="29.1640625" customWidth="1"/>
    <col min="3" max="3" width="50" customWidth="1"/>
    <col min="4" max="4" width="18.33203125" customWidth="1"/>
    <col min="5" max="5" width="50" customWidth="1"/>
  </cols>
  <sheetData>
    <row r="1" spans="1:5" ht="27.25" customHeight="1" x14ac:dyDescent="0.2">
      <c r="A1" s="338" t="s">
        <v>565</v>
      </c>
      <c r="B1" s="338"/>
      <c r="C1" s="338"/>
      <c r="D1" s="338"/>
      <c r="E1" s="338"/>
    </row>
    <row r="2" spans="1:5" ht="19" customHeight="1" x14ac:dyDescent="0.2">
      <c r="A2" s="116" t="s">
        <v>566</v>
      </c>
      <c r="B2" s="116"/>
      <c r="C2" s="116"/>
      <c r="D2" s="116"/>
      <c r="E2" s="116"/>
    </row>
    <row r="3" spans="1:5" ht="15" customHeight="1" x14ac:dyDescent="0.2">
      <c r="A3" s="41"/>
      <c r="B3" s="41"/>
      <c r="C3" s="41"/>
      <c r="D3" s="41"/>
      <c r="E3" s="41"/>
    </row>
    <row r="4" spans="1:5" ht="19.5" customHeight="1" x14ac:dyDescent="0.2">
      <c r="A4" s="45" t="s">
        <v>567</v>
      </c>
      <c r="B4" s="45"/>
      <c r="C4" s="45"/>
      <c r="D4" s="45"/>
      <c r="E4" s="45"/>
    </row>
    <row r="5" spans="1:5" ht="34" customHeight="1" x14ac:dyDescent="0.2">
      <c r="A5" s="124" t="s">
        <v>905</v>
      </c>
      <c r="B5" s="124"/>
      <c r="C5" s="124"/>
      <c r="D5" s="124"/>
      <c r="E5" s="124"/>
    </row>
    <row r="6" spans="1:5" ht="15" customHeight="1" x14ac:dyDescent="0.2">
      <c r="A6" s="41"/>
      <c r="B6" s="41"/>
      <c r="C6" s="41"/>
      <c r="D6" s="41"/>
      <c r="E6" s="41"/>
    </row>
    <row r="7" spans="1:5" ht="18.25" customHeight="1" x14ac:dyDescent="0.2">
      <c r="A7" s="46" t="s">
        <v>568</v>
      </c>
      <c r="B7" s="46" t="s">
        <v>534</v>
      </c>
      <c r="C7" s="46" t="s">
        <v>569</v>
      </c>
      <c r="D7" s="118" t="s">
        <v>570</v>
      </c>
      <c r="E7" s="118"/>
    </row>
    <row r="8" spans="1:5" ht="57.75" customHeight="1" x14ac:dyDescent="0.2">
      <c r="A8" s="54" t="s">
        <v>571</v>
      </c>
      <c r="B8" s="48" t="s">
        <v>500</v>
      </c>
      <c r="C8" s="41" t="s">
        <v>572</v>
      </c>
      <c r="D8" s="119" t="s">
        <v>573</v>
      </c>
      <c r="E8" s="119"/>
    </row>
    <row r="9" spans="1:5" ht="57.75" customHeight="1" x14ac:dyDescent="0.2">
      <c r="A9" s="54" t="s">
        <v>574</v>
      </c>
      <c r="B9" s="48" t="s">
        <v>494</v>
      </c>
      <c r="C9" s="41" t="s">
        <v>906</v>
      </c>
      <c r="D9" s="102" t="s">
        <v>907</v>
      </c>
      <c r="E9" s="102"/>
    </row>
    <row r="10" spans="1:5" ht="71" customHeight="1" x14ac:dyDescent="0.2">
      <c r="A10" s="54" t="s">
        <v>575</v>
      </c>
      <c r="B10" s="48" t="s">
        <v>495</v>
      </c>
      <c r="C10" s="41" t="s">
        <v>576</v>
      </c>
      <c r="D10" s="102" t="s">
        <v>577</v>
      </c>
      <c r="E10" s="102"/>
    </row>
    <row r="11" spans="1:5" ht="31.5" customHeight="1" x14ac:dyDescent="0.2">
      <c r="A11" s="54" t="s">
        <v>578</v>
      </c>
      <c r="B11" s="48" t="s">
        <v>496</v>
      </c>
      <c r="C11" s="41" t="s">
        <v>579</v>
      </c>
      <c r="D11" s="102" t="s">
        <v>580</v>
      </c>
      <c r="E11" s="102"/>
    </row>
    <row r="12" spans="1:5" ht="44.5" customHeight="1" x14ac:dyDescent="0.2">
      <c r="A12" s="54" t="s">
        <v>581</v>
      </c>
      <c r="B12" s="48" t="s">
        <v>497</v>
      </c>
      <c r="C12" s="41" t="s">
        <v>582</v>
      </c>
      <c r="D12" s="102" t="s">
        <v>583</v>
      </c>
      <c r="E12" s="102"/>
    </row>
    <row r="13" spans="1:5" ht="31.5" customHeight="1" x14ac:dyDescent="0.2">
      <c r="A13" s="54" t="s">
        <v>584</v>
      </c>
      <c r="B13" s="48" t="s">
        <v>498</v>
      </c>
      <c r="C13" s="41" t="s">
        <v>585</v>
      </c>
      <c r="D13" s="102" t="s">
        <v>586</v>
      </c>
      <c r="E13" s="102"/>
    </row>
    <row r="14" spans="1:5" ht="71" customHeight="1" x14ac:dyDescent="0.2">
      <c r="A14" s="54" t="s">
        <v>249</v>
      </c>
      <c r="B14" s="48" t="s">
        <v>492</v>
      </c>
      <c r="C14" s="41" t="s">
        <v>911</v>
      </c>
      <c r="D14" s="102" t="s">
        <v>912</v>
      </c>
      <c r="E14" s="102"/>
    </row>
    <row r="15" spans="1:5" ht="97.5" customHeight="1" x14ac:dyDescent="0.2">
      <c r="A15" s="54" t="s">
        <v>908</v>
      </c>
      <c r="B15" s="48" t="s">
        <v>794</v>
      </c>
      <c r="C15" s="41" t="s">
        <v>909</v>
      </c>
      <c r="D15" s="102" t="s">
        <v>910</v>
      </c>
      <c r="E15" s="102"/>
    </row>
    <row r="16" spans="1:5" ht="44.5" customHeight="1" x14ac:dyDescent="0.2">
      <c r="A16" s="54" t="s">
        <v>587</v>
      </c>
      <c r="B16" s="48" t="s">
        <v>493</v>
      </c>
      <c r="C16" s="41" t="s">
        <v>588</v>
      </c>
      <c r="D16" s="102" t="s">
        <v>589</v>
      </c>
      <c r="E16" s="102"/>
    </row>
    <row r="17" spans="1:5" ht="31.5" customHeight="1" x14ac:dyDescent="0.2">
      <c r="A17" s="54" t="s">
        <v>590</v>
      </c>
      <c r="B17" s="48" t="s">
        <v>502</v>
      </c>
      <c r="C17" s="41" t="s">
        <v>591</v>
      </c>
      <c r="D17" s="102" t="s">
        <v>592</v>
      </c>
      <c r="E17" s="102"/>
    </row>
    <row r="18" spans="1:5" ht="15" customHeight="1" x14ac:dyDescent="0.2">
      <c r="A18" s="41"/>
      <c r="B18" s="41"/>
      <c r="C18" s="41"/>
      <c r="D18" s="125"/>
      <c r="E18" s="125"/>
    </row>
    <row r="19" spans="1:5" ht="34" customHeight="1" x14ac:dyDescent="0.2">
      <c r="A19" s="45" t="s">
        <v>593</v>
      </c>
      <c r="B19" s="45"/>
      <c r="C19" s="45"/>
      <c r="D19" s="45"/>
      <c r="E19" s="45"/>
    </row>
    <row r="20" spans="1:5" ht="123.75" customHeight="1" x14ac:dyDescent="0.2">
      <c r="A20" s="41" t="s">
        <v>935</v>
      </c>
      <c r="B20" s="41"/>
      <c r="C20" s="41"/>
      <c r="D20" s="41"/>
      <c r="E20" s="41"/>
    </row>
    <row r="21" spans="1:5" ht="18.25" customHeight="1" x14ac:dyDescent="0.2">
      <c r="A21" s="118" t="s">
        <v>528</v>
      </c>
      <c r="B21" s="118"/>
      <c r="C21" s="118"/>
      <c r="D21" s="118"/>
      <c r="E21" s="118"/>
    </row>
    <row r="22" spans="1:5" ht="44.5" customHeight="1" x14ac:dyDescent="0.2">
      <c r="A22" s="48" t="s">
        <v>594</v>
      </c>
      <c r="B22" s="47" t="s">
        <v>595</v>
      </c>
      <c r="C22" s="41" t="s">
        <v>596</v>
      </c>
      <c r="D22" s="55">
        <f>Simulator!$J$40</f>
        <v>37362.292240999996</v>
      </c>
      <c r="E22" s="41" t="s">
        <v>597</v>
      </c>
    </row>
    <row r="23" spans="1:5" ht="44.5" customHeight="1" x14ac:dyDescent="0.2">
      <c r="A23" s="48" t="s">
        <v>598</v>
      </c>
      <c r="B23" s="47" t="s">
        <v>599</v>
      </c>
      <c r="C23" s="41" t="s">
        <v>600</v>
      </c>
      <c r="D23" s="55">
        <f>Simulator!$P$40</f>
        <v>40988.808515599994</v>
      </c>
      <c r="E23" s="41" t="s">
        <v>601</v>
      </c>
    </row>
    <row r="24" spans="1:5" ht="57.75" customHeight="1" x14ac:dyDescent="0.2">
      <c r="A24" s="48" t="s">
        <v>602</v>
      </c>
      <c r="B24" s="47" t="s">
        <v>603</v>
      </c>
      <c r="C24" s="41" t="s">
        <v>604</v>
      </c>
      <c r="D24" s="55">
        <f>Simulator!$U$40</f>
        <v>10645.046012242823</v>
      </c>
      <c r="E24" s="41" t="s">
        <v>605</v>
      </c>
    </row>
    <row r="25" spans="1:5" ht="84.25" customHeight="1" x14ac:dyDescent="0.2">
      <c r="A25" s="56" t="s">
        <v>606</v>
      </c>
      <c r="B25" s="57" t="s">
        <v>607</v>
      </c>
      <c r="C25" s="58" t="s">
        <v>608</v>
      </c>
      <c r="D25" s="59">
        <f>Simulator!$Q$40</f>
        <v>4153.2761834554267</v>
      </c>
      <c r="E25" s="58" t="s">
        <v>609</v>
      </c>
    </row>
    <row r="26" spans="1:5" ht="44.5" customHeight="1" x14ac:dyDescent="0.2">
      <c r="A26" s="48" t="s">
        <v>610</v>
      </c>
      <c r="B26" s="47" t="s">
        <v>611</v>
      </c>
      <c r="C26" s="41" t="s">
        <v>612</v>
      </c>
      <c r="D26" s="60" t="s">
        <v>223</v>
      </c>
      <c r="E26" s="41" t="s">
        <v>613</v>
      </c>
    </row>
    <row r="27" spans="1:5" ht="44.5" customHeight="1" x14ac:dyDescent="0.2">
      <c r="A27" s="48" t="s">
        <v>614</v>
      </c>
      <c r="B27" s="47" t="s">
        <v>615</v>
      </c>
      <c r="C27" s="41" t="s">
        <v>616</v>
      </c>
      <c r="D27" s="60" t="s">
        <v>223</v>
      </c>
      <c r="E27" s="41" t="s">
        <v>617</v>
      </c>
    </row>
    <row r="28" spans="1:5" ht="44.5" customHeight="1" x14ac:dyDescent="0.2">
      <c r="A28" s="48" t="s">
        <v>618</v>
      </c>
      <c r="B28" s="47" t="s">
        <v>619</v>
      </c>
      <c r="C28" s="41" t="s">
        <v>620</v>
      </c>
      <c r="D28" s="55">
        <f>Simulator!$T$40</f>
        <v>34786.091906364578</v>
      </c>
      <c r="E28" s="41" t="s">
        <v>621</v>
      </c>
    </row>
    <row r="29" spans="1:5" ht="44.5" customHeight="1" x14ac:dyDescent="0.2">
      <c r="A29" s="48" t="s">
        <v>622</v>
      </c>
      <c r="B29" s="47" t="s">
        <v>623</v>
      </c>
      <c r="C29" s="41" t="s">
        <v>624</v>
      </c>
      <c r="D29" s="55">
        <f>Simulator!$R$40</f>
        <v>10188.656573016495</v>
      </c>
      <c r="E29" s="41" t="s">
        <v>625</v>
      </c>
    </row>
    <row r="30" spans="1:5" ht="57.75" customHeight="1" x14ac:dyDescent="0.2">
      <c r="A30" s="48" t="s">
        <v>913</v>
      </c>
      <c r="B30" s="47" t="s">
        <v>948</v>
      </c>
      <c r="C30" s="41" t="s">
        <v>626</v>
      </c>
      <c r="D30" s="61">
        <f>Dashboard!$F$17</f>
        <v>3.7916279057820983</v>
      </c>
      <c r="E30" s="41" t="s">
        <v>914</v>
      </c>
    </row>
    <row r="31" spans="1:5" ht="57.75" customHeight="1" x14ac:dyDescent="0.2">
      <c r="A31" s="48" t="s">
        <v>915</v>
      </c>
      <c r="B31" s="47" t="s">
        <v>916</v>
      </c>
      <c r="C31" s="41" t="s">
        <v>917</v>
      </c>
      <c r="D31" s="263">
        <f>'Cash flow'!$B$104</f>
        <v>0</v>
      </c>
      <c r="E31" s="41" t="s">
        <v>918</v>
      </c>
    </row>
    <row r="32" spans="1:5" ht="44.5" customHeight="1" x14ac:dyDescent="0.2">
      <c r="A32" s="48" t="s">
        <v>919</v>
      </c>
      <c r="B32" s="47" t="s">
        <v>920</v>
      </c>
      <c r="C32" s="41" t="s">
        <v>921</v>
      </c>
      <c r="D32" s="55">
        <f>SUM('Cash flow'!$C$62:$BN$62)</f>
        <v>2049.4404257799997</v>
      </c>
      <c r="E32" s="41" t="s">
        <v>922</v>
      </c>
    </row>
    <row r="33" spans="1:5" ht="57.75" customHeight="1" x14ac:dyDescent="0.2">
      <c r="A33" s="48" t="s">
        <v>923</v>
      </c>
      <c r="B33" s="47" t="s">
        <v>924</v>
      </c>
      <c r="C33" s="41" t="s">
        <v>925</v>
      </c>
      <c r="D33" s="55">
        <f>SUM('Cash flow'!$C$64:$BN$64)</f>
        <v>15555.127630802453</v>
      </c>
      <c r="E33" s="41" t="s">
        <v>926</v>
      </c>
    </row>
    <row r="34" spans="1:5" ht="57.75" customHeight="1" x14ac:dyDescent="0.2">
      <c r="A34" s="48" t="s">
        <v>927</v>
      </c>
      <c r="B34" s="47" t="s">
        <v>928</v>
      </c>
      <c r="C34" s="41" t="s">
        <v>929</v>
      </c>
      <c r="D34" s="55">
        <f>'Cash flow'!$F$40</f>
        <v>1040</v>
      </c>
      <c r="E34" s="41" t="s">
        <v>930</v>
      </c>
    </row>
    <row r="35" spans="1:5" ht="57.75" customHeight="1" x14ac:dyDescent="0.2">
      <c r="A35" s="48" t="s">
        <v>931</v>
      </c>
      <c r="B35" s="47" t="s">
        <v>932</v>
      </c>
      <c r="C35" s="41" t="s">
        <v>933</v>
      </c>
      <c r="D35" s="55">
        <f>SUM('Cash flow'!$G$94:$G$101)</f>
        <v>550.97944185800873</v>
      </c>
      <c r="E35" s="41" t="s">
        <v>934</v>
      </c>
    </row>
    <row r="36" spans="1:5" ht="15" customHeight="1" x14ac:dyDescent="0.2">
      <c r="A36" s="41"/>
      <c r="B36" s="41"/>
      <c r="C36" s="41"/>
      <c r="D36" s="41"/>
      <c r="E36" s="41"/>
    </row>
    <row r="37" spans="1:5" ht="19.5" customHeight="1" x14ac:dyDescent="0.2">
      <c r="A37" s="45" t="s">
        <v>627</v>
      </c>
      <c r="B37" s="45"/>
      <c r="C37" s="45"/>
      <c r="D37" s="45"/>
      <c r="E37" s="45"/>
    </row>
    <row r="38" spans="1:5" ht="18.25" customHeight="1" x14ac:dyDescent="0.2">
      <c r="A38" s="48" t="s">
        <v>628</v>
      </c>
      <c r="B38" s="41" t="s">
        <v>629</v>
      </c>
      <c r="C38" s="41"/>
      <c r="D38" s="41"/>
      <c r="E38" s="41"/>
    </row>
    <row r="39" spans="1:5" ht="18.25" customHeight="1" x14ac:dyDescent="0.2">
      <c r="A39" s="48" t="s">
        <v>630</v>
      </c>
      <c r="B39" s="102" t="s">
        <v>631</v>
      </c>
      <c r="C39" s="102"/>
      <c r="D39" s="102"/>
      <c r="E39" s="102"/>
    </row>
    <row r="40" spans="1:5" ht="18.25" customHeight="1" x14ac:dyDescent="0.2">
      <c r="A40" s="48" t="s">
        <v>632</v>
      </c>
      <c r="B40" s="102" t="s">
        <v>633</v>
      </c>
      <c r="C40" s="102"/>
      <c r="D40" s="102"/>
      <c r="E40" s="102"/>
    </row>
    <row r="41" spans="1:5" ht="18.25" customHeight="1" x14ac:dyDescent="0.2">
      <c r="A41" s="48" t="s">
        <v>634</v>
      </c>
      <c r="B41" s="102" t="s">
        <v>635</v>
      </c>
      <c r="C41" s="102"/>
      <c r="D41" s="102"/>
      <c r="E41" s="102"/>
    </row>
    <row r="42" spans="1:5" ht="18.25" customHeight="1" x14ac:dyDescent="0.2">
      <c r="A42" s="48" t="s">
        <v>636</v>
      </c>
      <c r="B42" s="102" t="s">
        <v>637</v>
      </c>
      <c r="C42" s="102"/>
      <c r="D42" s="102"/>
      <c r="E42" s="102"/>
    </row>
    <row r="43" spans="1:5" ht="18.25" customHeight="1" x14ac:dyDescent="0.2">
      <c r="A43" s="48" t="s">
        <v>638</v>
      </c>
      <c r="B43" s="102" t="s">
        <v>639</v>
      </c>
      <c r="C43" s="102"/>
      <c r="D43" s="102"/>
      <c r="E43" s="102"/>
    </row>
    <row r="44" spans="1:5" ht="18.25" customHeight="1" x14ac:dyDescent="0.2">
      <c r="A44" s="48" t="s">
        <v>96</v>
      </c>
      <c r="B44" s="102" t="s">
        <v>640</v>
      </c>
      <c r="C44" s="102"/>
      <c r="D44" s="102"/>
      <c r="E44" s="102"/>
    </row>
    <row r="45" spans="1:5" ht="18.25" customHeight="1" x14ac:dyDescent="0.2">
      <c r="A45" s="48" t="s">
        <v>641</v>
      </c>
      <c r="B45" s="102" t="s">
        <v>642</v>
      </c>
      <c r="C45" s="102"/>
      <c r="D45" s="102"/>
      <c r="E45" s="102"/>
    </row>
    <row r="46" spans="1:5" ht="15" customHeight="1" x14ac:dyDescent="0.2">
      <c r="A46" s="41"/>
      <c r="B46" s="41"/>
      <c r="C46" s="41"/>
      <c r="D46" s="41"/>
      <c r="E46" s="41"/>
    </row>
    <row r="47" spans="1:5" ht="34" customHeight="1" x14ac:dyDescent="0.2">
      <c r="A47" s="45" t="s">
        <v>643</v>
      </c>
      <c r="B47" s="45"/>
      <c r="C47" s="45"/>
      <c r="D47" s="45"/>
      <c r="E47" s="45"/>
    </row>
    <row r="48" spans="1:5" ht="18.25" customHeight="1" x14ac:dyDescent="0.2">
      <c r="A48" s="46" t="s">
        <v>644</v>
      </c>
      <c r="B48" s="118" t="s">
        <v>645</v>
      </c>
      <c r="C48" s="118"/>
      <c r="D48" s="118"/>
      <c r="E48" s="118"/>
    </row>
    <row r="49" spans="1:5" ht="31.5" customHeight="1" x14ac:dyDescent="0.2">
      <c r="A49" s="48" t="s">
        <v>646</v>
      </c>
      <c r="B49" s="119" t="s">
        <v>936</v>
      </c>
      <c r="C49" s="119"/>
      <c r="D49" s="119"/>
      <c r="E49" s="119"/>
    </row>
    <row r="50" spans="1:5" ht="31.5" customHeight="1" x14ac:dyDescent="0.2">
      <c r="A50" s="48" t="s">
        <v>937</v>
      </c>
      <c r="B50" s="102" t="s">
        <v>938</v>
      </c>
      <c r="C50" s="102"/>
      <c r="D50" s="102"/>
      <c r="E50" s="102"/>
    </row>
    <row r="51" spans="1:5" ht="31.5" customHeight="1" x14ac:dyDescent="0.2">
      <c r="A51" s="48" t="s">
        <v>647</v>
      </c>
      <c r="B51" s="102" t="s">
        <v>939</v>
      </c>
      <c r="C51" s="102"/>
      <c r="D51" s="102"/>
      <c r="E51" s="102"/>
    </row>
    <row r="52" spans="1:5" ht="31.5" customHeight="1" x14ac:dyDescent="0.2">
      <c r="A52" s="48" t="s">
        <v>648</v>
      </c>
      <c r="B52" s="102" t="s">
        <v>945</v>
      </c>
      <c r="C52" s="102"/>
      <c r="D52" s="102"/>
      <c r="E52" s="102"/>
    </row>
    <row r="53" spans="1:5" ht="31.5" customHeight="1" x14ac:dyDescent="0.2">
      <c r="A53" s="48" t="s">
        <v>940</v>
      </c>
      <c r="B53" s="102" t="s">
        <v>941</v>
      </c>
      <c r="C53" s="102"/>
      <c r="D53" s="102"/>
      <c r="E53" s="102"/>
    </row>
    <row r="54" spans="1:5" ht="31.5" customHeight="1" x14ac:dyDescent="0.2">
      <c r="A54" s="48" t="s">
        <v>649</v>
      </c>
      <c r="B54" s="102" t="s">
        <v>946</v>
      </c>
      <c r="C54" s="102"/>
      <c r="D54" s="102"/>
      <c r="E54" s="102"/>
    </row>
    <row r="55" spans="1:5" ht="18.25" customHeight="1" x14ac:dyDescent="0.2">
      <c r="A55" s="48" t="s">
        <v>650</v>
      </c>
      <c r="B55" s="102" t="s">
        <v>942</v>
      </c>
      <c r="C55" s="102"/>
      <c r="D55" s="102"/>
      <c r="E55" s="102"/>
    </row>
    <row r="56" spans="1:5" ht="97.5" customHeight="1" x14ac:dyDescent="0.2">
      <c r="A56" s="41" t="s">
        <v>943</v>
      </c>
      <c r="B56" s="41" t="s">
        <v>944</v>
      </c>
      <c r="C56" s="41"/>
      <c r="D56" s="41"/>
      <c r="E56" s="41"/>
    </row>
    <row r="57" spans="1:5" x14ac:dyDescent="0.2">
      <c r="A57" s="41"/>
      <c r="B57" s="41"/>
      <c r="C57" s="41"/>
      <c r="D57" s="41"/>
      <c r="E57" s="41"/>
    </row>
    <row r="58" spans="1:5" x14ac:dyDescent="0.2">
      <c r="A58" s="41"/>
      <c r="B58" s="41"/>
      <c r="C58" s="41"/>
      <c r="D58" s="41"/>
      <c r="E58" s="41"/>
    </row>
  </sheetData>
  <mergeCells count="31">
    <mergeCell ref="B55:E55"/>
    <mergeCell ref="D15:E15"/>
    <mergeCell ref="A1:E1"/>
    <mergeCell ref="B49:E49"/>
    <mergeCell ref="B50:E50"/>
    <mergeCell ref="B51:E51"/>
    <mergeCell ref="B52:E52"/>
    <mergeCell ref="B53:E53"/>
    <mergeCell ref="B54:E54"/>
    <mergeCell ref="B41:E41"/>
    <mergeCell ref="B42:E42"/>
    <mergeCell ref="B43:E43"/>
    <mergeCell ref="B44:E44"/>
    <mergeCell ref="B45:E45"/>
    <mergeCell ref="B48:E48"/>
    <mergeCell ref="D14:E14"/>
    <mergeCell ref="D16:E16"/>
    <mergeCell ref="D17:E17"/>
    <mergeCell ref="D18:E18"/>
    <mergeCell ref="B39:E39"/>
    <mergeCell ref="B40:E40"/>
    <mergeCell ref="A2:E2"/>
    <mergeCell ref="A5:E5"/>
    <mergeCell ref="A21:E21"/>
    <mergeCell ref="D7:E7"/>
    <mergeCell ref="D8:E8"/>
    <mergeCell ref="D9:E9"/>
    <mergeCell ref="D10:E10"/>
    <mergeCell ref="D11:E11"/>
    <mergeCell ref="D12:E12"/>
    <mergeCell ref="D13:E13"/>
  </mergeCells>
  <printOptions horizontalCentered="1"/>
  <pageMargins left="0.7" right="0.7" top="0.75" bottom="0.75" header="0.3" footer="0.3"/>
  <pageSetup paperSize="0" scale="63" fitToHeight="0" orientation="landscape" horizontalDpi="0" verticalDpi="0" copie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36C0A"/>
    <pageSetUpPr fitToPage="1"/>
  </sheetPr>
  <dimension ref="A1:L109"/>
  <sheetViews>
    <sheetView showGridLines="0" zoomScaleNormal="100" workbookViewId="0">
      <pane ySplit="13" topLeftCell="A14" activePane="bottomLeft" state="frozen"/>
      <selection pane="bottomLeft" activeCell="E5" sqref="E5:G5"/>
    </sheetView>
  </sheetViews>
  <sheetFormatPr baseColWidth="10" defaultColWidth="8.6640625" defaultRowHeight="15" x14ac:dyDescent="0.2"/>
  <cols>
    <col min="1" max="1" width="48.33203125" customWidth="1"/>
    <col min="2" max="2" width="16.6640625" customWidth="1"/>
    <col min="3" max="3" width="26.6640625" customWidth="1"/>
    <col min="4" max="4" width="25.83203125" customWidth="1"/>
    <col min="5" max="5" width="19.1640625" customWidth="1"/>
    <col min="6" max="6" width="13.33203125" customWidth="1"/>
    <col min="7" max="7" width="15.33203125" customWidth="1"/>
    <col min="9" max="11" width="14.6640625" customWidth="1"/>
  </cols>
  <sheetData>
    <row r="1" spans="1:11" ht="28" customHeight="1" x14ac:dyDescent="0.2">
      <c r="A1" s="404" t="s">
        <v>0</v>
      </c>
      <c r="B1" s="339"/>
      <c r="C1" s="339"/>
      <c r="D1" s="339"/>
      <c r="E1" s="339"/>
      <c r="F1" s="339"/>
      <c r="G1" s="339"/>
    </row>
    <row r="2" spans="1:11" ht="31.5" customHeight="1" x14ac:dyDescent="0.2">
      <c r="A2" s="340" t="s">
        <v>1</v>
      </c>
      <c r="B2" s="340"/>
      <c r="C2" s="340"/>
      <c r="D2" s="340"/>
      <c r="E2" s="340"/>
      <c r="F2" s="340"/>
      <c r="G2" s="340"/>
    </row>
    <row r="3" spans="1:11" ht="17.25" customHeight="1" x14ac:dyDescent="0.2">
      <c r="A3" s="2" t="s">
        <v>2</v>
      </c>
      <c r="B3" s="4">
        <f>Simulator!$C$3</f>
        <v>46275</v>
      </c>
      <c r="C3" s="2"/>
      <c r="D3" s="2"/>
      <c r="E3" s="2"/>
      <c r="F3" s="2"/>
      <c r="G3" s="2"/>
    </row>
    <row r="4" spans="1:11" ht="17.25" customHeight="1" x14ac:dyDescent="0.2">
      <c r="A4" s="2" t="s">
        <v>3</v>
      </c>
      <c r="B4" s="5" t="str">
        <f>Scenarios!$C$3</f>
        <v>Base</v>
      </c>
      <c r="C4" s="3" t="s">
        <v>4</v>
      </c>
      <c r="D4" s="2"/>
      <c r="E4" s="2"/>
      <c r="F4" s="2"/>
      <c r="G4" s="2"/>
    </row>
    <row r="5" spans="1:11" ht="88.25" customHeight="1" x14ac:dyDescent="0.2">
      <c r="A5" s="2" t="s">
        <v>5</v>
      </c>
      <c r="B5" s="6">
        <f>Financials!D19</f>
        <v>394</v>
      </c>
      <c r="C5" s="126" t="s">
        <v>705</v>
      </c>
      <c r="D5" s="7">
        <f>'Handover check'!B28</f>
        <v>292.57589797559996</v>
      </c>
      <c r="E5" s="381" t="str">
        <f>_xlfn._LONGTEXT("Cash received after the 30 Jun 2026 balance sheet date, which the opening balance cannot see. The AED 1.8 bn attributed to three handovers is unsourced. Tested against the register on the Handover check tab: one confirmed handover, Binghatti Pinnacle, sup","porting AED ")&amp;TEXT('Handover check'!$B$28,"#,##0")&amp;" m. That figure is entered here. Entering 1,800 instead would remove the shortfall entirely."</f>
        <v>Cash received after the 30 Jun 2026 balance sheet date, which the opening balance cannot see. The AED 1.8 bn attributed to three handovers is unsourced. Tested against the register on the Handover check tab: one confirmed handover, Binghatti Pinnacle, supporting AED 293 m. That figure is entered here. Entering 1,800 instead would remove the shortfall entirely.</v>
      </c>
      <c r="F5" s="127"/>
      <c r="G5" s="127"/>
    </row>
    <row r="6" spans="1:11" ht="18.25" customHeight="1" x14ac:dyDescent="0.2">
      <c r="A6" s="8" t="s">
        <v>6</v>
      </c>
      <c r="B6" s="207" t="s">
        <v>7</v>
      </c>
      <c r="C6" s="207"/>
      <c r="D6" s="208" t="s">
        <v>8</v>
      </c>
      <c r="E6" s="208"/>
      <c r="F6" s="2"/>
      <c r="G6" s="2"/>
    </row>
    <row r="7" spans="1:11" x14ac:dyDescent="0.2">
      <c r="A7" s="2"/>
      <c r="B7" s="2"/>
      <c r="C7" s="2"/>
      <c r="D7" s="2"/>
      <c r="E7" s="2"/>
      <c r="F7" s="2"/>
      <c r="G7" s="2"/>
    </row>
    <row r="8" spans="1:11" ht="20" customHeight="1" x14ac:dyDescent="0.2">
      <c r="A8" s="99" t="s">
        <v>949</v>
      </c>
      <c r="B8" s="99"/>
      <c r="C8" s="99"/>
      <c r="D8" s="99"/>
      <c r="E8" s="99"/>
      <c r="F8" s="99"/>
      <c r="G8" s="99"/>
    </row>
    <row r="9" spans="1:11" ht="48.5" customHeight="1" x14ac:dyDescent="0.2">
      <c r="A9" s="130" t="str" cm="1">
        <f t="array" ref="A9">_xlfn.LET(_xlpm.n,$E$12,_xlpm.g,$F$12,_xlpm.c,$C$12,_xlpm.lastd,MAX(('Cash flow'!$G$94:$G$101&gt;0)*'Cash flow'!$B$94:$B$101),IF(_xlpm.n=0,"On the "&amp;$G$12&amp;" case every maturity to 2031 is met from modelled cash, the 9.625% sukuk due 28 February 2027 covered "&amp;TEXT(_xlpm.c,"0.00")&amp;" times over. Conditional on the three assumptions listed on the Cover.","On the "&amp;$G$12&amp;" case and the register as it stands, the 9.625% sukuk due 28 February 2027 is not met from modelled cash: "&amp;TEXT(_xlpm.c,"0.00")&amp;"x, short AED "&amp;TEXT($D$12,"#,##0")&amp;" m. "&amp;_xlpm.n&amp;" of the eight maturities to 2031 fall short, AED "&amp;TEXT(_xlpm.g,"#,##0")&amp;" m in total, the last maturing "&amp;TEXT(_xlpm.lastd,"mmm yyyy")&amp;". Treat this as conditional: three derived assumptions, listed on the Cover, each reverse it on their own."))</f>
        <v>On the Base case and the register as it stands, the 9.625% sukuk due 28 February 2027 is not met from modelled cash: 0.80x, short AED 363 m. 2 of the eight maturities to 2031 fall short, AED 551 m in total, the last maturing Feb 2027. Treat this as conditional: three derived assumptions, listed on the Cover, each reverse it on their own.</v>
      </c>
      <c r="B9" s="130"/>
      <c r="C9" s="130"/>
      <c r="D9" s="130"/>
      <c r="E9" s="130"/>
      <c r="F9" s="130"/>
      <c r="G9" s="130"/>
    </row>
    <row r="10" spans="1:11" x14ac:dyDescent="0.2">
      <c r="A10" s="28"/>
      <c r="B10" s="28"/>
      <c r="C10" s="28"/>
      <c r="D10" s="28"/>
      <c r="E10" s="28"/>
      <c r="F10" s="28"/>
      <c r="G10" s="28"/>
    </row>
    <row r="11" spans="1:11" ht="28.75" customHeight="1" x14ac:dyDescent="0.2">
      <c r="A11" s="100" t="s">
        <v>950</v>
      </c>
      <c r="B11" s="100" t="s">
        <v>951</v>
      </c>
      <c r="C11" s="100" t="s">
        <v>952</v>
      </c>
      <c r="D11" s="100" t="s">
        <v>953</v>
      </c>
      <c r="E11" s="100" t="s">
        <v>954</v>
      </c>
      <c r="F11" s="100" t="s">
        <v>955</v>
      </c>
      <c r="G11" s="100" t="s">
        <v>3</v>
      </c>
    </row>
    <row r="12" spans="1:11" ht="20" customHeight="1" x14ac:dyDescent="0.2">
      <c r="A12" s="264">
        <f>'Cash flow'!$C$94</f>
        <v>1836.25</v>
      </c>
      <c r="B12" s="264">
        <f>'Cash flow'!$E$94</f>
        <v>1473.701252602641</v>
      </c>
      <c r="C12" s="267">
        <f>'Cash flow'!$F$94</f>
        <v>0.80256024648203728</v>
      </c>
      <c r="D12" s="268">
        <f>'Cash flow'!$G$94</f>
        <v>362.54874739735897</v>
      </c>
      <c r="E12" s="265">
        <f>COUNTIF('Cash flow'!$F$94:$F$101,"&lt;1")</f>
        <v>2</v>
      </c>
      <c r="F12" s="268">
        <f>SUM('Cash flow'!$G$94:$G$101)</f>
        <v>550.97944185800873</v>
      </c>
      <c r="G12" s="266" t="str">
        <f>$B$4</f>
        <v>Base</v>
      </c>
    </row>
    <row r="13" spans="1:11" ht="28.75" customHeight="1" x14ac:dyDescent="0.2">
      <c r="A13" s="131" t="str">
        <f>"Section 1 below is a different and weaker measure: escrow release against debt, before construction cost and debt service. On that basis the February sukuk reads "&amp;TEXT($F$17,"0.00")&amp;"x. It is a headroom diagnostic, useful for ranking scenarios, and it is not the repayment test. The cash test above and on the Cover is what binds."</f>
        <v>Section 1 below is a different and weaker measure: escrow release against debt, before construction cost and debt service. On that basis the February sukuk reads 3.79x. It is a headroom diagnostic, useful for ranking scenarios, and it is not the repayment test. The cash test above and on the Cover is what binds.</v>
      </c>
      <c r="B13" s="131"/>
      <c r="C13" s="131"/>
      <c r="D13" s="131"/>
      <c r="E13" s="131"/>
      <c r="F13" s="131"/>
      <c r="G13" s="131"/>
      <c r="I13" s="103" t="s">
        <v>697</v>
      </c>
      <c r="J13" s="104"/>
      <c r="K13" s="104"/>
    </row>
    <row r="14" spans="1:11" x14ac:dyDescent="0.2">
      <c r="A14" s="28"/>
      <c r="B14" s="28"/>
      <c r="C14" s="28"/>
      <c r="D14" s="28"/>
      <c r="E14" s="28"/>
      <c r="F14" s="28"/>
      <c r="G14" s="28"/>
      <c r="I14" s="64"/>
      <c r="J14" s="64"/>
      <c r="K14" s="64"/>
    </row>
    <row r="15" spans="1:11" ht="44.5" customHeight="1" x14ac:dyDescent="0.2">
      <c r="A15" s="269" t="s">
        <v>956</v>
      </c>
      <c r="B15" s="2"/>
      <c r="C15" s="2"/>
      <c r="D15" s="2"/>
      <c r="E15" s="2"/>
      <c r="F15" s="2"/>
      <c r="G15" s="2"/>
      <c r="I15" s="105" t="s">
        <v>12</v>
      </c>
      <c r="J15" s="105" t="s">
        <v>698</v>
      </c>
      <c r="K15" s="105"/>
    </row>
    <row r="16" spans="1:11" ht="31.5" customHeight="1" x14ac:dyDescent="0.2">
      <c r="A16" s="10" t="s">
        <v>9</v>
      </c>
      <c r="B16" s="10" t="s">
        <v>10</v>
      </c>
      <c r="C16" s="10" t="s">
        <v>11</v>
      </c>
      <c r="D16" s="10" t="s">
        <v>12</v>
      </c>
      <c r="E16" s="10" t="s">
        <v>13</v>
      </c>
      <c r="F16" s="10" t="s">
        <v>957</v>
      </c>
      <c r="G16" s="10" t="s">
        <v>958</v>
      </c>
      <c r="I16" s="64" t="str">
        <f>$D$17</f>
        <v>Base</v>
      </c>
      <c r="J16" s="106">
        <f>$F$17</f>
        <v>3.7916279057820983</v>
      </c>
      <c r="K16" s="64"/>
    </row>
    <row r="17" spans="1:11" ht="17.25" customHeight="1" x14ac:dyDescent="0.2">
      <c r="A17" s="11" t="s">
        <v>15</v>
      </c>
      <c r="B17" s="12">
        <f>SUMIFS(Debt!$E$6:$E$13,Debt!$H$6:$H$13,"&lt;="&amp;DATE(2027,2,28))</f>
        <v>2868.2224999999999</v>
      </c>
      <c r="C17" s="13">
        <f t="shared" ref="C17:C28" si="0">$B$5+$D$5</f>
        <v>686.5758979755999</v>
      </c>
      <c r="D17" s="14" t="s">
        <v>16</v>
      </c>
      <c r="E17" s="12">
        <f>Simulator!BC40</f>
        <v>10188.656573016495</v>
      </c>
      <c r="F17" s="15">
        <f t="shared" ref="F17:F28" si="1">IF(B17&gt;0,(C17+E17)/B17,"")</f>
        <v>3.7916279057820983</v>
      </c>
      <c r="G17" s="13">
        <f t="shared" ref="G17:G28" si="2">MAX(0,B17-C17-E17)</f>
        <v>0</v>
      </c>
      <c r="I17" s="64" t="str">
        <f>$D$18</f>
        <v>Delayed handovers</v>
      </c>
      <c r="J17" s="106">
        <f>$F$18</f>
        <v>2.1844841702875804</v>
      </c>
      <c r="K17" s="64"/>
    </row>
    <row r="18" spans="1:11" ht="17.25" customHeight="1" x14ac:dyDescent="0.2">
      <c r="A18" s="2"/>
      <c r="B18" s="6">
        <f>SUMIFS(Debt!$E$6:$E$13,Debt!$H$6:$H$13,"&lt;="&amp;DATE(2027,2,28))</f>
        <v>2868.2224999999999</v>
      </c>
      <c r="C18" s="16">
        <f t="shared" si="0"/>
        <v>686.5758979755999</v>
      </c>
      <c r="D18" s="2" t="s">
        <v>17</v>
      </c>
      <c r="E18" s="6">
        <f>Simulator!BJ40</f>
        <v>5579.0107501370694</v>
      </c>
      <c r="F18" s="17">
        <f t="shared" si="1"/>
        <v>2.1844841702875804</v>
      </c>
      <c r="G18" s="16">
        <f t="shared" si="2"/>
        <v>0</v>
      </c>
      <c r="I18" s="64" t="str">
        <f>$D$19</f>
        <v>Cancellation spike</v>
      </c>
      <c r="J18" s="106">
        <f>$F$19</f>
        <v>2.966310938445178</v>
      </c>
      <c r="K18" s="64"/>
    </row>
    <row r="19" spans="1:11" ht="17.25" customHeight="1" x14ac:dyDescent="0.2">
      <c r="A19" s="2"/>
      <c r="B19" s="6">
        <f>SUMIFS(Debt!$E$6:$E$13,Debt!$H$6:$H$13,"&lt;="&amp;DATE(2027,2,28))</f>
        <v>2868.2224999999999</v>
      </c>
      <c r="C19" s="16">
        <f t="shared" si="0"/>
        <v>686.5758979755999</v>
      </c>
      <c r="D19" s="2" t="s">
        <v>18</v>
      </c>
      <c r="E19" s="6">
        <f>Simulator!BQ40</f>
        <v>7821.4638776689744</v>
      </c>
      <c r="F19" s="17">
        <f t="shared" si="1"/>
        <v>2.966310938445178</v>
      </c>
      <c r="G19" s="16">
        <f t="shared" si="2"/>
        <v>0</v>
      </c>
      <c r="I19" s="64" t="str">
        <f>$D$20</f>
        <v>Price cut</v>
      </c>
      <c r="J19" s="106">
        <f>$F$20</f>
        <v>3.4916258745923767</v>
      </c>
      <c r="K19" s="64"/>
    </row>
    <row r="20" spans="1:11" ht="17.25" customHeight="1" x14ac:dyDescent="0.2">
      <c r="A20" s="2"/>
      <c r="B20" s="6">
        <f>SUMIFS(Debt!$E$6:$E$13,Debt!$H$6:$H$13,"&lt;="&amp;DATE(2027,2,28))</f>
        <v>2868.2224999999999</v>
      </c>
      <c r="C20" s="16">
        <f t="shared" si="0"/>
        <v>686.5758979755999</v>
      </c>
      <c r="D20" s="2" t="s">
        <v>19</v>
      </c>
      <c r="E20" s="6">
        <f>Simulator!BX40</f>
        <v>9328.1839971124336</v>
      </c>
      <c r="F20" s="17">
        <f t="shared" si="1"/>
        <v>3.4916258745923767</v>
      </c>
      <c r="G20" s="16">
        <f t="shared" si="2"/>
        <v>0</v>
      </c>
      <c r="I20" s="64"/>
      <c r="J20" s="64"/>
      <c r="K20" s="64"/>
    </row>
    <row r="21" spans="1:11" ht="17.25" customHeight="1" x14ac:dyDescent="0.2">
      <c r="A21" s="11" t="s">
        <v>20</v>
      </c>
      <c r="B21" s="12">
        <f>SUMIFS(Debt!$E$6:$E$13,Debt!$H$6:$H$13,"&lt;="&amp;DATE(2027,12,31))</f>
        <v>4741.1975000000002</v>
      </c>
      <c r="C21" s="13">
        <f t="shared" si="0"/>
        <v>686.5758979755999</v>
      </c>
      <c r="D21" s="14" t="s">
        <v>16</v>
      </c>
      <c r="E21" s="12">
        <f>Simulator!BD40</f>
        <v>32644.324686533957</v>
      </c>
      <c r="F21" s="15">
        <f t="shared" si="1"/>
        <v>7.0300595122876777</v>
      </c>
      <c r="G21" s="13">
        <f t="shared" si="2"/>
        <v>0</v>
      </c>
      <c r="I21" s="64"/>
      <c r="J21" s="64"/>
      <c r="K21" s="64"/>
    </row>
    <row r="22" spans="1:11" ht="28.75" customHeight="1" x14ac:dyDescent="0.2">
      <c r="A22" s="2"/>
      <c r="B22" s="6">
        <f>SUMIFS(Debt!$E$6:$E$13,Debt!$H$6:$H$13,"&lt;="&amp;DATE(2027,12,31))</f>
        <v>4741.1975000000002</v>
      </c>
      <c r="C22" s="16">
        <f t="shared" si="0"/>
        <v>686.5758979755999</v>
      </c>
      <c r="D22" s="2" t="s">
        <v>17</v>
      </c>
      <c r="E22" s="6">
        <f>Simulator!BK40</f>
        <v>28475.064579641923</v>
      </c>
      <c r="F22" s="17">
        <f t="shared" si="1"/>
        <v>6.150690933591676</v>
      </c>
      <c r="G22" s="16">
        <f t="shared" si="2"/>
        <v>0</v>
      </c>
      <c r="I22" s="105" t="s">
        <v>699</v>
      </c>
      <c r="J22" s="105" t="s">
        <v>700</v>
      </c>
      <c r="K22" s="105" t="s">
        <v>701</v>
      </c>
    </row>
    <row r="23" spans="1:11" ht="17.25" customHeight="1" x14ac:dyDescent="0.2">
      <c r="A23" s="2"/>
      <c r="B23" s="6">
        <f>SUMIFS(Debt!$E$6:$E$13,Debt!$H$6:$H$13,"&lt;="&amp;DATE(2027,12,31))</f>
        <v>4741.1975000000002</v>
      </c>
      <c r="C23" s="16">
        <f t="shared" si="0"/>
        <v>686.5758979755999</v>
      </c>
      <c r="D23" s="2" t="s">
        <v>18</v>
      </c>
      <c r="E23" s="6">
        <f>Simulator!BR40</f>
        <v>26501.314139120623</v>
      </c>
      <c r="F23" s="17">
        <f t="shared" si="1"/>
        <v>5.7343930593686974</v>
      </c>
      <c r="G23" s="16">
        <f t="shared" si="2"/>
        <v>0</v>
      </c>
      <c r="I23" s="107">
        <f>'Break-even'!$B$36</f>
        <v>0</v>
      </c>
      <c r="J23" s="106">
        <f>'Break-even'!$C$36</f>
        <v>3.7916279057820979</v>
      </c>
      <c r="K23" s="106">
        <f>'Break-even'!$F$36</f>
        <v>3.1277083184306398</v>
      </c>
    </row>
    <row r="24" spans="1:11" ht="17.25" customHeight="1" x14ac:dyDescent="0.2">
      <c r="A24" s="2"/>
      <c r="B24" s="6">
        <f>SUMIFS(Debt!$E$6:$E$13,Debt!$H$6:$H$13,"&lt;="&amp;DATE(2027,12,31))</f>
        <v>4741.1975000000002</v>
      </c>
      <c r="C24" s="16">
        <f t="shared" si="0"/>
        <v>686.5758979755999</v>
      </c>
      <c r="D24" s="2" t="s">
        <v>19</v>
      </c>
      <c r="E24" s="6">
        <f>Simulator!BY40</f>
        <v>30464.424415626338</v>
      </c>
      <c r="F24" s="17">
        <f t="shared" si="1"/>
        <v>6.5702810974657639</v>
      </c>
      <c r="G24" s="16">
        <f t="shared" si="2"/>
        <v>0</v>
      </c>
      <c r="I24" s="107">
        <f>'Break-even'!$B$37</f>
        <v>5</v>
      </c>
      <c r="J24" s="106">
        <f>'Break-even'!$C$37</f>
        <v>2.7709490657616209</v>
      </c>
      <c r="K24" s="106">
        <f>'Break-even'!$F$37</f>
        <v>2.2433021063609355</v>
      </c>
    </row>
    <row r="25" spans="1:11" ht="17.25" customHeight="1" x14ac:dyDescent="0.2">
      <c r="A25" s="11" t="s">
        <v>21</v>
      </c>
      <c r="B25" s="12">
        <f>SUMIFS(Debt!$E$6:$E$13,Debt!$H$6:$H$13,"&lt;="&amp;DATE(2028,12,31))</f>
        <v>6114.7124999999996</v>
      </c>
      <c r="C25" s="13">
        <f t="shared" si="0"/>
        <v>686.5758979755999</v>
      </c>
      <c r="D25" s="14" t="s">
        <v>16</v>
      </c>
      <c r="E25" s="12">
        <f>Simulator!BE40</f>
        <v>34786.091906364578</v>
      </c>
      <c r="F25" s="15">
        <f t="shared" si="1"/>
        <v>5.8011996155731245</v>
      </c>
      <c r="G25" s="13">
        <f t="shared" si="2"/>
        <v>0</v>
      </c>
      <c r="I25" s="107">
        <f>'Break-even'!$B$38</f>
        <v>10</v>
      </c>
      <c r="J25" s="106">
        <f>'Break-even'!$C$38</f>
        <v>1.9757643675123036</v>
      </c>
      <c r="K25" s="106">
        <f>'Break-even'!$F$38</f>
        <v>1.5555882683128028</v>
      </c>
    </row>
    <row r="26" spans="1:11" ht="17.25" customHeight="1" x14ac:dyDescent="0.2">
      <c r="A26" s="2"/>
      <c r="B26" s="6">
        <f>SUMIFS(Debt!$E$6:$E$13,Debt!$H$6:$H$13,"&lt;="&amp;DATE(2028,12,31))</f>
        <v>6114.7124999999996</v>
      </c>
      <c r="C26" s="16">
        <f t="shared" si="0"/>
        <v>686.5758979755999</v>
      </c>
      <c r="D26" s="2" t="s">
        <v>17</v>
      </c>
      <c r="E26" s="6">
        <f>Simulator!BL40</f>
        <v>32269.985704454572</v>
      </c>
      <c r="F26" s="17">
        <f t="shared" si="1"/>
        <v>5.389715641157319</v>
      </c>
      <c r="G26" s="16">
        <f t="shared" si="2"/>
        <v>0</v>
      </c>
      <c r="I26" s="107">
        <f>'Break-even'!$B$39</f>
        <v>15</v>
      </c>
      <c r="J26" s="106">
        <f>'Break-even'!$C$39</f>
        <v>1.4956876732864679</v>
      </c>
      <c r="K26" s="106">
        <f>'Break-even'!$F$39</f>
        <v>1.14108353496077</v>
      </c>
    </row>
    <row r="27" spans="1:11" ht="17.25" customHeight="1" x14ac:dyDescent="0.2">
      <c r="A27" s="2"/>
      <c r="B27" s="6">
        <f>SUMIFS(Debt!$E$6:$E$13,Debt!$H$6:$H$13,"&lt;="&amp;DATE(2028,12,31))</f>
        <v>6114.7124999999996</v>
      </c>
      <c r="C27" s="16">
        <f t="shared" si="0"/>
        <v>686.5758979755999</v>
      </c>
      <c r="D27" s="2" t="s">
        <v>18</v>
      </c>
      <c r="E27" s="6">
        <f>Simulator!BS40</f>
        <v>28313.56844173207</v>
      </c>
      <c r="F27" s="17">
        <f t="shared" si="1"/>
        <v>4.7426832152300982</v>
      </c>
      <c r="G27" s="16">
        <f t="shared" si="2"/>
        <v>0</v>
      </c>
      <c r="I27" s="107">
        <f>'Break-even'!$B$40</f>
        <v>20</v>
      </c>
      <c r="J27" s="106">
        <f>'Break-even'!$C$40</f>
        <v>1.2380559978551051</v>
      </c>
      <c r="K27" s="106">
        <f>'Break-even'!$F$40</f>
        <v>0.92079570799939092</v>
      </c>
    </row>
    <row r="28" spans="1:11" ht="17.25" customHeight="1" x14ac:dyDescent="0.2">
      <c r="A28" s="2"/>
      <c r="B28" s="6">
        <f>SUMIFS(Debt!$E$6:$E$13,Debt!$H$6:$H$13,"&lt;="&amp;DATE(2028,12,31))</f>
        <v>6114.7124999999996</v>
      </c>
      <c r="C28" s="16">
        <f t="shared" si="0"/>
        <v>686.5758979755999</v>
      </c>
      <c r="D28" s="2" t="s">
        <v>19</v>
      </c>
      <c r="E28" s="6">
        <f>Simulator!BZ40</f>
        <v>32494.604455786561</v>
      </c>
      <c r="F28" s="17">
        <f t="shared" si="1"/>
        <v>5.4264497887287693</v>
      </c>
      <c r="G28" s="16">
        <f t="shared" si="2"/>
        <v>0</v>
      </c>
      <c r="I28" s="107">
        <f>'Break-even'!$B$41</f>
        <v>25</v>
      </c>
      <c r="J28" s="106">
        <f>'Break-even'!$C$41</f>
        <v>1.0774231727311314</v>
      </c>
      <c r="K28" s="106">
        <f>'Break-even'!$F$41</f>
        <v>0.78464204189107245</v>
      </c>
    </row>
    <row r="29" spans="1:11" ht="58" customHeight="1" x14ac:dyDescent="0.2">
      <c r="A29" s="1" t="str">
        <f>_xlfn._LONGTEXT("This section is the headroom measure, not the cash test. Debt due is cumulative from today to the date shown, so the Feb-2027 line includes the bank debt the accounts place in H2 2026. Headroom above 1.0x means modelled escrow release plus free cash excee","ds what is due, before any deduction for building the towers or servicing the debt. On the cash test the same February maturity reads ")&amp;TEXT($C$12,"0.00")&amp;"x. Use this section to compare scenarios; use the Cash flow sheet to answer whether a maturity can be paid."</f>
        <v>This section is the headroom measure, not the cash test. Debt due is cumulative from today to the date shown, so the Feb-2027 line includes the bank debt the accounts place in H2 2026. Headroom above 1.0x means modelled escrow release plus free cash exceeds what is due, before any deduction for building the towers or servicing the debt. On the cash test the same February maturity reads 0.80x. Use this section to compare scenarios; use the Cash flow sheet to answer whether a maturity can be paid.</v>
      </c>
      <c r="B29" s="1"/>
      <c r="C29" s="1"/>
      <c r="D29" s="1"/>
      <c r="E29" s="1"/>
      <c r="F29" s="1"/>
      <c r="G29" s="1"/>
      <c r="I29" s="107">
        <f>'Break-even'!$B$42</f>
        <v>30</v>
      </c>
      <c r="J29" s="106">
        <f>'Break-even'!$C$42</f>
        <v>0.96774186962026676</v>
      </c>
      <c r="K29" s="106">
        <f>'Break-even'!$F$42</f>
        <v>0.69176633474284988</v>
      </c>
    </row>
    <row r="30" spans="1:11" x14ac:dyDescent="0.2">
      <c r="A30" s="1"/>
      <c r="B30" s="1"/>
      <c r="C30" s="1"/>
      <c r="D30" s="1"/>
      <c r="E30" s="1"/>
      <c r="F30" s="1"/>
      <c r="G30" s="1"/>
      <c r="I30" s="64"/>
      <c r="J30" s="64"/>
      <c r="K30" s="64"/>
    </row>
    <row r="31" spans="1:11" x14ac:dyDescent="0.2">
      <c r="A31" s="2"/>
      <c r="B31" s="2"/>
      <c r="C31" s="2"/>
      <c r="D31" s="2"/>
      <c r="E31" s="2"/>
      <c r="F31" s="2"/>
      <c r="G31" s="2"/>
      <c r="I31" s="64"/>
      <c r="J31" s="64"/>
      <c r="K31" s="64"/>
    </row>
    <row r="32" spans="1:11" ht="17.25" customHeight="1" x14ac:dyDescent="0.2">
      <c r="A32" s="8" t="s">
        <v>22</v>
      </c>
      <c r="B32" s="2"/>
      <c r="C32" s="2"/>
      <c r="D32" s="2"/>
      <c r="E32" s="2"/>
      <c r="F32" s="2"/>
      <c r="G32" s="2"/>
      <c r="I32" s="64"/>
      <c r="J32" s="64"/>
      <c r="K32" s="64"/>
    </row>
    <row r="33" spans="1:12" ht="44.5" customHeight="1" x14ac:dyDescent="0.2">
      <c r="A33" s="10" t="s">
        <v>23</v>
      </c>
      <c r="B33" s="10" t="s">
        <v>24</v>
      </c>
      <c r="C33" s="10" t="s">
        <v>25</v>
      </c>
      <c r="D33" s="10" t="s">
        <v>26</v>
      </c>
      <c r="E33" s="10" t="s">
        <v>27</v>
      </c>
      <c r="F33" s="2"/>
      <c r="G33" s="2"/>
      <c r="I33" s="105" t="s">
        <v>23</v>
      </c>
      <c r="J33" s="105" t="s">
        <v>702</v>
      </c>
      <c r="K33" s="105" t="s">
        <v>703</v>
      </c>
      <c r="L33" s="289" t="s">
        <v>1001</v>
      </c>
    </row>
    <row r="34" spans="1:12" x14ac:dyDescent="0.2">
      <c r="A34" s="19">
        <v>46296</v>
      </c>
      <c r="B34" s="6">
        <f>Simulator!V40</f>
        <v>1771.9373297878005</v>
      </c>
      <c r="C34" s="6">
        <f>Simulator!V41</f>
        <v>1771.9373297878005</v>
      </c>
      <c r="D34" s="6">
        <f>SUMPRODUCT((YEAR(Debt!$H$6:$H$13)=2026)*(MONTH(Debt!$H$6:$H$13)=10)*Debt!$E$6:$E$13)</f>
        <v>0</v>
      </c>
      <c r="E34" s="16">
        <f>$B$5+$D$5+B34-SUM($D$34:D34)</f>
        <v>2458.5132277634002</v>
      </c>
      <c r="F34" s="2"/>
      <c r="G34" s="2"/>
      <c r="I34" s="108">
        <f>$A34</f>
        <v>46296</v>
      </c>
      <c r="J34" s="109">
        <f>$B34</f>
        <v>1771.9373297878005</v>
      </c>
      <c r="K34" s="109">
        <f>SUM($D$34:$D34)</f>
        <v>0</v>
      </c>
      <c r="L34" s="270">
        <f>INDEX('Cash flow'!$C$71:$BN$71,MATCH($I34,'Cash flow'!$C$58:$BN$58,0))</f>
        <v>768.98975375992279</v>
      </c>
    </row>
    <row r="35" spans="1:12" x14ac:dyDescent="0.2">
      <c r="A35" s="19">
        <v>46327</v>
      </c>
      <c r="B35" s="6">
        <f>Simulator!W40</f>
        <v>3371.8109471030043</v>
      </c>
      <c r="C35" s="6">
        <f>Simulator!W41</f>
        <v>1599.8736173152038</v>
      </c>
      <c r="D35" s="6">
        <f>SUMPRODUCT((YEAR(Debt!$H$6:$H$13)=2026)*(MONTH(Debt!$H$6:$H$13)=11)*Debt!$E$6:$E$13)</f>
        <v>0</v>
      </c>
      <c r="E35" s="16">
        <f>$B$5+$D$5+B35-SUM($D$34:D35)</f>
        <v>4058.386845078604</v>
      </c>
      <c r="F35" s="2"/>
      <c r="G35" s="2"/>
      <c r="I35" s="108">
        <f t="shared" ref="I35:I61" si="3">$A35</f>
        <v>46327</v>
      </c>
      <c r="J35" s="109">
        <f t="shared" ref="J35:J61" si="4">$B35</f>
        <v>3371.8109471030043</v>
      </c>
      <c r="K35" s="109">
        <f>SUM($D$34:$D35)</f>
        <v>0</v>
      </c>
      <c r="L35" s="270">
        <f>INDEX('Cash flow'!$C$71:$BN$71,MATCH($I35,'Cash flow'!$C$58:$BN$58,0))</f>
        <v>679.33989707165028</v>
      </c>
    </row>
    <row r="36" spans="1:12" x14ac:dyDescent="0.2">
      <c r="A36" s="19">
        <v>46357</v>
      </c>
      <c r="B36" s="6">
        <f>Simulator!X40</f>
        <v>5225.5363295741836</v>
      </c>
      <c r="C36" s="6">
        <f>Simulator!X41</f>
        <v>1853.7253824711793</v>
      </c>
      <c r="D36" s="6">
        <f>SUMPRODUCT((YEAR(Debt!$H$6:$H$13)=2026)*(MONTH(Debt!$H$6:$H$13)=12)*Debt!$E$6:$E$13)</f>
        <v>1031.9724999999999</v>
      </c>
      <c r="E36" s="16">
        <f>$B$5+$D$5+B36-SUM($D$34:D36)</f>
        <v>4880.1397275497839</v>
      </c>
      <c r="F36" s="2"/>
      <c r="G36" s="2"/>
      <c r="I36" s="108">
        <f t="shared" si="3"/>
        <v>46357</v>
      </c>
      <c r="J36" s="109">
        <f t="shared" si="4"/>
        <v>5225.5363295741836</v>
      </c>
      <c r="K36" s="109">
        <f>SUM($D$34:$D36)</f>
        <v>1031.9724999999999</v>
      </c>
      <c r="L36" s="270">
        <f>INDEX('Cash flow'!$C$71:$BN$71,MATCH($I36,'Cash flow'!$C$58:$BN$58,0))</f>
        <v>-188.43069446064976</v>
      </c>
    </row>
    <row r="37" spans="1:12" x14ac:dyDescent="0.2">
      <c r="A37" s="19">
        <v>46388</v>
      </c>
      <c r="B37" s="6">
        <f>Simulator!Y40</f>
        <v>7333.1134772013365</v>
      </c>
      <c r="C37" s="6">
        <f>Simulator!Y41</f>
        <v>2107.577147627153</v>
      </c>
      <c r="D37" s="6">
        <f>SUMPRODUCT((YEAR(Debt!$H$6:$H$13)=2027)*(MONTH(Debt!$H$6:$H$13)=1)*Debt!$E$6:$E$13)</f>
        <v>0</v>
      </c>
      <c r="E37" s="16">
        <f>$B$5+$D$5+B37-SUM($D$34:D37)</f>
        <v>6987.7168751769368</v>
      </c>
      <c r="F37" s="2"/>
      <c r="G37" s="2"/>
      <c r="I37" s="108">
        <f t="shared" si="3"/>
        <v>46388</v>
      </c>
      <c r="J37" s="109">
        <f t="shared" si="4"/>
        <v>7333.1134772013365</v>
      </c>
      <c r="K37" s="109">
        <f>SUM($D$34:$D37)</f>
        <v>1031.9724999999999</v>
      </c>
      <c r="L37" s="270">
        <f>INDEX('Cash flow'!$C$71:$BN$71,MATCH($I37,'Cash flow'!$C$58:$BN$58,0))</f>
        <v>238.02424223974356</v>
      </c>
    </row>
    <row r="38" spans="1:12" x14ac:dyDescent="0.2">
      <c r="A38" s="19">
        <v>46419</v>
      </c>
      <c r="B38" s="6">
        <f>Simulator!Z40</f>
        <v>10188.656573016495</v>
      </c>
      <c r="C38" s="6">
        <f>Simulator!Z41</f>
        <v>2855.5430958151583</v>
      </c>
      <c r="D38" s="6">
        <f>SUMPRODUCT((YEAR(Debt!$H$6:$H$13)=2027)*(MONTH(Debt!$H$6:$H$13)=2)*Debt!$E$6:$E$13)</f>
        <v>1836.25</v>
      </c>
      <c r="E38" s="16">
        <f>$B$5+$D$5+B38-SUM($D$34:D38)</f>
        <v>8007.0099709920942</v>
      </c>
      <c r="F38" s="2"/>
      <c r="G38" s="2"/>
      <c r="I38" s="108">
        <f t="shared" si="3"/>
        <v>46419</v>
      </c>
      <c r="J38" s="109">
        <f t="shared" si="4"/>
        <v>10188.656573016495</v>
      </c>
      <c r="K38" s="109">
        <f>SUM($D$34:$D38)</f>
        <v>2868.2224999999999</v>
      </c>
      <c r="L38" s="270">
        <f>INDEX('Cash flow'!$C$71:$BN$71,MATCH($I38,'Cash flow'!$C$58:$BN$58,0))</f>
        <v>-362.54874739735908</v>
      </c>
    </row>
    <row r="39" spans="1:12" x14ac:dyDescent="0.2">
      <c r="A39" s="19">
        <v>46447</v>
      </c>
      <c r="B39" s="6">
        <f>Simulator!AA40</f>
        <v>13785.521626421218</v>
      </c>
      <c r="C39" s="6">
        <f>Simulator!AA41</f>
        <v>3596.8650534047229</v>
      </c>
      <c r="D39" s="6">
        <f>SUMPRODUCT((YEAR(Debt!$H$6:$H$13)=2027)*(MONTH(Debt!$H$6:$H$13)=3)*Debt!$E$6:$E$13)</f>
        <v>0</v>
      </c>
      <c r="E39" s="16">
        <f>$B$5+$D$5+B39-SUM($D$34:D39)</f>
        <v>11603.875024396817</v>
      </c>
      <c r="F39" s="2"/>
      <c r="G39" s="2"/>
      <c r="I39" s="108">
        <f t="shared" si="3"/>
        <v>46447</v>
      </c>
      <c r="J39" s="109">
        <f t="shared" si="4"/>
        <v>13785.521626421218</v>
      </c>
      <c r="K39" s="109">
        <f>SUM($D$34:$D39)</f>
        <v>2868.2224999999999</v>
      </c>
      <c r="L39" s="270">
        <f>INDEX('Cash flow'!$C$71:$BN$71,MATCH($I39,'Cash flow'!$C$58:$BN$58,0))</f>
        <v>1665.9321510481345</v>
      </c>
    </row>
    <row r="40" spans="1:12" x14ac:dyDescent="0.2">
      <c r="A40" s="19">
        <v>46478</v>
      </c>
      <c r="B40" s="6">
        <f>Simulator!AB40</f>
        <v>16841.512071570876</v>
      </c>
      <c r="C40" s="6">
        <f>Simulator!AB41</f>
        <v>3055.9904451496586</v>
      </c>
      <c r="D40" s="6">
        <f>SUMPRODUCT((YEAR(Debt!$H$6:$H$13)=2027)*(MONTH(Debt!$H$6:$H$13)=4)*Debt!$E$6:$E$13)</f>
        <v>0</v>
      </c>
      <c r="E40" s="16">
        <f>$B$5+$D$5+B40-SUM($D$34:D40)</f>
        <v>14659.865469546476</v>
      </c>
      <c r="F40" s="2"/>
      <c r="G40" s="2"/>
      <c r="I40" s="108">
        <f t="shared" si="3"/>
        <v>46478</v>
      </c>
      <c r="J40" s="109">
        <f t="shared" si="4"/>
        <v>16841.512071570876</v>
      </c>
      <c r="K40" s="109">
        <f>SUM($D$34:$D40)</f>
        <v>2868.2224999999999</v>
      </c>
      <c r="L40" s="270">
        <f>INDEX('Cash flow'!$C$71:$BN$71,MATCH($I40,'Cash flow'!$C$58:$BN$58,0))</f>
        <v>3338.8422138287688</v>
      </c>
    </row>
    <row r="41" spans="1:12" x14ac:dyDescent="0.2">
      <c r="A41" s="19">
        <v>46508</v>
      </c>
      <c r="B41" s="6">
        <f>Simulator!AC40</f>
        <v>19403.154337957858</v>
      </c>
      <c r="C41" s="6">
        <f>Simulator!AC41</f>
        <v>2561.6422663869816</v>
      </c>
      <c r="D41" s="6">
        <f>SUMPRODUCT((YEAR(Debt!$H$6:$H$13)=2027)*(MONTH(Debt!$H$6:$H$13)=5)*Debt!$E$6:$E$13)</f>
        <v>0</v>
      </c>
      <c r="E41" s="16">
        <f>$B$5+$D$5+B41-SUM($D$34:D41)</f>
        <v>17221.507735933457</v>
      </c>
      <c r="F41" s="2"/>
      <c r="G41" s="2"/>
      <c r="I41" s="108">
        <f t="shared" si="3"/>
        <v>46508</v>
      </c>
      <c r="J41" s="109">
        <f t="shared" si="4"/>
        <v>19403.154337957858</v>
      </c>
      <c r="K41" s="109">
        <f>SUM($D$34:$D41)</f>
        <v>2868.2224999999999</v>
      </c>
      <c r="L41" s="270">
        <f>INDEX('Cash flow'!$C$71:$BN$71,MATCH($I41,'Cash flow'!$C$58:$BN$58,0))</f>
        <v>4579.8307226804009</v>
      </c>
    </row>
    <row r="42" spans="1:12" x14ac:dyDescent="0.2">
      <c r="A42" s="19">
        <v>46539</v>
      </c>
      <c r="B42" s="6">
        <f>Simulator!AD40</f>
        <v>23171.799284881974</v>
      </c>
      <c r="C42" s="6">
        <f>Simulator!AD41</f>
        <v>3768.6449469241161</v>
      </c>
      <c r="D42" s="6">
        <f>SUMPRODUCT((YEAR(Debt!$H$6:$H$13)=2027)*(MONTH(Debt!$H$6:$H$13)=6)*Debt!$E$6:$E$13)</f>
        <v>690.43</v>
      </c>
      <c r="E42" s="16">
        <f>$B$5+$D$5+B42-SUM($D$34:D42)</f>
        <v>20299.722682857573</v>
      </c>
      <c r="F42" s="2"/>
      <c r="G42" s="2"/>
      <c r="I42" s="108">
        <f t="shared" si="3"/>
        <v>46539</v>
      </c>
      <c r="J42" s="109">
        <f t="shared" si="4"/>
        <v>23171.799284881974</v>
      </c>
      <c r="K42" s="109">
        <f>SUM($D$34:$D42)</f>
        <v>3558.6524999999997</v>
      </c>
      <c r="L42" s="270">
        <f>INDEX('Cash flow'!$C$71:$BN$71,MATCH($I42,'Cash flow'!$C$58:$BN$58,0))</f>
        <v>6554.1814463105347</v>
      </c>
    </row>
    <row r="43" spans="1:12" x14ac:dyDescent="0.2">
      <c r="A43" s="19">
        <v>46569</v>
      </c>
      <c r="B43" s="6">
        <f>Simulator!AE40</f>
        <v>28729.543765725419</v>
      </c>
      <c r="C43" s="6">
        <f>Simulator!AE41</f>
        <v>5557.7444808434448</v>
      </c>
      <c r="D43" s="6">
        <f>SUMPRODUCT((YEAR(Debt!$H$6:$H$13)=2027)*(MONTH(Debt!$H$6:$H$13)=7)*Debt!$E$6:$E$13)</f>
        <v>0</v>
      </c>
      <c r="E43" s="16">
        <f>$B$5+$D$5+B43-SUM($D$34:D43)</f>
        <v>25857.467163701018</v>
      </c>
      <c r="F43" s="2"/>
      <c r="G43" s="2"/>
      <c r="I43" s="108">
        <f t="shared" si="3"/>
        <v>46569</v>
      </c>
      <c r="J43" s="109">
        <f t="shared" si="4"/>
        <v>28729.543765725419</v>
      </c>
      <c r="K43" s="109">
        <f>SUM($D$34:$D43)</f>
        <v>3558.6524999999997</v>
      </c>
      <c r="L43" s="270">
        <f>INDEX('Cash flow'!$C$71:$BN$71,MATCH($I43,'Cash flow'!$C$58:$BN$58,0))</f>
        <v>11190.920359153632</v>
      </c>
    </row>
    <row r="44" spans="1:12" x14ac:dyDescent="0.2">
      <c r="A44" s="19">
        <v>46600</v>
      </c>
      <c r="B44" s="6">
        <f>Simulator!AF40</f>
        <v>29440.23790557577</v>
      </c>
      <c r="C44" s="6">
        <f>Simulator!AF41</f>
        <v>710.69413985035135</v>
      </c>
      <c r="D44" s="6">
        <f>SUMPRODUCT((YEAR(Debt!$H$6:$H$13)=2027)*(MONTH(Debt!$H$6:$H$13)=8)*Debt!$E$6:$E$13)</f>
        <v>0</v>
      </c>
      <c r="E44" s="16">
        <f>$B$5+$D$5+B44-SUM($D$34:D44)</f>
        <v>26568.161303551369</v>
      </c>
      <c r="F44" s="2"/>
      <c r="G44" s="2"/>
      <c r="I44" s="108">
        <f t="shared" si="3"/>
        <v>46600</v>
      </c>
      <c r="J44" s="109">
        <f t="shared" si="4"/>
        <v>29440.23790557577</v>
      </c>
      <c r="K44" s="109">
        <f>SUM($D$34:$D44)</f>
        <v>3558.6524999999997</v>
      </c>
      <c r="L44" s="270">
        <f>INDEX('Cash flow'!$C$71:$BN$71,MATCH($I44,'Cash flow'!$C$58:$BN$58,0))</f>
        <v>11515.357694449143</v>
      </c>
    </row>
    <row r="45" spans="1:12" x14ac:dyDescent="0.2">
      <c r="A45" s="19">
        <v>46631</v>
      </c>
      <c r="B45" s="6">
        <f>Simulator!AG40</f>
        <v>30069.003664833253</v>
      </c>
      <c r="C45" s="6">
        <f>Simulator!AG41</f>
        <v>628.7657592574833</v>
      </c>
      <c r="D45" s="6">
        <f>SUMPRODUCT((YEAR(Debt!$H$6:$H$13)=2027)*(MONTH(Debt!$H$6:$H$13)=9)*Debt!$E$6:$E$13)</f>
        <v>0</v>
      </c>
      <c r="E45" s="16">
        <f>$B$5+$D$5+B45-SUM($D$34:D45)</f>
        <v>27196.927062808852</v>
      </c>
      <c r="F45" s="2"/>
      <c r="G45" s="2"/>
      <c r="I45" s="108">
        <f t="shared" si="3"/>
        <v>46631</v>
      </c>
      <c r="J45" s="109">
        <f t="shared" si="4"/>
        <v>30069.003664833253</v>
      </c>
      <c r="K45" s="109">
        <f>SUM($D$34:$D45)</f>
        <v>3558.6524999999997</v>
      </c>
      <c r="L45" s="270">
        <f>INDEX('Cash flow'!$C$71:$BN$71,MATCH($I45,'Cash flow'!$C$58:$BN$58,0))</f>
        <v>11760.233663515786</v>
      </c>
    </row>
    <row r="46" spans="1:12" x14ac:dyDescent="0.2">
      <c r="A46" s="19">
        <v>46661</v>
      </c>
      <c r="B46" s="6">
        <f>Simulator!AH40</f>
        <v>31816.730648109246</v>
      </c>
      <c r="C46" s="6">
        <f>Simulator!AH41</f>
        <v>1747.7269832759921</v>
      </c>
      <c r="D46" s="6">
        <f>SUMPRODUCT((YEAR(Debt!$H$6:$H$13)=2027)*(MONTH(Debt!$H$6:$H$13)=10)*Debt!$E$6:$E$13)</f>
        <v>0</v>
      </c>
      <c r="E46" s="16">
        <f>$B$5+$D$5+B46-SUM($D$34:D46)</f>
        <v>28944.654046084845</v>
      </c>
      <c r="F46" s="2"/>
      <c r="G46" s="2"/>
      <c r="I46" s="108">
        <f t="shared" si="3"/>
        <v>46661</v>
      </c>
      <c r="J46" s="109">
        <f t="shared" si="4"/>
        <v>31816.730648109246</v>
      </c>
      <c r="K46" s="109">
        <f>SUM($D$34:$D46)</f>
        <v>3558.6524999999997</v>
      </c>
      <c r="L46" s="270">
        <f>INDEX('Cash flow'!$C$71:$BN$71,MATCH($I46,'Cash flow'!$C$58:$BN$58,0))</f>
        <v>13375.565884728547</v>
      </c>
    </row>
    <row r="47" spans="1:12" x14ac:dyDescent="0.2">
      <c r="A47" s="19">
        <v>46692</v>
      </c>
      <c r="B47" s="6">
        <f>Simulator!AI40</f>
        <v>32543.031901255123</v>
      </c>
      <c r="C47" s="6">
        <f>Simulator!AI41</f>
        <v>726.30125314587713</v>
      </c>
      <c r="D47" s="6">
        <f>SUMPRODUCT((YEAR(Debt!$H$6:$H$13)=2027)*(MONTH(Debt!$H$6:$H$13)=11)*Debt!$E$6:$E$13)</f>
        <v>0</v>
      </c>
      <c r="E47" s="16">
        <f>$B$5+$D$5+B47-SUM($D$34:D47)</f>
        <v>29670.955299230725</v>
      </c>
      <c r="F47" s="2"/>
      <c r="G47" s="2"/>
      <c r="I47" s="108">
        <f t="shared" si="3"/>
        <v>46692</v>
      </c>
      <c r="J47" s="109">
        <f t="shared" si="4"/>
        <v>32543.031901255123</v>
      </c>
      <c r="K47" s="109">
        <f>SUM($D$34:$D47)</f>
        <v>3558.6524999999997</v>
      </c>
      <c r="L47" s="270">
        <f>INDEX('Cash flow'!$C$71:$BN$71,MATCH($I47,'Cash flow'!$C$58:$BN$58,0))</f>
        <v>13919.136197698786</v>
      </c>
    </row>
    <row r="48" spans="1:12" x14ac:dyDescent="0.2">
      <c r="A48" s="19">
        <v>46722</v>
      </c>
      <c r="B48" s="6">
        <f>Simulator!AJ40</f>
        <v>32644.324686533957</v>
      </c>
      <c r="C48" s="6">
        <f>Simulator!AJ41</f>
        <v>101.29278527883434</v>
      </c>
      <c r="D48" s="6">
        <f>SUMPRODUCT((YEAR(Debt!$H$6:$H$13)=2027)*(MONTH(Debt!$H$6:$H$13)=12)*Debt!$E$6:$E$13)</f>
        <v>1182.5450000000001</v>
      </c>
      <c r="E48" s="16">
        <f>$B$5+$D$5+B48-SUM($D$34:D48)</f>
        <v>28589.703084509558</v>
      </c>
      <c r="F48" s="2"/>
      <c r="G48" s="2"/>
      <c r="I48" s="108">
        <f t="shared" si="3"/>
        <v>46722</v>
      </c>
      <c r="J48" s="109">
        <f t="shared" si="4"/>
        <v>32644.324686533957</v>
      </c>
      <c r="K48" s="109">
        <f>SUM($D$34:$D48)</f>
        <v>4741.1975000000002</v>
      </c>
      <c r="L48" s="270">
        <f>INDEX('Cash flow'!$C$71:$BN$71,MATCH($I48,'Cash flow'!$C$58:$BN$58,0))</f>
        <v>13112.827582219596</v>
      </c>
    </row>
    <row r="49" spans="1:12" x14ac:dyDescent="0.2">
      <c r="A49" s="19">
        <v>46753</v>
      </c>
      <c r="B49" s="6">
        <f>Simulator!AK40</f>
        <v>32749.435990802711</v>
      </c>
      <c r="C49" s="6">
        <f>Simulator!AK41</f>
        <v>105.11130426875388</v>
      </c>
      <c r="D49" s="6">
        <f>SUMPRODUCT((YEAR(Debt!$H$6:$H$13)=2028)*(MONTH(Debt!$H$6:$H$13)=1)*Debt!$E$6:$E$13)</f>
        <v>0</v>
      </c>
      <c r="E49" s="16">
        <f>$B$5+$D$5+B49-SUM($D$34:D49)</f>
        <v>28694.814388778308</v>
      </c>
      <c r="F49" s="2"/>
      <c r="G49" s="2"/>
      <c r="I49" s="108">
        <f t="shared" si="3"/>
        <v>46753</v>
      </c>
      <c r="J49" s="109">
        <f t="shared" si="4"/>
        <v>32749.435990802711</v>
      </c>
      <c r="K49" s="109">
        <f>SUM($D$34:$D49)</f>
        <v>4741.1975000000002</v>
      </c>
      <c r="L49" s="270">
        <f>INDEX('Cash flow'!$C$71:$BN$71,MATCH($I49,'Cash flow'!$C$58:$BN$58,0))</f>
        <v>13108.384162185172</v>
      </c>
    </row>
    <row r="50" spans="1:12" x14ac:dyDescent="0.2">
      <c r="A50" s="19">
        <v>46784</v>
      </c>
      <c r="B50" s="6">
        <f>Simulator!AL40</f>
        <v>32858.36581406137</v>
      </c>
      <c r="C50" s="6">
        <f>Simulator!AL41</f>
        <v>108.92982325865887</v>
      </c>
      <c r="D50" s="6">
        <f>SUMPRODUCT((YEAR(Debt!$H$6:$H$13)=2028)*(MONTH(Debt!$H$6:$H$13)=2)*Debt!$E$6:$E$13)</f>
        <v>0</v>
      </c>
      <c r="E50" s="16">
        <f>$B$5+$D$5+B50-SUM($D$34:D50)</f>
        <v>28803.744212036967</v>
      </c>
      <c r="F50" s="2"/>
      <c r="G50" s="2"/>
      <c r="I50" s="108">
        <f t="shared" si="3"/>
        <v>46784</v>
      </c>
      <c r="J50" s="109">
        <f t="shared" si="4"/>
        <v>32858.36581406137</v>
      </c>
      <c r="K50" s="109">
        <f>SUM($D$34:$D50)</f>
        <v>4741.1975000000002</v>
      </c>
      <c r="L50" s="270">
        <f>INDEX('Cash flow'!$C$71:$BN$71,MATCH($I50,'Cash flow'!$C$58:$BN$58,0))</f>
        <v>13138.290126390651</v>
      </c>
    </row>
    <row r="51" spans="1:12" x14ac:dyDescent="0.2">
      <c r="A51" s="19">
        <v>46813</v>
      </c>
      <c r="B51" s="6">
        <f>Simulator!AM40</f>
        <v>32971.114156309952</v>
      </c>
      <c r="C51" s="6">
        <f>Simulator!AM41</f>
        <v>112.74834224858205</v>
      </c>
      <c r="D51" s="6">
        <f>SUMPRODUCT((YEAR(Debt!$H$6:$H$13)=2028)*(MONTH(Debt!$H$6:$H$13)=3)*Debt!$E$6:$E$13)</f>
        <v>0</v>
      </c>
      <c r="E51" s="16">
        <f>$B$5+$D$5+B51-SUM($D$34:D51)</f>
        <v>28916.492554285549</v>
      </c>
      <c r="F51" s="2"/>
      <c r="G51" s="2"/>
      <c r="I51" s="108">
        <f t="shared" si="3"/>
        <v>46813</v>
      </c>
      <c r="J51" s="109">
        <f t="shared" si="4"/>
        <v>32971.114156309952</v>
      </c>
      <c r="K51" s="109">
        <f>SUM($D$34:$D51)</f>
        <v>4741.1975000000002</v>
      </c>
      <c r="L51" s="270">
        <f>INDEX('Cash flow'!$C$71:$BN$71,MATCH($I51,'Cash flow'!$C$58:$BN$58,0))</f>
        <v>14204.682273506056</v>
      </c>
    </row>
    <row r="52" spans="1:12" x14ac:dyDescent="0.2">
      <c r="A52" s="19">
        <v>46844</v>
      </c>
      <c r="B52" s="6">
        <f>Simulator!AN40</f>
        <v>33087.681017548435</v>
      </c>
      <c r="C52" s="6">
        <f>Simulator!AN41</f>
        <v>116.5668612384834</v>
      </c>
      <c r="D52" s="6">
        <f>SUMPRODUCT((YEAR(Debt!$H$6:$H$13)=2028)*(MONTH(Debt!$H$6:$H$13)=4)*Debt!$E$6:$E$13)</f>
        <v>0</v>
      </c>
      <c r="E52" s="16">
        <f>$B$5+$D$5+B52-SUM($D$34:D52)</f>
        <v>29033.059415524032</v>
      </c>
      <c r="F52" s="2"/>
      <c r="G52" s="2"/>
      <c r="I52" s="108">
        <f t="shared" si="3"/>
        <v>46844</v>
      </c>
      <c r="J52" s="109">
        <f t="shared" si="4"/>
        <v>33087.681017548435</v>
      </c>
      <c r="K52" s="109">
        <f>SUM($D$34:$D52)</f>
        <v>4741.1975000000002</v>
      </c>
      <c r="L52" s="270">
        <f>INDEX('Cash flow'!$C$71:$BN$71,MATCH($I52,'Cash flow'!$C$58:$BN$58,0))</f>
        <v>14211.694410441363</v>
      </c>
    </row>
    <row r="53" spans="1:12" x14ac:dyDescent="0.2">
      <c r="A53" s="19">
        <v>46874</v>
      </c>
      <c r="B53" s="6">
        <f>Simulator!AO40</f>
        <v>33208.066397776842</v>
      </c>
      <c r="C53" s="6">
        <f>Simulator!AO41</f>
        <v>120.38538022840658</v>
      </c>
      <c r="D53" s="6">
        <f>SUMPRODUCT((YEAR(Debt!$H$6:$H$13)=2028)*(MONTH(Debt!$H$6:$H$13)=5)*Debt!$E$6:$E$13)</f>
        <v>0</v>
      </c>
      <c r="E53" s="16">
        <f>$B$5+$D$5+B53-SUM($D$34:D53)</f>
        <v>29153.444795752439</v>
      </c>
      <c r="F53" s="2"/>
      <c r="G53" s="2"/>
      <c r="I53" s="108">
        <f t="shared" si="3"/>
        <v>46874</v>
      </c>
      <c r="J53" s="109">
        <f t="shared" si="4"/>
        <v>33208.066397776842</v>
      </c>
      <c r="K53" s="109">
        <f>SUM($D$34:$D53)</f>
        <v>4741.1975000000002</v>
      </c>
      <c r="L53" s="270">
        <f>INDEX('Cash flow'!$C$71:$BN$71,MATCH($I53,'Cash flow'!$C$58:$BN$58,0))</f>
        <v>14267.808651926589</v>
      </c>
    </row>
    <row r="54" spans="1:12" x14ac:dyDescent="0.2">
      <c r="A54" s="19">
        <v>46905</v>
      </c>
      <c r="B54" s="6">
        <f>Simulator!AP40</f>
        <v>33332.27029699515</v>
      </c>
      <c r="C54" s="6">
        <f>Simulator!AP41</f>
        <v>124.20389921830792</v>
      </c>
      <c r="D54" s="6">
        <f>SUMPRODUCT((YEAR(Debt!$H$6:$H$13)=2028)*(MONTH(Debt!$H$6:$H$13)=6)*Debt!$E$6:$E$13)</f>
        <v>1373.5149999999999</v>
      </c>
      <c r="E54" s="16">
        <f>$B$5+$D$5+B54-SUM($D$34:D54)</f>
        <v>27904.133694970747</v>
      </c>
      <c r="F54" s="2"/>
      <c r="G54" s="2"/>
      <c r="I54" s="108">
        <f t="shared" si="3"/>
        <v>46905</v>
      </c>
      <c r="J54" s="109">
        <f t="shared" si="4"/>
        <v>33332.27029699515</v>
      </c>
      <c r="K54" s="109">
        <f>SUM($D$34:$D54)</f>
        <v>6114.7124999999996</v>
      </c>
      <c r="L54" s="270">
        <f>INDEX('Cash flow'!$C$71:$BN$71,MATCH($I54,'Cash flow'!$C$58:$BN$58,0))</f>
        <v>12948.671650841721</v>
      </c>
    </row>
    <row r="55" spans="1:12" x14ac:dyDescent="0.2">
      <c r="A55" s="19">
        <v>46935</v>
      </c>
      <c r="B55" s="6">
        <f>Simulator!AQ40</f>
        <v>33460.292715203381</v>
      </c>
      <c r="C55" s="6">
        <f>Simulator!AQ41</f>
        <v>128.0224182082311</v>
      </c>
      <c r="D55" s="6">
        <f>SUMPRODUCT((YEAR(Debt!$H$6:$H$13)=2028)*(MONTH(Debt!$H$6:$H$13)=7)*Debt!$E$6:$E$13)</f>
        <v>0</v>
      </c>
      <c r="E55" s="16">
        <f>$B$5+$D$5+B55-SUM($D$34:D55)</f>
        <v>28032.156113178979</v>
      </c>
      <c r="F55" s="2"/>
      <c r="G55" s="2"/>
      <c r="I55" s="108">
        <f t="shared" si="3"/>
        <v>46935</v>
      </c>
      <c r="J55" s="109">
        <f t="shared" si="4"/>
        <v>33460.292715203381</v>
      </c>
      <c r="K55" s="109">
        <f>SUM($D$34:$D55)</f>
        <v>6114.7124999999996</v>
      </c>
      <c r="L55" s="270">
        <f>INDEX('Cash flow'!$C$71:$BN$71,MATCH($I55,'Cash flow'!$C$58:$BN$58,0))</f>
        <v>13032.250624506818</v>
      </c>
    </row>
    <row r="56" spans="1:12" x14ac:dyDescent="0.2">
      <c r="A56" s="19">
        <v>46966</v>
      </c>
      <c r="B56" s="6">
        <f>Simulator!AR40</f>
        <v>33592.133652401528</v>
      </c>
      <c r="C56" s="6">
        <f>Simulator!AR41</f>
        <v>131.840937198147</v>
      </c>
      <c r="D56" s="6">
        <f>SUMPRODUCT((YEAR(Debt!$H$6:$H$13)=2028)*(MONTH(Debt!$H$6:$H$13)=8)*Debt!$E$6:$E$13)</f>
        <v>0</v>
      </c>
      <c r="E56" s="16">
        <f>$B$5+$D$5+B56-SUM($D$34:D56)</f>
        <v>28163.997050377126</v>
      </c>
      <c r="F56" s="2"/>
      <c r="G56" s="2"/>
      <c r="I56" s="108">
        <f t="shared" si="3"/>
        <v>46966</v>
      </c>
      <c r="J56" s="109">
        <f t="shared" si="4"/>
        <v>33592.133652401528</v>
      </c>
      <c r="K56" s="109">
        <f>SUM($D$34:$D56)</f>
        <v>6114.7124999999996</v>
      </c>
      <c r="L56" s="270">
        <f>INDEX('Cash flow'!$C$71:$BN$71,MATCH($I56,'Cash flow'!$C$58:$BN$58,0))</f>
        <v>13065.71858968183</v>
      </c>
    </row>
    <row r="57" spans="1:12" x14ac:dyDescent="0.2">
      <c r="A57" s="19">
        <v>46997</v>
      </c>
      <c r="B57" s="6">
        <f>Simulator!AS40</f>
        <v>34786.091906364578</v>
      </c>
      <c r="C57" s="6">
        <f>Simulator!AS41</f>
        <v>1193.9582539630501</v>
      </c>
      <c r="D57" s="6">
        <f>SUMPRODUCT((YEAR(Debt!$H$6:$H$13)=2028)*(MONTH(Debt!$H$6:$H$13)=9)*Debt!$E$6:$E$13)</f>
        <v>0</v>
      </c>
      <c r="E57" s="16">
        <f>$B$5+$D$5+B57-SUM($D$34:D57)</f>
        <v>29357.955304340176</v>
      </c>
      <c r="F57" s="2"/>
      <c r="G57" s="2"/>
      <c r="I57" s="108">
        <f t="shared" si="3"/>
        <v>46997</v>
      </c>
      <c r="J57" s="109">
        <f t="shared" si="4"/>
        <v>34786.091906364578</v>
      </c>
      <c r="K57" s="109">
        <f>SUM($D$34:$D57)</f>
        <v>6114.7124999999996</v>
      </c>
      <c r="L57" s="270">
        <f>INDEX('Cash flow'!$C$71:$BN$71,MATCH($I57,'Cash flow'!$C$58:$BN$58,0))</f>
        <v>14161.303871621745</v>
      </c>
    </row>
    <row r="58" spans="1:12" x14ac:dyDescent="0.2">
      <c r="A58" s="19">
        <v>47027</v>
      </c>
      <c r="B58" s="6">
        <f>Simulator!AT40</f>
        <v>34786.091906364578</v>
      </c>
      <c r="C58" s="6">
        <f>Simulator!AT41</f>
        <v>0</v>
      </c>
      <c r="D58" s="6">
        <f>SUMPRODUCT((YEAR(Debt!$H$6:$H$13)=2028)*(MONTH(Debt!$H$6:$H$13)=10)*Debt!$E$6:$E$13)</f>
        <v>0</v>
      </c>
      <c r="E58" s="16">
        <f>$B$5+$D$5+B58-SUM($D$34:D58)</f>
        <v>29357.955304340176</v>
      </c>
      <c r="F58" s="2"/>
      <c r="G58" s="2"/>
      <c r="I58" s="108">
        <f t="shared" si="3"/>
        <v>47027</v>
      </c>
      <c r="J58" s="109">
        <f t="shared" si="4"/>
        <v>34786.091906364578</v>
      </c>
      <c r="K58" s="109">
        <f>SUM($D$34:$D58)</f>
        <v>6114.7124999999996</v>
      </c>
      <c r="L58" s="270">
        <f>INDEX('Cash flow'!$C$71:$BN$71,MATCH($I58,'Cash flow'!$C$58:$BN$58,0))</f>
        <v>14124.196319538412</v>
      </c>
    </row>
    <row r="59" spans="1:12" x14ac:dyDescent="0.2">
      <c r="A59" s="19">
        <v>47058</v>
      </c>
      <c r="B59" s="6">
        <f>Simulator!AU40</f>
        <v>34786.091906364578</v>
      </c>
      <c r="C59" s="6">
        <f>Simulator!AU41</f>
        <v>0</v>
      </c>
      <c r="D59" s="6">
        <f>SUMPRODUCT((YEAR(Debt!$H$6:$H$13)=2028)*(MONTH(Debt!$H$6:$H$13)=11)*Debt!$E$6:$E$13)</f>
        <v>0</v>
      </c>
      <c r="E59" s="16">
        <f>$B$5+$D$5+B59-SUM($D$34:D59)</f>
        <v>29357.955304340176</v>
      </c>
      <c r="F59" s="2"/>
      <c r="G59" s="2"/>
      <c r="I59" s="108">
        <f t="shared" si="3"/>
        <v>47058</v>
      </c>
      <c r="J59" s="109">
        <f t="shared" si="4"/>
        <v>34786.091906364578</v>
      </c>
      <c r="K59" s="109">
        <f>SUM($D$34:$D59)</f>
        <v>6114.7124999999996</v>
      </c>
      <c r="L59" s="270">
        <f>INDEX('Cash flow'!$C$71:$BN$71,MATCH($I59,'Cash flow'!$C$58:$BN$58,0))</f>
        <v>14173.150409215079</v>
      </c>
    </row>
    <row r="60" spans="1:12" x14ac:dyDescent="0.2">
      <c r="A60" s="19">
        <v>47088</v>
      </c>
      <c r="B60" s="6">
        <f>Simulator!AV40</f>
        <v>34786.091906364578</v>
      </c>
      <c r="C60" s="6">
        <f>Simulator!AV41</f>
        <v>0</v>
      </c>
      <c r="D60" s="6">
        <f>SUMPRODUCT((YEAR(Debt!$H$6:$H$13)=2028)*(MONTH(Debt!$H$6:$H$13)=12)*Debt!$E$6:$E$13)</f>
        <v>0</v>
      </c>
      <c r="E60" s="16">
        <f>$B$5+$D$5+B60-SUM($D$34:D60)</f>
        <v>29357.955304340176</v>
      </c>
      <c r="F60" s="2"/>
      <c r="G60" s="2"/>
      <c r="I60" s="108">
        <f t="shared" si="3"/>
        <v>47088</v>
      </c>
      <c r="J60" s="109">
        <f t="shared" si="4"/>
        <v>34786.091906364578</v>
      </c>
      <c r="K60" s="109">
        <f>SUM($D$34:$D60)</f>
        <v>6114.7124999999996</v>
      </c>
      <c r="L60" s="270">
        <f>INDEX('Cash flow'!$C$71:$BN$71,MATCH($I60,'Cash flow'!$C$58:$BN$58,0))</f>
        <v>14136.042857131746</v>
      </c>
    </row>
    <row r="61" spans="1:12" x14ac:dyDescent="0.2">
      <c r="A61" s="19">
        <v>47119</v>
      </c>
      <c r="B61" s="6">
        <f>Simulator!AW40</f>
        <v>34786.091906364578</v>
      </c>
      <c r="C61" s="6">
        <f>Simulator!AW41</f>
        <v>0</v>
      </c>
      <c r="D61" s="6">
        <f>SUMPRODUCT((YEAR(Debt!$H$6:$H$13)=2029)*(MONTH(Debt!$H$6:$H$13)=1)*Debt!$E$6:$E$13)</f>
        <v>0</v>
      </c>
      <c r="E61" s="16">
        <f>$B$5+$D$5+B61-SUM($D$34:D61)</f>
        <v>29357.955304340176</v>
      </c>
      <c r="F61" s="2"/>
      <c r="G61" s="2"/>
      <c r="I61" s="108">
        <f t="shared" si="3"/>
        <v>47119</v>
      </c>
      <c r="J61" s="109">
        <f t="shared" si="4"/>
        <v>34786.091906364578</v>
      </c>
      <c r="K61" s="109">
        <f>SUM($D$34:$D61)</f>
        <v>6114.7124999999996</v>
      </c>
      <c r="L61" s="270">
        <f>INDEX('Cash flow'!$C$71:$BN$71,MATCH($I61,'Cash flow'!$C$58:$BN$58,0))</f>
        <v>14098.935305048413</v>
      </c>
    </row>
    <row r="62" spans="1:12" ht="30" customHeight="1" x14ac:dyDescent="0.2">
      <c r="A62" s="1" t="s">
        <v>28</v>
      </c>
      <c r="B62" s="1"/>
      <c r="C62" s="1"/>
      <c r="D62" s="1"/>
      <c r="E62" s="1"/>
      <c r="F62" s="1"/>
      <c r="G62" s="1"/>
    </row>
    <row r="63" spans="1:12" x14ac:dyDescent="0.2">
      <c r="A63" s="1"/>
      <c r="B63" s="1"/>
      <c r="C63" s="1"/>
      <c r="D63" s="1"/>
      <c r="E63" s="1"/>
      <c r="F63" s="1"/>
      <c r="G63" s="1"/>
    </row>
    <row r="64" spans="1:12" x14ac:dyDescent="0.2">
      <c r="A64" s="2"/>
      <c r="B64" s="2"/>
      <c r="C64" s="2"/>
      <c r="D64" s="2"/>
      <c r="E64" s="2"/>
      <c r="F64" s="2"/>
      <c r="G64" s="2"/>
    </row>
    <row r="65" spans="1:7" ht="31.5" customHeight="1" x14ac:dyDescent="0.2">
      <c r="A65" s="269" t="s">
        <v>29</v>
      </c>
      <c r="B65" s="2"/>
      <c r="C65" s="2"/>
      <c r="D65" s="2"/>
      <c r="E65" s="2"/>
      <c r="F65" s="2"/>
      <c r="G65" s="2"/>
    </row>
    <row r="66" spans="1:7" ht="44.5" customHeight="1" x14ac:dyDescent="0.2">
      <c r="A66" s="10" t="s">
        <v>30</v>
      </c>
      <c r="B66" s="10" t="s">
        <v>31</v>
      </c>
      <c r="C66" s="10" t="s">
        <v>32</v>
      </c>
      <c r="D66" s="10" t="s">
        <v>33</v>
      </c>
      <c r="E66" s="10" t="s">
        <v>34</v>
      </c>
      <c r="F66" s="10" t="s">
        <v>35</v>
      </c>
      <c r="G66" s="10" t="s">
        <v>36</v>
      </c>
    </row>
    <row r="67" spans="1:7" ht="17.25" customHeight="1" x14ac:dyDescent="0.2">
      <c r="A67" s="5" t="str">
        <f>INDEX(Simulator!$B$8:$B$39,MATCH(LARGE(Simulator!$CA$8:$CA$39,1),Simulator!$CA$8:$CA$39,0))</f>
        <v>Mercedes-Benz Places | Binghatti</v>
      </c>
      <c r="B67" s="5" t="str">
        <f>INDEX(Simulator!$C$8:$C$39,MATCH(LARGE(Simulator!$CA$8:$CA$39,1),Simulator!$CA$8:$CA$39,0))</f>
        <v>Active</v>
      </c>
      <c r="C67" s="20">
        <f>INDEX(Simulator!$H$8:$H$39,MATCH(LARGE(Simulator!$CA$8:$CA$39,1),Simulator!$CA$8:$CA$39,0))</f>
        <v>65</v>
      </c>
      <c r="D67" s="4">
        <f>INDEX(Simulator!$I$8:$I$39,MATCH(LARGE(Simulator!$CA$8:$CA$39,1),Simulator!$CA$8:$CA$39,0))</f>
        <v>46387</v>
      </c>
      <c r="E67" s="4">
        <f>INDEX(Simulator!$M$8:$M$39,MATCH(LARGE(Simulator!$CA$8:$CA$39,1),Simulator!$CA$8:$CA$39,0))</f>
        <v>46387</v>
      </c>
      <c r="F67" s="21">
        <f>INDEX(Simulator!$L$8:$L$39,MATCH(LARGE(Simulator!$CA$8:$CA$39,1),Simulator!$CA$8:$CA$39,0))</f>
        <v>0.71779141104294475</v>
      </c>
      <c r="G67" s="6">
        <f>INDEX(Simulator!$R$8:$R$39,MATCH(LARGE(Simulator!$CA$8:$CA$39,1),Simulator!$CA$8:$CA$39,0))</f>
        <v>1570.7805892304245</v>
      </c>
    </row>
    <row r="68" spans="1:7" ht="17.25" customHeight="1" x14ac:dyDescent="0.2">
      <c r="A68" s="5" t="str">
        <f>INDEX(Simulator!$B$8:$B$39,MATCH(LARGE(Simulator!$CA$8:$CA$39,2),Simulator!$CA$8:$CA$39,0))</f>
        <v>Binghatti Skyrise</v>
      </c>
      <c r="B68" s="5" t="str">
        <f>INDEX(Simulator!$C$8:$C$39,MATCH(LARGE(Simulator!$CA$8:$CA$39,2),Simulator!$CA$8:$CA$39,0))</f>
        <v>Active</v>
      </c>
      <c r="C68" s="20">
        <f>INDEX(Simulator!$H$8:$H$39,MATCH(LARGE(Simulator!$CA$8:$CA$39,2),Simulator!$CA$8:$CA$39,0))</f>
        <v>22</v>
      </c>
      <c r="D68" s="4">
        <f>INDEX(Simulator!$I$8:$I$39,MATCH(LARGE(Simulator!$CA$8:$CA$39,2),Simulator!$CA$8:$CA$39,0))</f>
        <v>46387</v>
      </c>
      <c r="E68" s="4">
        <f>INDEX(Simulator!$M$8:$M$39,MATCH(LARGE(Simulator!$CA$8:$CA$39,2),Simulator!$CA$8:$CA$39,0))</f>
        <v>46387</v>
      </c>
      <c r="F68" s="21">
        <f>INDEX(Simulator!$L$8:$L$39,MATCH(LARGE(Simulator!$CA$8:$CA$39,2),Simulator!$CA$8:$CA$39,0))</f>
        <v>0.99009900990099009</v>
      </c>
      <c r="G68" s="6">
        <f>INDEX(Simulator!$R$8:$R$39,MATCH(LARGE(Simulator!$CA$8:$CA$39,2),Simulator!$CA$8:$CA$39,0))</f>
        <v>1237.4800333415519</v>
      </c>
    </row>
    <row r="69" spans="1:7" ht="17.25" customHeight="1" x14ac:dyDescent="0.2">
      <c r="A69" s="5" t="str">
        <f>INDEX(Simulator!$B$8:$B$39,MATCH(LARGE(Simulator!$CA$8:$CA$39,3),Simulator!$CA$8:$CA$39,0))</f>
        <v>Bugatti Residences by Binghatti</v>
      </c>
      <c r="B69" s="5" t="str">
        <f>INDEX(Simulator!$C$8:$C$39,MATCH(LARGE(Simulator!$CA$8:$CA$39,3),Simulator!$CA$8:$CA$39,0))</f>
        <v>Active</v>
      </c>
      <c r="C69" s="20">
        <f>INDEX(Simulator!$H$8:$H$39,MATCH(LARGE(Simulator!$CA$8:$CA$39,3),Simulator!$CA$8:$CA$39,0))</f>
        <v>20.04</v>
      </c>
      <c r="D69" s="4">
        <f>INDEX(Simulator!$I$8:$I$39,MATCH(LARGE(Simulator!$CA$8:$CA$39,3),Simulator!$CA$8:$CA$39,0))</f>
        <v>46022</v>
      </c>
      <c r="E69" s="4">
        <f>INDEX(Simulator!$M$8:$M$39,MATCH(LARGE(Simulator!$CA$8:$CA$39,3),Simulator!$CA$8:$CA$39,0))</f>
        <v>46456</v>
      </c>
      <c r="F69" s="21">
        <f>INDEX(Simulator!$L$8:$L$39,MATCH(LARGE(Simulator!$CA$8:$CA$39,3),Simulator!$CA$8:$CA$39,0))</f>
        <v>0.58947368421052626</v>
      </c>
      <c r="G69" s="6">
        <f>INDEX(Simulator!$R$8:$R$39,MATCH(LARGE(Simulator!$CA$8:$CA$39,3),Simulator!$CA$8:$CA$39,0))</f>
        <v>1193.299608778882</v>
      </c>
    </row>
    <row r="70" spans="1:7" ht="17.25" customHeight="1" x14ac:dyDescent="0.2">
      <c r="A70" s="5" t="str">
        <f>INDEX(Simulator!$B$8:$B$39,MATCH(LARGE(Simulator!$CA$8:$CA$39,4),Simulator!$CA$8:$CA$39,0))</f>
        <v>Burj Binghatti Jacob &amp; Co. Residences</v>
      </c>
      <c r="B70" s="5" t="str">
        <f>INDEX(Simulator!$C$8:$C$39,MATCH(LARGE(Simulator!$CA$8:$CA$39,4),Simulator!$CA$8:$CA$39,0))</f>
        <v>Active</v>
      </c>
      <c r="C70" s="20">
        <f>INDEX(Simulator!$H$8:$H$39,MATCH(LARGE(Simulator!$CA$8:$CA$39,4),Simulator!$CA$8:$CA$39,0))</f>
        <v>35</v>
      </c>
      <c r="D70" s="4">
        <f>INDEX(Simulator!$I$8:$I$39,MATCH(LARGE(Simulator!$CA$8:$CA$39,4),Simulator!$CA$8:$CA$39,0))</f>
        <v>46203</v>
      </c>
      <c r="E70" s="4">
        <f>INDEX(Simulator!$M$8:$M$39,MATCH(LARGE(Simulator!$CA$8:$CA$39,4),Simulator!$CA$8:$CA$39,0))</f>
        <v>46456</v>
      </c>
      <c r="F70" s="21">
        <f>INDEX(Simulator!$L$8:$L$39,MATCH(LARGE(Simulator!$CA$8:$CA$39,4),Simulator!$CA$8:$CA$39,0))</f>
        <v>0.73684210526315785</v>
      </c>
      <c r="G70" s="6">
        <f>INDEX(Simulator!$R$8:$R$39,MATCH(LARGE(Simulator!$CA$8:$CA$39,4),Simulator!$CA$8:$CA$39,0))</f>
        <v>767.01655533400003</v>
      </c>
    </row>
    <row r="71" spans="1:7" ht="17.25" customHeight="1" x14ac:dyDescent="0.2">
      <c r="A71" s="5" t="str">
        <f>INDEX(Simulator!$B$8:$B$39,MATCH(LARGE(Simulator!$CA$8:$CA$39,5),Simulator!$CA$8:$CA$39,0))</f>
        <v>One by Binghatti</v>
      </c>
      <c r="B71" s="5" t="str">
        <f>INDEX(Simulator!$C$8:$C$39,MATCH(LARGE(Simulator!$CA$8:$CA$39,5),Simulator!$CA$8:$CA$39,0))</f>
        <v>Active</v>
      </c>
      <c r="C71" s="20">
        <f>INDEX(Simulator!$H$8:$H$39,MATCH(LARGE(Simulator!$CA$8:$CA$39,5),Simulator!$CA$8:$CA$39,0))</f>
        <v>50</v>
      </c>
      <c r="D71" s="4">
        <f>INDEX(Simulator!$I$8:$I$39,MATCH(LARGE(Simulator!$CA$8:$CA$39,5),Simulator!$CA$8:$CA$39,0))</f>
        <v>46172</v>
      </c>
      <c r="E71" s="4">
        <f>INDEX(Simulator!$M$8:$M$39,MATCH(LARGE(Simulator!$CA$8:$CA$39,5),Simulator!$CA$8:$CA$39,0))</f>
        <v>46456</v>
      </c>
      <c r="F71" s="21">
        <f>INDEX(Simulator!$L$8:$L$39,MATCH(LARGE(Simulator!$CA$8:$CA$39,5),Simulator!$CA$8:$CA$39,0))</f>
        <v>0.84860557768924305</v>
      </c>
      <c r="G71" s="6">
        <f>INDEX(Simulator!$R$8:$R$39,MATCH(LARGE(Simulator!$CA$8:$CA$39,5),Simulator!$CA$8:$CA$39,0))</f>
        <v>748.16613644400002</v>
      </c>
    </row>
    <row r="72" spans="1:7" ht="17.25" customHeight="1" x14ac:dyDescent="0.2">
      <c r="A72" s="5" t="str">
        <f>INDEX(Simulator!$B$8:$B$39,MATCH(LARGE(Simulator!$CA$8:$CA$39,6),Simulator!$CA$8:$CA$39,0))</f>
        <v>Binghatti Aquarise</v>
      </c>
      <c r="B72" s="5" t="str">
        <f>INDEX(Simulator!$C$8:$C$39,MATCH(LARGE(Simulator!$CA$8:$CA$39,6),Simulator!$CA$8:$CA$39,0))</f>
        <v>Active</v>
      </c>
      <c r="C72" s="20">
        <f>INDEX(Simulator!$H$8:$H$39,MATCH(LARGE(Simulator!$CA$8:$CA$39,6),Simulator!$CA$8:$CA$39,0))</f>
        <v>21</v>
      </c>
      <c r="D72" s="4">
        <f>INDEX(Simulator!$I$8:$I$39,MATCH(LARGE(Simulator!$CA$8:$CA$39,6),Simulator!$CA$8:$CA$39,0))</f>
        <v>46326</v>
      </c>
      <c r="E72" s="4">
        <f>INDEX(Simulator!$M$8:$M$39,MATCH(LARGE(Simulator!$CA$8:$CA$39,6),Simulator!$CA$8:$CA$39,0))</f>
        <v>46326</v>
      </c>
      <c r="F72" s="21">
        <f>INDEX(Simulator!$L$8:$L$39,MATCH(LARGE(Simulator!$CA$8:$CA$39,6),Simulator!$CA$8:$CA$39,0))</f>
        <v>0.82702020202020199</v>
      </c>
      <c r="G72" s="6">
        <f>INDEX(Simulator!$R$8:$R$39,MATCH(LARGE(Simulator!$CA$8:$CA$39,6),Simulator!$CA$8:$CA$39,0))</f>
        <v>694.17354758531314</v>
      </c>
    </row>
    <row r="73" spans="1:7" ht="17.25" customHeight="1" x14ac:dyDescent="0.2">
      <c r="A73" s="5" t="str">
        <f>INDEX(Simulator!$B$8:$B$39,MATCH(LARGE(Simulator!$CA$8:$CA$39,7),Simulator!$CA$8:$CA$39,0))</f>
        <v>Binghatti Hillviews</v>
      </c>
      <c r="B73" s="5" t="str">
        <f>INDEX(Simulator!$C$8:$C$39,MATCH(LARGE(Simulator!$CA$8:$CA$39,7),Simulator!$CA$8:$CA$39,0))</f>
        <v>Active</v>
      </c>
      <c r="C73" s="20">
        <f>INDEX(Simulator!$H$8:$H$39,MATCH(LARGE(Simulator!$CA$8:$CA$39,7),Simulator!$CA$8:$CA$39,0))</f>
        <v>33</v>
      </c>
      <c r="D73" s="4">
        <f>INDEX(Simulator!$I$8:$I$39,MATCH(LARGE(Simulator!$CA$8:$CA$39,7),Simulator!$CA$8:$CA$39,0))</f>
        <v>46113</v>
      </c>
      <c r="E73" s="4">
        <f>INDEX(Simulator!$M$8:$M$39,MATCH(LARGE(Simulator!$CA$8:$CA$39,7),Simulator!$CA$8:$CA$39,0))</f>
        <v>46456</v>
      </c>
      <c r="F73" s="21">
        <f>INDEX(Simulator!$L$8:$L$39,MATCH(LARGE(Simulator!$CA$8:$CA$39,7),Simulator!$CA$8:$CA$39,0))</f>
        <v>0.99301587301587302</v>
      </c>
      <c r="G73" s="6">
        <f>INDEX(Simulator!$R$8:$R$39,MATCH(LARGE(Simulator!$CA$8:$CA$39,7),Simulator!$CA$8:$CA$39,0))</f>
        <v>520.36500989340709</v>
      </c>
    </row>
    <row r="74" spans="1:7" ht="17.25" customHeight="1" x14ac:dyDescent="0.2">
      <c r="A74" s="5" t="str">
        <f>INDEX(Simulator!$B$8:$B$39,MATCH(LARGE(Simulator!$CA$8:$CA$39,8),Simulator!$CA$8:$CA$39,0))</f>
        <v>Binghatti Elite</v>
      </c>
      <c r="B74" s="5" t="str">
        <f>INDEX(Simulator!$C$8:$C$39,MATCH(LARGE(Simulator!$CA$8:$CA$39,8),Simulator!$CA$8:$CA$39,0))</f>
        <v>Active</v>
      </c>
      <c r="C74" s="20">
        <f>INDEX(Simulator!$H$8:$H$39,MATCH(LARGE(Simulator!$CA$8:$CA$39,8),Simulator!$CA$8:$CA$39,0))</f>
        <v>53</v>
      </c>
      <c r="D74" s="4">
        <f>INDEX(Simulator!$I$8:$I$39,MATCH(LARGE(Simulator!$CA$8:$CA$39,8),Simulator!$CA$8:$CA$39,0))</f>
        <v>46203</v>
      </c>
      <c r="E74" s="4">
        <f>INDEX(Simulator!$M$8:$M$39,MATCH(LARGE(Simulator!$CA$8:$CA$39,8),Simulator!$CA$8:$CA$39,0))</f>
        <v>46456</v>
      </c>
      <c r="F74" s="21">
        <f>INDEX(Simulator!$L$8:$L$39,MATCH(LARGE(Simulator!$CA$8:$CA$39,8),Simulator!$CA$8:$CA$39,0))</f>
        <v>1</v>
      </c>
      <c r="G74" s="6">
        <f>INDEX(Simulator!$R$8:$R$39,MATCH(LARGE(Simulator!$CA$8:$CA$39,8),Simulator!$CA$8:$CA$39,0))</f>
        <v>405.96457831277894</v>
      </c>
    </row>
    <row r="75" spans="1:7" ht="17.25" customHeight="1" x14ac:dyDescent="0.2">
      <c r="A75" s="5" t="str">
        <f>INDEX(Simulator!$B$8:$B$39,MATCH(LARGE(Simulator!$CA$8:$CA$39,9),Simulator!$CA$8:$CA$39,0))</f>
        <v>Binghatti Skyhall</v>
      </c>
      <c r="B75" s="5" t="str">
        <f>INDEX(Simulator!$C$8:$C$39,MATCH(LARGE(Simulator!$CA$8:$CA$39,9),Simulator!$CA$8:$CA$39,0))</f>
        <v>Active</v>
      </c>
      <c r="C75" s="20">
        <f>INDEX(Simulator!$H$8:$H$39,MATCH(LARGE(Simulator!$CA$8:$CA$39,9),Simulator!$CA$8:$CA$39,0))</f>
        <v>31</v>
      </c>
      <c r="D75" s="4">
        <f>INDEX(Simulator!$I$8:$I$39,MATCH(LARGE(Simulator!$CA$8:$CA$39,9),Simulator!$CA$8:$CA$39,0))</f>
        <v>46265</v>
      </c>
      <c r="E75" s="4">
        <f>INDEX(Simulator!$M$8:$M$39,MATCH(LARGE(Simulator!$CA$8:$CA$39,9),Simulator!$CA$8:$CA$39,0))</f>
        <v>46456</v>
      </c>
      <c r="F75" s="21">
        <f>INDEX(Simulator!$L$8:$L$39,MATCH(LARGE(Simulator!$CA$8:$CA$39,9),Simulator!$CA$8:$CA$39,0))</f>
        <v>0.90109890109890112</v>
      </c>
      <c r="G75" s="6">
        <f>INDEX(Simulator!$R$8:$R$39,MATCH(LARGE(Simulator!$CA$8:$CA$39,9),Simulator!$CA$8:$CA$39,0))</f>
        <v>281.74409735140642</v>
      </c>
    </row>
    <row r="76" spans="1:7" ht="17.25" customHeight="1" x14ac:dyDescent="0.2">
      <c r="A76" s="5" t="str">
        <f>INDEX(Simulator!$B$8:$B$39,MATCH(LARGE(Simulator!$CA$8:$CA$39,10),Simulator!$CA$8:$CA$39,0))</f>
        <v>Binghatti Ruby</v>
      </c>
      <c r="B76" s="5" t="str">
        <f>INDEX(Simulator!$C$8:$C$39,MATCH(LARGE(Simulator!$CA$8:$CA$39,10),Simulator!$CA$8:$CA$39,0))</f>
        <v>Active</v>
      </c>
      <c r="C76" s="20">
        <f>INDEX(Simulator!$H$8:$H$39,MATCH(LARGE(Simulator!$CA$8:$CA$39,10),Simulator!$CA$8:$CA$39,0))</f>
        <v>46</v>
      </c>
      <c r="D76" s="4">
        <f>INDEX(Simulator!$I$8:$I$39,MATCH(LARGE(Simulator!$CA$8:$CA$39,10),Simulator!$CA$8:$CA$39,0))</f>
        <v>46081</v>
      </c>
      <c r="E76" s="4">
        <f>INDEX(Simulator!$M$8:$M$39,MATCH(LARGE(Simulator!$CA$8:$CA$39,10),Simulator!$CA$8:$CA$39,0))</f>
        <v>46456</v>
      </c>
      <c r="F76" s="21">
        <f>INDEX(Simulator!$L$8:$L$39,MATCH(LARGE(Simulator!$CA$8:$CA$39,10),Simulator!$CA$8:$CA$39,0))</f>
        <v>0.95382165605095537</v>
      </c>
      <c r="G76" s="6">
        <f>INDEX(Simulator!$R$8:$R$39,MATCH(LARGE(Simulator!$CA$8:$CA$39,10),Simulator!$CA$8:$CA$39,0))</f>
        <v>270.22983604127535</v>
      </c>
    </row>
    <row r="77" spans="1:7" ht="30" customHeight="1" x14ac:dyDescent="0.2">
      <c r="A77" s="1" t="s">
        <v>37</v>
      </c>
      <c r="B77" s="1"/>
      <c r="C77" s="1"/>
      <c r="D77" s="1"/>
      <c r="E77" s="1"/>
      <c r="F77" s="1"/>
      <c r="G77" s="1"/>
    </row>
    <row r="78" spans="1:7" x14ac:dyDescent="0.2">
      <c r="A78" s="1"/>
      <c r="B78" s="1"/>
      <c r="C78" s="1"/>
      <c r="D78" s="1"/>
      <c r="E78" s="1"/>
      <c r="F78" s="1"/>
      <c r="G78" s="1"/>
    </row>
    <row r="79" spans="1:7" x14ac:dyDescent="0.2">
      <c r="A79" s="2"/>
      <c r="B79" s="2"/>
      <c r="C79" s="2"/>
      <c r="D79" s="2"/>
      <c r="E79" s="2"/>
      <c r="F79" s="2"/>
      <c r="G79" s="2"/>
    </row>
    <row r="80" spans="1:7" ht="17.25" customHeight="1" x14ac:dyDescent="0.2">
      <c r="A80" s="8" t="s">
        <v>38</v>
      </c>
      <c r="B80" s="2"/>
      <c r="C80" s="2"/>
      <c r="D80" s="2"/>
      <c r="E80" s="2"/>
      <c r="F80" s="2"/>
      <c r="G80" s="2"/>
    </row>
    <row r="81" spans="1:7" ht="17.25" customHeight="1" x14ac:dyDescent="0.2">
      <c r="A81" s="2" t="s">
        <v>39</v>
      </c>
      <c r="B81" s="6">
        <f>COUNTA(Projects!A5:A72)</f>
        <v>68</v>
      </c>
      <c r="C81" s="2"/>
      <c r="D81" s="2"/>
      <c r="E81" s="2"/>
      <c r="F81" s="2"/>
      <c r="G81" s="2"/>
    </row>
    <row r="82" spans="1:7" ht="17.25" customHeight="1" x14ac:dyDescent="0.2">
      <c r="A82" s="2" t="s">
        <v>40</v>
      </c>
      <c r="B82" s="6">
        <f>COUNTIF(Projects!D5:D72,"&lt;&gt;Finished")</f>
        <v>32</v>
      </c>
      <c r="C82" s="2"/>
      <c r="D82" s="2"/>
      <c r="E82" s="2"/>
      <c r="F82" s="2"/>
      <c r="G82" s="2"/>
    </row>
    <row r="83" spans="1:7" ht="17.25" customHeight="1" x14ac:dyDescent="0.2">
      <c r="A83" s="2" t="s">
        <v>41</v>
      </c>
      <c r="B83" s="6">
        <f>Simulator!E40</f>
        <v>23645</v>
      </c>
      <c r="C83" s="2"/>
      <c r="D83" s="2"/>
      <c r="E83" s="2"/>
      <c r="F83" s="2"/>
      <c r="G83" s="2"/>
    </row>
    <row r="84" spans="1:7" ht="17.25" customHeight="1" x14ac:dyDescent="0.2">
      <c r="A84" s="2" t="s">
        <v>42</v>
      </c>
      <c r="B84" s="6">
        <f>Simulator!F40</f>
        <v>22216</v>
      </c>
      <c r="C84" s="2"/>
      <c r="D84" s="2"/>
      <c r="E84" s="2"/>
      <c r="F84" s="2"/>
      <c r="G84" s="2"/>
    </row>
    <row r="85" spans="1:7" ht="17.25" customHeight="1" x14ac:dyDescent="0.2">
      <c r="A85" s="2" t="s">
        <v>43</v>
      </c>
      <c r="B85" s="6">
        <f>Simulator!J40</f>
        <v>37362.292240999996</v>
      </c>
      <c r="C85" s="2"/>
      <c r="D85" s="2"/>
      <c r="E85" s="2"/>
      <c r="F85" s="2"/>
      <c r="G85" s="2"/>
    </row>
    <row r="86" spans="1:7" ht="17.25" customHeight="1" x14ac:dyDescent="0.2">
      <c r="A86" s="2" t="s">
        <v>44</v>
      </c>
      <c r="B86" s="6">
        <f>Simulator!U40</f>
        <v>10645.046012242823</v>
      </c>
      <c r="C86" s="2"/>
      <c r="D86" s="2"/>
      <c r="E86" s="2"/>
      <c r="F86" s="2"/>
      <c r="G86" s="2"/>
    </row>
    <row r="87" spans="1:7" ht="17.25" customHeight="1" x14ac:dyDescent="0.2">
      <c r="A87" s="2" t="s">
        <v>45</v>
      </c>
      <c r="B87" s="6">
        <f>Simulator!Q40</f>
        <v>4153.2761834554267</v>
      </c>
      <c r="C87" s="2"/>
      <c r="D87" s="2"/>
      <c r="E87" s="2"/>
      <c r="F87" s="2"/>
      <c r="G87" s="2"/>
    </row>
    <row r="88" spans="1:7" ht="17.25" customHeight="1" x14ac:dyDescent="0.2">
      <c r="A88" s="2" t="s">
        <v>46</v>
      </c>
      <c r="B88" s="6">
        <f>Simulator!U40-Simulator!Q40</f>
        <v>6491.7698287873964</v>
      </c>
      <c r="C88" s="2"/>
      <c r="D88" s="2"/>
      <c r="E88" s="2"/>
      <c r="F88" s="2"/>
      <c r="G88" s="2"/>
    </row>
    <row r="89" spans="1:7" ht="17.25" customHeight="1" x14ac:dyDescent="0.2">
      <c r="A89" s="2" t="s">
        <v>47</v>
      </c>
      <c r="B89" s="6">
        <f>Financials!D11</f>
        <v>10184</v>
      </c>
      <c r="C89" s="2"/>
      <c r="D89" s="2"/>
      <c r="E89" s="2"/>
      <c r="F89" s="2"/>
      <c r="G89" s="2"/>
    </row>
    <row r="90" spans="1:7" ht="56" customHeight="1" x14ac:dyDescent="0.2">
      <c r="A90" s="2" t="s">
        <v>48</v>
      </c>
      <c r="B90" s="6">
        <f>COUNTIFS(Projects!D5:D72,"&lt;&gt;Finished",Projects!F5:F72,"&lt;"&amp;$B$3)</f>
        <v>17</v>
      </c>
      <c r="C90" s="1" t="s">
        <v>49</v>
      </c>
      <c r="D90" s="1"/>
      <c r="E90" s="1"/>
      <c r="F90" s="1"/>
      <c r="G90" s="1"/>
    </row>
    <row r="91" spans="1:7" ht="17.25" customHeight="1" x14ac:dyDescent="0.2">
      <c r="A91" s="2" t="s">
        <v>50</v>
      </c>
      <c r="B91" s="6">
        <f>SUMIFS(Projects!I5:I72,Projects!D5:D72,"&lt;&gt;Finished",Projects!F5:F72,"&lt;"&amp;$B$3)</f>
        <v>10363</v>
      </c>
      <c r="C91" s="1"/>
      <c r="D91" s="1"/>
      <c r="E91" s="1"/>
      <c r="F91" s="1"/>
      <c r="G91" s="1"/>
    </row>
    <row r="92" spans="1:7" ht="17.25" customHeight="1" x14ac:dyDescent="0.2">
      <c r="A92" s="2" t="s">
        <v>51</v>
      </c>
      <c r="B92" s="6">
        <f>Projects!M73</f>
        <v>13300</v>
      </c>
      <c r="C92" s="2"/>
      <c r="D92" s="2"/>
      <c r="E92" s="2"/>
      <c r="F92" s="2"/>
      <c r="G92" s="2"/>
    </row>
    <row r="93" spans="1:7" ht="17.25" customHeight="1" x14ac:dyDescent="0.2">
      <c r="A93" s="2" t="s">
        <v>52</v>
      </c>
      <c r="B93" s="6">
        <f>Projects!N73</f>
        <v>22385.652043400012</v>
      </c>
      <c r="C93" s="2"/>
      <c r="D93" s="2"/>
      <c r="E93" s="2"/>
      <c r="F93" s="2"/>
      <c r="G93" s="2"/>
    </row>
    <row r="94" spans="1:7" ht="40.75" customHeight="1" x14ac:dyDescent="0.2">
      <c r="A94" s="2" t="s">
        <v>53</v>
      </c>
      <c r="B94" s="22">
        <f>IF($B$97&gt;0,Projects!M73/$B$97,"")</f>
        <v>7.1076243967871405E-2</v>
      </c>
      <c r="C94" s="18" t="s">
        <v>54</v>
      </c>
      <c r="D94" s="2"/>
      <c r="E94" s="2"/>
      <c r="F94" s="2"/>
      <c r="G94" s="2"/>
    </row>
    <row r="95" spans="1:7" ht="17.25" customHeight="1" x14ac:dyDescent="0.2">
      <c r="A95" s="2" t="s">
        <v>55</v>
      </c>
      <c r="B95" s="6">
        <f>Projects!S73</f>
        <v>397</v>
      </c>
      <c r="C95" s="2"/>
      <c r="D95" s="2"/>
      <c r="E95" s="2"/>
      <c r="F95" s="2"/>
      <c r="G95" s="2"/>
    </row>
    <row r="96" spans="1:7" ht="17.25" customHeight="1" x14ac:dyDescent="0.2">
      <c r="A96" s="2" t="s">
        <v>56</v>
      </c>
      <c r="B96" s="22">
        <f>Projects!T73/Projects!S73</f>
        <v>0.36272040302267</v>
      </c>
      <c r="C96" s="2"/>
      <c r="D96" s="2"/>
      <c r="E96" s="2"/>
      <c r="F96" s="2"/>
      <c r="G96" s="2"/>
    </row>
    <row r="97" spans="1:7" ht="17.25" customHeight="1" x14ac:dyDescent="0.2">
      <c r="A97" s="27" t="s">
        <v>473</v>
      </c>
      <c r="B97" s="23">
        <v>187123</v>
      </c>
      <c r="C97" s="2"/>
      <c r="D97" s="2"/>
      <c r="E97" s="2"/>
      <c r="F97" s="2"/>
      <c r="G97" s="2"/>
    </row>
    <row r="98" spans="1:7" ht="54.75" customHeight="1" x14ac:dyDescent="0.2">
      <c r="A98" s="1" t="s">
        <v>57</v>
      </c>
      <c r="B98" s="1"/>
      <c r="C98" s="1"/>
      <c r="D98" s="1"/>
      <c r="E98" s="1"/>
      <c r="F98" s="1"/>
      <c r="G98" s="1"/>
    </row>
    <row r="99" spans="1:7" x14ac:dyDescent="0.2">
      <c r="A99" s="1"/>
      <c r="B99" s="1"/>
      <c r="C99" s="1"/>
      <c r="D99" s="1"/>
      <c r="E99" s="1"/>
      <c r="F99" s="1"/>
      <c r="G99" s="1"/>
    </row>
    <row r="100" spans="1:7" x14ac:dyDescent="0.2">
      <c r="A100" s="101"/>
      <c r="B100" s="101"/>
      <c r="C100" s="101"/>
      <c r="D100" s="101"/>
      <c r="E100" s="101"/>
      <c r="F100" s="101"/>
      <c r="G100" s="101"/>
    </row>
    <row r="101" spans="1:7" ht="31.5" customHeight="1" x14ac:dyDescent="0.2">
      <c r="A101" s="48" t="s">
        <v>683</v>
      </c>
      <c r="B101" s="102" t="s">
        <v>684</v>
      </c>
      <c r="C101" s="102"/>
      <c r="D101" s="102"/>
      <c r="E101" s="102"/>
      <c r="F101" s="102"/>
      <c r="G101" s="102"/>
    </row>
    <row r="102" spans="1:7" ht="31.5" customHeight="1" x14ac:dyDescent="0.2">
      <c r="A102" s="48" t="s">
        <v>685</v>
      </c>
      <c r="B102" s="102" t="s">
        <v>686</v>
      </c>
      <c r="C102" s="102"/>
      <c r="D102" s="102"/>
      <c r="E102" s="102"/>
      <c r="F102" s="102"/>
      <c r="G102" s="102"/>
    </row>
    <row r="103" spans="1:7" ht="31.5" customHeight="1" x14ac:dyDescent="0.2">
      <c r="A103" s="48" t="s">
        <v>687</v>
      </c>
      <c r="B103" s="102" t="s">
        <v>688</v>
      </c>
      <c r="C103" s="102"/>
      <c r="D103" s="102"/>
      <c r="E103" s="102"/>
      <c r="F103" s="102"/>
      <c r="G103" s="102"/>
    </row>
    <row r="104" spans="1:7" ht="31.5" customHeight="1" x14ac:dyDescent="0.2">
      <c r="A104" s="48" t="s">
        <v>689</v>
      </c>
      <c r="B104" s="102" t="s">
        <v>690</v>
      </c>
      <c r="C104" s="102"/>
      <c r="D104" s="102"/>
      <c r="E104" s="102"/>
      <c r="F104" s="102"/>
      <c r="G104" s="102"/>
    </row>
    <row r="105" spans="1:7" ht="31.5" customHeight="1" x14ac:dyDescent="0.2">
      <c r="A105" s="48" t="s">
        <v>691</v>
      </c>
      <c r="B105" s="102" t="s">
        <v>692</v>
      </c>
      <c r="C105" s="102"/>
      <c r="D105" s="102"/>
      <c r="E105" s="102"/>
      <c r="F105" s="102"/>
      <c r="G105" s="102"/>
    </row>
    <row r="106" spans="1:7" ht="31.5" customHeight="1" x14ac:dyDescent="0.2">
      <c r="A106" s="48" t="s">
        <v>693</v>
      </c>
      <c r="B106" s="102" t="s">
        <v>694</v>
      </c>
      <c r="C106" s="102"/>
      <c r="D106" s="102"/>
      <c r="E106" s="102"/>
      <c r="F106" s="102"/>
      <c r="G106" s="102"/>
    </row>
    <row r="107" spans="1:7" ht="31.5" customHeight="1" x14ac:dyDescent="0.2">
      <c r="A107" s="48" t="s">
        <v>695</v>
      </c>
      <c r="B107" s="102" t="s">
        <v>696</v>
      </c>
      <c r="C107" s="102"/>
      <c r="D107" s="102"/>
      <c r="E107" s="102"/>
      <c r="F107" s="102"/>
      <c r="G107" s="102"/>
    </row>
    <row r="109" spans="1:7" ht="19.5" customHeight="1" x14ac:dyDescent="0.2">
      <c r="A109" s="129" t="s">
        <v>706</v>
      </c>
      <c r="B109" s="129"/>
      <c r="C109" s="129"/>
      <c r="D109" s="129"/>
      <c r="E109" s="129"/>
      <c r="F109" s="129"/>
      <c r="G109" s="129"/>
    </row>
  </sheetData>
  <mergeCells count="20">
    <mergeCell ref="A1:G1"/>
    <mergeCell ref="B106:G106"/>
    <mergeCell ref="B107:G107"/>
    <mergeCell ref="A2:G2"/>
    <mergeCell ref="E5:G5"/>
    <mergeCell ref="A109:G109"/>
    <mergeCell ref="A9:G9"/>
    <mergeCell ref="A13:G13"/>
    <mergeCell ref="B6:C6"/>
    <mergeCell ref="D6:E6"/>
    <mergeCell ref="B101:G101"/>
    <mergeCell ref="B102:G102"/>
    <mergeCell ref="B103:G103"/>
    <mergeCell ref="B104:G104"/>
    <mergeCell ref="B105:G105"/>
    <mergeCell ref="A29:G30"/>
    <mergeCell ref="A62:G63"/>
    <mergeCell ref="A77:G78"/>
    <mergeCell ref="C90:G91"/>
    <mergeCell ref="A98:G100"/>
  </mergeCells>
  <printOptions horizontalCentered="1"/>
  <pageMargins left="0.75" right="0.75" top="1" bottom="1" header="0.511811023622047" footer="0.511811023622047"/>
  <pageSetup paperSize="9" scale="49" fitToHeight="0"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84B0-7728-C545-9F02-1A22B5B010A4}">
  <sheetPr>
    <tabColor rgb="FFE36C0A"/>
    <pageSetUpPr fitToPage="1"/>
  </sheetPr>
  <dimension ref="A1:L90"/>
  <sheetViews>
    <sheetView showGridLines="0" workbookViewId="0">
      <pane xSplit="2" ySplit="2" topLeftCell="C3" activePane="bottomRight" state="frozen"/>
      <selection pane="topRight" activeCell="C1" sqref="C1"/>
      <selection pane="bottomLeft" activeCell="A3" sqref="A3"/>
      <selection pane="bottomRight" activeCell="C45" sqref="C45"/>
    </sheetView>
  </sheetViews>
  <sheetFormatPr baseColWidth="10" defaultRowHeight="15" outlineLevelRow="1" x14ac:dyDescent="0.2"/>
  <cols>
    <col min="1" max="1" width="55" customWidth="1"/>
    <col min="2" max="2" width="35.83203125" customWidth="1"/>
    <col min="3" max="9" width="12.6640625" customWidth="1"/>
    <col min="10" max="10" width="2.6640625" customWidth="1"/>
    <col min="11" max="11" width="35" customWidth="1"/>
    <col min="12" max="12" width="12.6640625" customWidth="1"/>
  </cols>
  <sheetData>
    <row r="1" spans="1:12" ht="27.25" customHeight="1" x14ac:dyDescent="0.2">
      <c r="A1" s="338" t="s">
        <v>971</v>
      </c>
      <c r="B1" s="338"/>
      <c r="C1" s="338"/>
      <c r="D1" s="338"/>
      <c r="E1" s="338"/>
      <c r="F1" s="338"/>
      <c r="G1" s="338"/>
      <c r="H1" s="338"/>
      <c r="I1" s="338"/>
      <c r="J1" s="343"/>
      <c r="K1" s="343"/>
      <c r="L1" s="343"/>
    </row>
    <row r="2" spans="1:12" ht="33" customHeight="1" x14ac:dyDescent="0.2">
      <c r="A2" s="116" t="s">
        <v>972</v>
      </c>
      <c r="B2" s="116"/>
      <c r="C2" s="116"/>
      <c r="D2" s="116"/>
      <c r="E2" s="116"/>
      <c r="F2" s="116"/>
      <c r="G2" s="116"/>
      <c r="H2" s="116"/>
      <c r="I2" s="116"/>
      <c r="J2" s="344"/>
      <c r="K2" s="344"/>
      <c r="L2" s="344"/>
    </row>
    <row r="3" spans="1:12" x14ac:dyDescent="0.2">
      <c r="A3" s="35"/>
      <c r="B3" s="35"/>
      <c r="C3" s="35"/>
      <c r="D3" s="35"/>
      <c r="E3" s="35"/>
      <c r="F3" s="35"/>
      <c r="G3" s="35"/>
      <c r="H3" s="35"/>
      <c r="I3" s="35"/>
      <c r="J3" s="35"/>
      <c r="K3" s="35"/>
      <c r="L3" s="35"/>
    </row>
    <row r="4" spans="1:12" ht="18.5" customHeight="1" x14ac:dyDescent="0.2">
      <c r="A4" s="40" t="s">
        <v>651</v>
      </c>
      <c r="B4" s="40"/>
      <c r="C4" s="40"/>
      <c r="D4" s="40"/>
      <c r="E4" s="40"/>
      <c r="F4" s="40"/>
      <c r="G4" s="40"/>
      <c r="H4" s="40"/>
      <c r="I4" s="40"/>
      <c r="J4" s="40"/>
      <c r="K4" s="40"/>
      <c r="L4" s="40"/>
    </row>
    <row r="5" spans="1:12" ht="31.5" customHeight="1" x14ac:dyDescent="0.2">
      <c r="A5" s="102" t="s">
        <v>652</v>
      </c>
      <c r="B5" s="102"/>
      <c r="C5" s="102"/>
      <c r="D5" s="102"/>
      <c r="E5" s="102"/>
      <c r="F5" s="102"/>
      <c r="G5" s="102"/>
      <c r="H5" s="102"/>
      <c r="I5" s="102"/>
      <c r="J5" s="35"/>
      <c r="K5" s="35"/>
      <c r="L5" s="35"/>
    </row>
    <row r="6" spans="1:12" ht="31.5" customHeight="1" x14ac:dyDescent="0.2">
      <c r="A6" s="102" t="s">
        <v>653</v>
      </c>
      <c r="B6" s="102"/>
      <c r="C6" s="102"/>
      <c r="D6" s="102"/>
      <c r="E6" s="102"/>
      <c r="F6" s="102"/>
      <c r="G6" s="102"/>
      <c r="H6" s="102"/>
      <c r="I6" s="102"/>
      <c r="J6" s="35"/>
      <c r="K6" s="35"/>
      <c r="L6" s="35"/>
    </row>
    <row r="7" spans="1:12" ht="20" customHeight="1" x14ac:dyDescent="0.2">
      <c r="A7" s="277" t="s">
        <v>959</v>
      </c>
      <c r="B7" s="277"/>
      <c r="C7" s="277"/>
      <c r="D7" s="277"/>
      <c r="E7" s="277"/>
      <c r="F7" s="277"/>
      <c r="G7" s="277"/>
      <c r="H7" s="277"/>
      <c r="I7" s="277"/>
      <c r="J7" s="28"/>
      <c r="K7" s="28"/>
      <c r="L7" s="28"/>
    </row>
    <row r="8" spans="1:12" ht="47" customHeight="1" x14ac:dyDescent="0.2">
      <c r="A8" s="278" t="s">
        <v>960</v>
      </c>
      <c r="B8" s="278"/>
      <c r="C8" s="278"/>
      <c r="D8" s="278"/>
      <c r="E8" s="278"/>
      <c r="F8" s="278"/>
      <c r="G8" s="278"/>
      <c r="H8" s="278"/>
      <c r="I8" s="278"/>
      <c r="J8" s="28"/>
      <c r="K8" s="28"/>
      <c r="L8" s="28"/>
    </row>
    <row r="9" spans="1:12" ht="18" customHeight="1" x14ac:dyDescent="0.2">
      <c r="A9" s="275" t="s">
        <v>961</v>
      </c>
      <c r="B9" s="230" t="s">
        <v>654</v>
      </c>
      <c r="C9" s="282" t="s">
        <v>251</v>
      </c>
      <c r="D9" s="282"/>
      <c r="E9" s="282"/>
      <c r="F9" s="282"/>
      <c r="G9" s="282"/>
      <c r="H9" s="282"/>
      <c r="I9" s="282"/>
      <c r="J9" s="28"/>
      <c r="K9" s="28"/>
      <c r="L9" s="28"/>
    </row>
    <row r="10" spans="1:12" ht="18" customHeight="1" x14ac:dyDescent="0.2">
      <c r="A10" s="276" t="s">
        <v>962</v>
      </c>
      <c r="B10" s="272">
        <f>$C$36</f>
        <v>3.7916279057820979</v>
      </c>
      <c r="C10" s="281" t="s">
        <v>963</v>
      </c>
      <c r="D10" s="281"/>
      <c r="E10" s="281"/>
      <c r="F10" s="281"/>
      <c r="G10" s="281"/>
      <c r="H10" s="281"/>
      <c r="I10" s="281"/>
      <c r="J10" s="28"/>
      <c r="K10" s="28"/>
      <c r="L10" s="28"/>
    </row>
    <row r="11" spans="1:12" ht="18" customHeight="1" x14ac:dyDescent="0.2">
      <c r="A11" s="276" t="s">
        <v>964</v>
      </c>
      <c r="B11" s="273">
        <f>'Cash flow'!$F$94</f>
        <v>0.80256024648203728</v>
      </c>
      <c r="C11" s="281" t="s">
        <v>965</v>
      </c>
      <c r="D11" s="281"/>
      <c r="E11" s="281"/>
      <c r="F11" s="281"/>
      <c r="G11" s="281"/>
      <c r="H11" s="281"/>
      <c r="I11" s="281"/>
      <c r="J11" s="28"/>
      <c r="K11" s="28"/>
      <c r="L11" s="28"/>
    </row>
    <row r="12" spans="1:12" ht="18" customHeight="1" x14ac:dyDescent="0.2">
      <c r="A12" s="276" t="s">
        <v>966</v>
      </c>
      <c r="B12" s="374">
        <f>'Cash flow'!$G$94</f>
        <v>362.54874739735897</v>
      </c>
      <c r="C12" s="281" t="s">
        <v>967</v>
      </c>
      <c r="D12" s="281"/>
      <c r="E12" s="281"/>
      <c r="F12" s="281"/>
      <c r="G12" s="281"/>
      <c r="H12" s="281"/>
      <c r="I12" s="281"/>
      <c r="J12" s="28"/>
      <c r="K12" s="28"/>
      <c r="L12" s="28"/>
    </row>
    <row r="13" spans="1:12" ht="31" customHeight="1" x14ac:dyDescent="0.2">
      <c r="A13" s="276" t="s">
        <v>968</v>
      </c>
      <c r="B13" s="375">
        <f>IF('Cash flow'!$G$63&gt;0,Scenarios!$F$15-'Cash flow'!$G$94/('Cash flow'!$G$63/Scenarios!$F$15),"")</f>
        <v>0.52492756050969014</v>
      </c>
      <c r="C13" s="281" t="str">
        <f>"Against "&amp;TEXT(Scenarios!$F$15,"0.0%")&amp;" assumed. Cost is the one input that flips the answer within a few percentage points, which is why it is the first thing to replace with real data."</f>
        <v>Against 55.0% assumed. Cost is the one input that flips the answer within a few percentage points, which is why it is the first thing to replace with real data.</v>
      </c>
      <c r="D13" s="281"/>
      <c r="E13" s="281"/>
      <c r="F13" s="281"/>
      <c r="G13" s="281"/>
      <c r="H13" s="281"/>
      <c r="I13" s="281"/>
      <c r="J13" s="28"/>
      <c r="K13" s="28"/>
      <c r="L13" s="28"/>
    </row>
    <row r="14" spans="1:12" ht="31" customHeight="1" x14ac:dyDescent="0.2">
      <c r="A14" s="276" t="s">
        <v>969</v>
      </c>
      <c r="B14" s="274">
        <f>$B$45</f>
        <v>28.529460834946178</v>
      </c>
      <c r="C14" s="281" t="s">
        <v>970</v>
      </c>
      <c r="D14" s="281"/>
      <c r="E14" s="281"/>
      <c r="F14" s="281"/>
      <c r="G14" s="281"/>
      <c r="H14" s="281"/>
      <c r="I14" s="281"/>
      <c r="J14" s="28"/>
      <c r="K14" s="28"/>
      <c r="L14" s="28"/>
    </row>
    <row r="15" spans="1:12" x14ac:dyDescent="0.2">
      <c r="A15" s="35"/>
      <c r="B15" s="35"/>
      <c r="C15" s="35"/>
      <c r="D15" s="35"/>
      <c r="E15" s="35"/>
      <c r="F15" s="35"/>
      <c r="G15" s="35"/>
      <c r="H15" s="35"/>
      <c r="I15" s="35"/>
      <c r="J15" s="35"/>
      <c r="K15" s="35"/>
      <c r="L15" s="35"/>
    </row>
    <row r="16" spans="1:12" ht="18.5" customHeight="1" x14ac:dyDescent="0.2">
      <c r="A16" s="40" t="s">
        <v>973</v>
      </c>
      <c r="B16" s="40"/>
      <c r="C16" s="40"/>
      <c r="D16" s="40"/>
      <c r="E16" s="40"/>
      <c r="F16" s="40"/>
      <c r="G16" s="40"/>
      <c r="H16" s="40"/>
      <c r="I16" s="40"/>
      <c r="J16" s="40"/>
      <c r="K16" s="40"/>
      <c r="L16" s="40"/>
    </row>
    <row r="17" spans="1:12" ht="17.25" customHeight="1" x14ac:dyDescent="0.2">
      <c r="A17" s="65" t="s">
        <v>61</v>
      </c>
      <c r="B17" s="65" t="s">
        <v>654</v>
      </c>
      <c r="C17" s="65" t="s">
        <v>655</v>
      </c>
      <c r="D17" s="35"/>
      <c r="E17" s="35"/>
      <c r="F17" s="35"/>
      <c r="G17" s="35"/>
      <c r="H17" s="35"/>
      <c r="I17" s="35"/>
      <c r="J17" s="35"/>
      <c r="K17" s="35"/>
      <c r="L17" s="35"/>
    </row>
    <row r="18" spans="1:12" ht="18.25" customHeight="1" x14ac:dyDescent="0.2">
      <c r="A18" s="66" t="s">
        <v>656</v>
      </c>
      <c r="B18" s="67">
        <f>Scenarios!$B$9</f>
        <v>0.6</v>
      </c>
      <c r="C18" s="43" t="s">
        <v>657</v>
      </c>
      <c r="D18" s="35"/>
      <c r="E18" s="35"/>
      <c r="F18" s="35"/>
      <c r="G18" s="35"/>
      <c r="H18" s="35"/>
      <c r="I18" s="35"/>
      <c r="J18" s="35"/>
      <c r="K18" s="35"/>
      <c r="L18" s="35"/>
    </row>
    <row r="19" spans="1:12" ht="18.25" customHeight="1" x14ac:dyDescent="0.2">
      <c r="A19" s="66" t="s">
        <v>658</v>
      </c>
      <c r="B19" s="67">
        <f>Scenarios!$B$10</f>
        <v>0</v>
      </c>
      <c r="C19" s="43" t="s">
        <v>657</v>
      </c>
      <c r="D19" s="35"/>
      <c r="E19" s="35"/>
      <c r="F19" s="35"/>
      <c r="G19" s="35"/>
      <c r="H19" s="35"/>
      <c r="I19" s="35"/>
      <c r="J19" s="35"/>
      <c r="K19" s="35"/>
      <c r="L19" s="35"/>
    </row>
    <row r="20" spans="1:12" ht="18.25" customHeight="1" x14ac:dyDescent="0.2">
      <c r="A20" s="66" t="s">
        <v>659</v>
      </c>
      <c r="B20" s="67">
        <f>Scenarios!$B$11</f>
        <v>0.1</v>
      </c>
      <c r="C20" s="43" t="s">
        <v>657</v>
      </c>
      <c r="D20" s="35"/>
      <c r="E20" s="35"/>
      <c r="F20" s="35"/>
      <c r="G20" s="35"/>
      <c r="H20" s="35"/>
      <c r="I20" s="35"/>
      <c r="J20" s="35"/>
      <c r="K20" s="35"/>
      <c r="L20" s="35"/>
    </row>
    <row r="21" spans="1:12" ht="18.25" customHeight="1" x14ac:dyDescent="0.2">
      <c r="A21" s="66" t="s">
        <v>660</v>
      </c>
      <c r="B21" s="67">
        <f>Scenarios!$B$12</f>
        <v>0.3</v>
      </c>
      <c r="C21" s="43" t="s">
        <v>657</v>
      </c>
      <c r="D21" s="35"/>
      <c r="E21" s="35"/>
      <c r="F21" s="35"/>
      <c r="G21" s="35"/>
      <c r="H21" s="35"/>
      <c r="I21" s="35"/>
      <c r="J21" s="35"/>
      <c r="K21" s="35"/>
      <c r="L21" s="35"/>
    </row>
    <row r="22" spans="1:12" ht="18.25" customHeight="1" x14ac:dyDescent="0.2">
      <c r="A22" s="66" t="s">
        <v>661</v>
      </c>
      <c r="B22" s="67">
        <f>Scenarios!$B$13</f>
        <v>0.05</v>
      </c>
      <c r="C22" s="43" t="s">
        <v>657</v>
      </c>
      <c r="D22" s="35"/>
      <c r="E22" s="35"/>
      <c r="F22" s="35"/>
      <c r="G22" s="35"/>
      <c r="H22" s="35"/>
      <c r="I22" s="35"/>
      <c r="J22" s="35"/>
      <c r="K22" s="35"/>
      <c r="L22" s="35"/>
    </row>
    <row r="23" spans="1:12" ht="18.25" customHeight="1" x14ac:dyDescent="0.2">
      <c r="A23" s="66" t="s">
        <v>662</v>
      </c>
      <c r="B23" s="68">
        <f>Scenarios!$B$14</f>
        <v>8</v>
      </c>
      <c r="C23" s="43" t="s">
        <v>657</v>
      </c>
      <c r="D23" s="35"/>
      <c r="E23" s="35"/>
      <c r="F23" s="35"/>
      <c r="G23" s="35"/>
      <c r="H23" s="35"/>
      <c r="I23" s="35"/>
      <c r="J23" s="35"/>
      <c r="K23" s="35"/>
      <c r="L23" s="35"/>
    </row>
    <row r="24" spans="1:12" ht="18.25" customHeight="1" x14ac:dyDescent="0.2">
      <c r="A24" s="66" t="s">
        <v>663</v>
      </c>
      <c r="B24" s="69">
        <f>Scenarios!$B$6</f>
        <v>6</v>
      </c>
      <c r="C24" s="43" t="s">
        <v>657</v>
      </c>
      <c r="D24" s="35"/>
      <c r="E24" s="35"/>
      <c r="F24" s="35"/>
      <c r="G24" s="35"/>
      <c r="H24" s="35"/>
      <c r="I24" s="35"/>
      <c r="J24" s="35"/>
      <c r="K24" s="35"/>
      <c r="L24" s="35"/>
    </row>
    <row r="25" spans="1:12" ht="18.25" customHeight="1" x14ac:dyDescent="0.2">
      <c r="A25" s="66" t="s">
        <v>664</v>
      </c>
      <c r="B25" s="69">
        <f>Scenarios!$B$7</f>
        <v>24</v>
      </c>
      <c r="C25" s="43" t="s">
        <v>657</v>
      </c>
      <c r="D25" s="35"/>
      <c r="E25" s="35"/>
      <c r="F25" s="35"/>
      <c r="G25" s="35"/>
      <c r="H25" s="35"/>
      <c r="I25" s="35"/>
      <c r="J25" s="35"/>
      <c r="K25" s="35"/>
      <c r="L25" s="35"/>
    </row>
    <row r="26" spans="1:12" ht="18.25" customHeight="1" x14ac:dyDescent="0.2">
      <c r="A26" s="66" t="s">
        <v>478</v>
      </c>
      <c r="B26" s="70">
        <f>Simulator!$C$3</f>
        <v>46275</v>
      </c>
      <c r="C26" s="43" t="s">
        <v>495</v>
      </c>
      <c r="D26" s="35"/>
      <c r="E26" s="35"/>
      <c r="F26" s="35"/>
      <c r="G26" s="35"/>
      <c r="H26" s="35"/>
      <c r="I26" s="35"/>
      <c r="J26" s="35"/>
      <c r="K26" s="35"/>
      <c r="L26" s="35"/>
    </row>
    <row r="27" spans="1:12" ht="18.25" customHeight="1" x14ac:dyDescent="0.2">
      <c r="A27" s="66" t="s">
        <v>665</v>
      </c>
      <c r="B27" s="71">
        <v>5</v>
      </c>
      <c r="C27" s="43" t="s">
        <v>666</v>
      </c>
      <c r="D27" s="35"/>
      <c r="E27" s="35"/>
      <c r="F27" s="35"/>
      <c r="G27" s="35"/>
      <c r="H27" s="35"/>
      <c r="I27" s="35"/>
      <c r="J27" s="35"/>
      <c r="K27" s="35"/>
      <c r="L27" s="35"/>
    </row>
    <row r="28" spans="1:12" ht="18.25" customHeight="1" x14ac:dyDescent="0.2">
      <c r="A28" s="66" t="s">
        <v>667</v>
      </c>
      <c r="B28" s="72">
        <f>Dashboard!$C$17</f>
        <v>686.5758979755999</v>
      </c>
      <c r="C28" s="43" t="s">
        <v>492</v>
      </c>
      <c r="D28" s="35"/>
      <c r="E28" s="35"/>
      <c r="F28" s="35"/>
      <c r="G28" s="35"/>
      <c r="H28" s="35"/>
      <c r="I28" s="35"/>
      <c r="J28" s="35"/>
      <c r="K28" s="35"/>
      <c r="L28" s="35"/>
    </row>
    <row r="29" spans="1:12" ht="18.25" customHeight="1" x14ac:dyDescent="0.2">
      <c r="A29" s="66" t="s">
        <v>484</v>
      </c>
      <c r="B29" s="72">
        <f>Dashboard!$B$17</f>
        <v>2868.2224999999999</v>
      </c>
      <c r="C29" s="43" t="s">
        <v>668</v>
      </c>
      <c r="D29" s="35"/>
      <c r="E29" s="35"/>
      <c r="F29" s="35"/>
      <c r="G29" s="35"/>
      <c r="H29" s="35"/>
      <c r="I29" s="35"/>
      <c r="J29" s="35"/>
      <c r="K29" s="35"/>
      <c r="L29" s="35"/>
    </row>
    <row r="30" spans="1:12" x14ac:dyDescent="0.2">
      <c r="A30" s="35"/>
      <c r="B30" s="35"/>
      <c r="C30" s="35"/>
      <c r="D30" s="35"/>
      <c r="E30" s="35"/>
      <c r="F30" s="35"/>
      <c r="G30" s="35"/>
      <c r="H30" s="35"/>
      <c r="I30" s="35"/>
      <c r="J30" s="35"/>
      <c r="K30" s="35"/>
      <c r="L30" s="35"/>
    </row>
    <row r="31" spans="1:12" x14ac:dyDescent="0.2">
      <c r="A31" s="35"/>
      <c r="B31" s="35"/>
      <c r="C31" s="35"/>
      <c r="D31" s="35"/>
      <c r="E31" s="35"/>
      <c r="F31" s="35"/>
      <c r="G31" s="35"/>
      <c r="H31" s="35"/>
      <c r="I31" s="35"/>
      <c r="J31" s="35"/>
      <c r="K31" s="35"/>
      <c r="L31" s="35"/>
    </row>
    <row r="32" spans="1:12" ht="19.5" customHeight="1" x14ac:dyDescent="0.2">
      <c r="A32" s="129" t="s">
        <v>974</v>
      </c>
      <c r="B32" s="129"/>
      <c r="C32" s="129"/>
      <c r="D32" s="129"/>
      <c r="E32" s="129"/>
      <c r="F32" s="129"/>
      <c r="G32" s="129"/>
      <c r="H32" s="129"/>
      <c r="I32" s="129"/>
      <c r="J32" s="40"/>
      <c r="K32" s="40"/>
      <c r="L32" s="40"/>
    </row>
    <row r="33" spans="1:12" ht="31.5" customHeight="1" x14ac:dyDescent="0.2">
      <c r="A33" s="102" t="s">
        <v>975</v>
      </c>
      <c r="B33" s="102"/>
      <c r="C33" s="102"/>
      <c r="D33" s="102"/>
      <c r="E33" s="102"/>
      <c r="F33" s="102"/>
      <c r="G33" s="102"/>
      <c r="H33" s="102"/>
      <c r="I33" s="102"/>
      <c r="J33" s="35"/>
      <c r="K33" s="35"/>
      <c r="L33" s="35"/>
    </row>
    <row r="34" spans="1:12" x14ac:dyDescent="0.2">
      <c r="A34" s="35"/>
      <c r="B34" s="35"/>
      <c r="C34" s="35"/>
      <c r="D34" s="35"/>
      <c r="E34" s="35"/>
      <c r="F34" s="35"/>
      <c r="G34" s="35"/>
      <c r="H34" s="35"/>
      <c r="I34" s="35"/>
      <c r="J34" s="35"/>
      <c r="K34" s="35"/>
      <c r="L34" s="35"/>
    </row>
    <row r="35" spans="1:12" ht="31.5" customHeight="1" x14ac:dyDescent="0.2">
      <c r="A35" s="35"/>
      <c r="B35" s="73" t="s">
        <v>669</v>
      </c>
      <c r="C35" s="74">
        <v>0</v>
      </c>
      <c r="D35" s="74">
        <v>0.05</v>
      </c>
      <c r="E35" s="74">
        <v>0.1</v>
      </c>
      <c r="F35" s="74">
        <v>0.15</v>
      </c>
      <c r="G35" s="74">
        <v>0.2</v>
      </c>
      <c r="H35" s="74">
        <v>0.25</v>
      </c>
      <c r="I35" s="74">
        <v>0.3</v>
      </c>
      <c r="J35" s="35"/>
      <c r="K35" s="35"/>
      <c r="L35" s="35"/>
    </row>
    <row r="36" spans="1:12" ht="15.75" customHeight="1" x14ac:dyDescent="0.2">
      <c r="A36" s="35"/>
      <c r="B36" s="75">
        <v>0</v>
      </c>
      <c r="C36" s="89" cm="1">
        <f t="array" ref="C36">_xlfn.LET(_xlpm.rf,INDEX($F$57:$L$88,0,MATCH($B36,$F$56:$L$56,0)),_xlpm.x,($C$57:$C$88*(1-C$35)+$D$57:$D$88)*_xlpm.rf-$E$57:$E$88,_xlpm.rel,SUMPRODUCT(_xlpm.x*(_xlpm.x&gt;0)),($B$28+_xlpm.rel)/$B$29)</f>
        <v>3.7916279057820979</v>
      </c>
      <c r="D36" s="90" cm="1">
        <f t="array" ref="D36">_xlfn.LET(_xlpm.rf,INDEX($F$57:$L$88,0,MATCH($B36,$F$56:$L$56,0)),_xlpm.x,($C$57:$C$88*(1-D$35)+$D$57:$D$88)*_xlpm.rf-$E$57:$E$88,_xlpm.rel,SUMPRODUCT(_xlpm.x*(_xlpm.x&gt;0)),($B$28+_xlpm.rel)/$B$29)</f>
        <v>3.5666074728193955</v>
      </c>
      <c r="E36" s="90" cm="1">
        <f t="array" ref="E36">_xlfn.LET(_xlpm.rf,INDEX($F$57:$L$88,0,MATCH($B36,$F$56:$L$56,0)),_xlpm.x,($C$57:$C$88*(1-E$35)+$D$57:$D$88)*_xlpm.rf-$E$57:$E$88,_xlpm.rel,SUMPRODUCT(_xlpm.x*(_xlpm.x&gt;0)),($B$28+_xlpm.rel)/$B$29)</f>
        <v>3.3427603301473603</v>
      </c>
      <c r="F36" s="90" cm="1">
        <f t="array" ref="F36">_xlfn.LET(_xlpm.rf,INDEX($F$57:$L$88,0,MATCH($B36,$F$56:$L$56,0)),_xlpm.x,($C$57:$C$88*(1-F$35)+$D$57:$D$88)*_xlpm.rf-$E$57:$E$88,_xlpm.rel,SUMPRODUCT(_xlpm.x*(_xlpm.x&gt;0)),($B$28+_xlpm.rel)/$B$29)</f>
        <v>3.1277083184306398</v>
      </c>
      <c r="G36" s="90" cm="1">
        <f t="array" ref="G36">_xlfn.LET(_xlpm.rf,INDEX($F$57:$L$88,0,MATCH($B36,$F$56:$L$56,0)),_xlpm.x,($C$57:$C$88*(1-G$35)+$D$57:$D$88)*_xlpm.rf-$E$57:$E$88,_xlpm.rel,SUMPRODUCT(_xlpm.x*(_xlpm.x&gt;0)),($B$28+_xlpm.rel)/$B$29)</f>
        <v>2.9126563067139184</v>
      </c>
      <c r="H36" s="90" cm="1">
        <f t="array" ref="H36">_xlfn.LET(_xlpm.rf,INDEX($F$57:$L$88,0,MATCH($B36,$F$56:$L$56,0)),_xlpm.x,($C$57:$C$88*(1-H$35)+$D$57:$D$88)*_xlpm.rf-$E$57:$E$88,_xlpm.rel,SUMPRODUCT(_xlpm.x*(_xlpm.x&gt;0)),($B$28+_xlpm.rel)/$B$29)</f>
        <v>2.6976042949971974</v>
      </c>
      <c r="I36" s="91" cm="1">
        <f t="array" ref="I36">_xlfn.LET(_xlpm.rf,INDEX($F$57:$L$88,0,MATCH($B36,$F$56:$L$56,0)),_xlpm.x,($C$57:$C$88*(1-I$35)+$D$57:$D$88)*_xlpm.rf-$E$57:$E$88,_xlpm.rel,SUMPRODUCT(_xlpm.x*(_xlpm.x&gt;0)),($B$28+_xlpm.rel)/$B$29)</f>
        <v>2.4825522832804769</v>
      </c>
      <c r="J36" s="76"/>
      <c r="K36" s="77" t="s">
        <v>679</v>
      </c>
      <c r="L36" s="35"/>
    </row>
    <row r="37" spans="1:12" ht="15.75" customHeight="1" x14ac:dyDescent="0.2">
      <c r="A37" s="35"/>
      <c r="B37" s="75">
        <v>5</v>
      </c>
      <c r="C37" s="92" cm="1">
        <f t="array" ref="C37">_xlfn.LET(_xlpm.rf,INDEX($F$57:$L$88,0,MATCH($B37,$F$56:$L$56,0)),_xlpm.x,($C$57:$C$88*(1-C$35)+$D$57:$D$88)*_xlpm.rf-$E$57:$E$88,_xlpm.rel,SUMPRODUCT(_xlpm.x*(_xlpm.x&gt;0)),($B$28+_xlpm.rel)/$B$29)</f>
        <v>2.7709490657616209</v>
      </c>
      <c r="D37" s="93" cm="1">
        <f t="array" ref="D37">_xlfn.LET(_xlpm.rf,INDEX($F$57:$L$88,0,MATCH($B37,$F$56:$L$56,0)),_xlpm.x,($C$57:$C$88*(1-D$35)+$D$57:$D$88)*_xlpm.rf-$E$57:$E$88,_xlpm.rel,SUMPRODUCT(_xlpm.x*(_xlpm.x&gt;0)),($B$28+_xlpm.rel)/$B$29)</f>
        <v>2.5909187763852999</v>
      </c>
      <c r="E37" s="93" cm="1">
        <f t="array" ref="E37">_xlfn.LET(_xlpm.rf,INDEX($F$57:$L$88,0,MATCH($B37,$F$56:$L$56,0)),_xlpm.x,($C$57:$C$88*(1-E$35)+$D$57:$D$88)*_xlpm.rf-$E$57:$E$88,_xlpm.rel,SUMPRODUCT(_xlpm.x*(_xlpm.x&gt;0)),($B$28+_xlpm.rel)/$B$29)</f>
        <v>2.4134340850305307</v>
      </c>
      <c r="F37" s="93" cm="1">
        <f t="array" ref="F37">_xlfn.LET(_xlpm.rf,INDEX($F$57:$L$88,0,MATCH($B37,$F$56:$L$56,0)),_xlpm.x,($C$57:$C$88*(1-F$35)+$D$57:$D$88)*_xlpm.rf-$E$57:$E$88,_xlpm.rel,SUMPRODUCT(_xlpm.x*(_xlpm.x&gt;0)),($B$28+_xlpm.rel)/$B$29)</f>
        <v>2.2433021063609355</v>
      </c>
      <c r="G37" s="93" cm="1">
        <f t="array" ref="G37">_xlfn.LET(_xlpm.rf,INDEX($F$57:$L$88,0,MATCH($B37,$F$56:$L$56,0)),_xlpm.x,($C$57:$C$88*(1-G$35)+$D$57:$D$88)*_xlpm.rf-$E$57:$E$88,_xlpm.rel,SUMPRODUCT(_xlpm.x*(_xlpm.x&gt;0)),($B$28+_xlpm.rel)/$B$29)</f>
        <v>2.0731701276913395</v>
      </c>
      <c r="H37" s="93" cm="1">
        <f t="array" ref="H37">_xlfn.LET(_xlpm.rf,INDEX($F$57:$L$88,0,MATCH($B37,$F$56:$L$56,0)),_xlpm.x,($C$57:$C$88*(1-H$35)+$D$57:$D$88)*_xlpm.rf-$E$57:$E$88,_xlpm.rel,SUMPRODUCT(_xlpm.x*(_xlpm.x&gt;0)),($B$28+_xlpm.rel)/$B$29)</f>
        <v>1.9069999269828575</v>
      </c>
      <c r="I37" s="94" cm="1">
        <f t="array" ref="I37">_xlfn.LET(_xlpm.rf,INDEX($F$57:$L$88,0,MATCH($B37,$F$56:$L$56,0)),_xlpm.x,($C$57:$C$88*(1-I$35)+$D$57:$D$88)*_xlpm.rf-$E$57:$E$88,_xlpm.rel,SUMPRODUCT(_xlpm.x*(_xlpm.x&gt;0)),($B$28+_xlpm.rel)/$B$29)</f>
        <v>1.747878678714176</v>
      </c>
      <c r="J37" s="78"/>
      <c r="K37" s="77" t="s">
        <v>680</v>
      </c>
      <c r="L37" s="35"/>
    </row>
    <row r="38" spans="1:12" ht="15.75" customHeight="1" x14ac:dyDescent="0.2">
      <c r="A38" s="35"/>
      <c r="B38" s="75">
        <v>10</v>
      </c>
      <c r="C38" s="92" cm="1">
        <f t="array" ref="C38">_xlfn.LET(_xlpm.rf,INDEX($F$57:$L$88,0,MATCH($B38,$F$56:$L$56,0)),_xlpm.x,($C$57:$C$88*(1-C$35)+$D$57:$D$88)*_xlpm.rf-$E$57:$E$88,_xlpm.rel,SUMPRODUCT(_xlpm.x*(_xlpm.x&gt;0)),($B$28+_xlpm.rel)/$B$29)</f>
        <v>1.9757643675123036</v>
      </c>
      <c r="D38" s="93" cm="1">
        <f t="array" ref="D38">_xlfn.LET(_xlpm.rf,INDEX($F$57:$L$88,0,MATCH($B38,$F$56:$L$56,0)),_xlpm.x,($C$57:$C$88*(1-D$35)+$D$57:$D$88)*_xlpm.rf-$E$57:$E$88,_xlpm.rel,SUMPRODUCT(_xlpm.x*(_xlpm.x&gt;0)),($B$28+_xlpm.rel)/$B$29)</f>
        <v>1.8313953161295864</v>
      </c>
      <c r="E38" s="93" cm="1">
        <f t="array" ref="E38">_xlfn.LET(_xlpm.rf,INDEX($F$57:$L$88,0,MATCH($B38,$F$56:$L$56,0)),_xlpm.x,($C$57:$C$88*(1-E$35)+$D$57:$D$88)*_xlpm.rf-$E$57:$E$88,_xlpm.rel,SUMPRODUCT(_xlpm.x*(_xlpm.x&gt;0)),($B$28+_xlpm.rel)/$B$29)</f>
        <v>1.6900852370320005</v>
      </c>
      <c r="F38" s="93" cm="1">
        <f t="array" ref="F38">_xlfn.LET(_xlpm.rf,INDEX($F$57:$L$88,0,MATCH($B38,$F$56:$L$56,0)),_xlpm.x,($C$57:$C$88*(1-F$35)+$D$57:$D$88)*_xlpm.rf-$E$57:$E$88,_xlpm.rel,SUMPRODUCT(_xlpm.x*(_xlpm.x&gt;0)),($B$28+_xlpm.rel)/$B$29)</f>
        <v>1.5555882683128028</v>
      </c>
      <c r="G38" s="93" cm="1">
        <f t="array" ref="G38">_xlfn.LET(_xlpm.rf,INDEX($F$57:$L$88,0,MATCH($B38,$F$56:$L$56,0)),_xlpm.x,($C$57:$C$88*(1-G$35)+$D$57:$D$88)*_xlpm.rf-$E$57:$E$88,_xlpm.rel,SUMPRODUCT(_xlpm.x*(_xlpm.x&gt;0)),($B$28+_xlpm.rel)/$B$29)</f>
        <v>1.4242310327806758</v>
      </c>
      <c r="H38" s="93" cm="1">
        <f t="array" ref="H38">_xlfn.LET(_xlpm.rf,INDEX($F$57:$L$88,0,MATCH($B38,$F$56:$L$56,0)),_xlpm.x,($C$57:$C$88*(1-H$35)+$D$57:$D$88)*_xlpm.rf-$E$57:$E$88,_xlpm.rel,SUMPRODUCT(_xlpm.x*(_xlpm.x&gt;0)),($B$28+_xlpm.rel)/$B$29)</f>
        <v>1.3007348561789158</v>
      </c>
      <c r="I38" s="94" cm="1">
        <f t="array" ref="I38">_xlfn.LET(_xlpm.rf,INDEX($F$57:$L$88,0,MATCH($B38,$F$56:$L$56,0)),_xlpm.x,($C$57:$C$88*(1-I$35)+$D$57:$D$88)*_xlpm.rf-$E$57:$E$88,_xlpm.rel,SUMPRODUCT(_xlpm.x*(_xlpm.x&gt;0)),($B$28+_xlpm.rel)/$B$29)</f>
        <v>1.177238679577157</v>
      </c>
      <c r="J38" s="79"/>
      <c r="K38" s="77" t="s">
        <v>681</v>
      </c>
      <c r="L38" s="35"/>
    </row>
    <row r="39" spans="1:12" x14ac:dyDescent="0.2">
      <c r="A39" s="35"/>
      <c r="B39" s="75">
        <v>15</v>
      </c>
      <c r="C39" s="92" cm="1">
        <f t="array" ref="C39">_xlfn.LET(_xlpm.rf,INDEX($F$57:$L$88,0,MATCH($B39,$F$56:$L$56,0)),_xlpm.x,($C$57:$C$88*(1-C$35)+$D$57:$D$88)*_xlpm.rf-$E$57:$E$88,_xlpm.rel,SUMPRODUCT(_xlpm.x*(_xlpm.x&gt;0)),($B$28+_xlpm.rel)/$B$29)</f>
        <v>1.4956876732864679</v>
      </c>
      <c r="D39" s="93" cm="1">
        <f t="array" ref="D39">_xlfn.LET(_xlpm.rf,INDEX($F$57:$L$88,0,MATCH($B39,$F$56:$L$56,0)),_xlpm.x,($C$57:$C$88*(1-D$35)+$D$57:$D$88)*_xlpm.rf-$E$57:$E$88,_xlpm.rel,SUMPRODUCT(_xlpm.x*(_xlpm.x&gt;0)),($B$28+_xlpm.rel)/$B$29)</f>
        <v>1.3730909703770564</v>
      </c>
      <c r="E39" s="93" cm="1">
        <f t="array" ref="E39">_xlfn.LET(_xlpm.rf,INDEX($F$57:$L$88,0,MATCH($B39,$F$56:$L$56,0)),_xlpm.x,($C$57:$C$88*(1-E$35)+$D$57:$D$88)*_xlpm.rf-$E$57:$E$88,_xlpm.rel,SUMPRODUCT(_xlpm.x*(_xlpm.x&gt;0)),($B$28+_xlpm.rel)/$B$29)</f>
        <v>1.2538218799021614</v>
      </c>
      <c r="F39" s="93" cm="1">
        <f t="array" ref="F39">_xlfn.LET(_xlpm.rf,INDEX($F$57:$L$88,0,MATCH($B39,$F$56:$L$56,0)),_xlpm.x,($C$57:$C$88*(1-F$35)+$D$57:$D$88)*_xlpm.rf-$E$57:$E$88,_xlpm.rel,SUMPRODUCT(_xlpm.x*(_xlpm.x&gt;0)),($B$28+_xlpm.rel)/$B$29)</f>
        <v>1.14108353496077</v>
      </c>
      <c r="G39" s="93" cm="1">
        <f t="array" ref="G39">_xlfn.LET(_xlpm.rf,INDEX($F$57:$L$88,0,MATCH($B39,$F$56:$L$56,0)),_xlpm.x,($C$57:$C$88*(1-G$35)+$D$57:$D$88)*_xlpm.rf-$E$57:$E$88,_xlpm.rel,SUMPRODUCT(_xlpm.x*(_xlpm.x&gt;0)),($B$28+_xlpm.rel)/$B$29)</f>
        <v>1.0373765447936456</v>
      </c>
      <c r="H39" s="93" cm="1">
        <f t="array" ref="H39">_xlfn.LET(_xlpm.rf,INDEX($F$57:$L$88,0,MATCH($B39,$F$56:$L$56,0)),_xlpm.x,($C$57:$C$88*(1-H$35)+$D$57:$D$88)*_xlpm.rf-$E$57:$E$88,_xlpm.rel,SUMPRODUCT(_xlpm.x*(_xlpm.x&gt;0)),($B$28+_xlpm.rel)/$B$29)</f>
        <v>0.93529372861653026</v>
      </c>
      <c r="I39" s="94" cm="1">
        <f t="array" ref="I39">_xlfn.LET(_xlpm.rf,INDEX($F$57:$L$88,0,MATCH($B39,$F$56:$L$56,0)),_xlpm.x,($C$57:$C$88*(1-I$35)+$D$57:$D$88)*_xlpm.rf-$E$57:$E$88,_xlpm.rel,SUMPRODUCT(_xlpm.x*(_xlpm.x&gt;0)),($B$28+_xlpm.rel)/$B$29)</f>
        <v>0.8369517007863041</v>
      </c>
      <c r="J39" s="35"/>
      <c r="K39" s="35"/>
      <c r="L39" s="35"/>
    </row>
    <row r="40" spans="1:12" x14ac:dyDescent="0.2">
      <c r="A40" s="35"/>
      <c r="B40" s="75">
        <v>20</v>
      </c>
      <c r="C40" s="92" cm="1">
        <f t="array" ref="C40">_xlfn.LET(_xlpm.rf,INDEX($F$57:$L$88,0,MATCH($B40,$F$56:$L$56,0)),_xlpm.x,($C$57:$C$88*(1-C$35)+$D$57:$D$88)*_xlpm.rf-$E$57:$E$88,_xlpm.rel,SUMPRODUCT(_xlpm.x*(_xlpm.x&gt;0)),($B$28+_xlpm.rel)/$B$29)</f>
        <v>1.2380559978551051</v>
      </c>
      <c r="D40" s="93" cm="1">
        <f t="array" ref="D40">_xlfn.LET(_xlpm.rf,INDEX($F$57:$L$88,0,MATCH($B40,$F$56:$L$56,0)),_xlpm.x,($C$57:$C$88*(1-D$35)+$D$57:$D$88)*_xlpm.rf-$E$57:$E$88,_xlpm.rel,SUMPRODUCT(_xlpm.x*(_xlpm.x&gt;0)),($B$28+_xlpm.rel)/$B$29)</f>
        <v>1.1271341601041205</v>
      </c>
      <c r="E40" s="93" cm="1">
        <f t="array" ref="E40">_xlfn.LET(_xlpm.rf,INDEX($F$57:$L$88,0,MATCH($B40,$F$56:$L$56,0)),_xlpm.x,($C$57:$C$88*(1-E$35)+$D$57:$D$88)*_xlpm.rf-$E$57:$E$88,_xlpm.rel,SUMPRODUCT(_xlpm.x*(_xlpm.x&gt;0)),($B$28+_xlpm.rel)/$B$29)</f>
        <v>1.0197051594781217</v>
      </c>
      <c r="F40" s="93" cm="1">
        <f t="array" ref="F40">_xlfn.LET(_xlpm.rf,INDEX($F$57:$L$88,0,MATCH($B40,$F$56:$L$56,0)),_xlpm.x,($C$57:$C$88*(1-F$35)+$D$57:$D$88)*_xlpm.rf-$E$57:$E$88,_xlpm.rel,SUMPRODUCT(_xlpm.x*(_xlpm.x&gt;0)),($B$28+_xlpm.rel)/$B$29)</f>
        <v>0.92079570799939092</v>
      </c>
      <c r="G40" s="93" cm="1">
        <f t="array" ref="G40">_xlfn.LET(_xlpm.rf,INDEX($F$57:$L$88,0,MATCH($B40,$F$56:$L$56,0)),_xlpm.x,($C$57:$C$88*(1-G$35)+$D$57:$D$88)*_xlpm.rf-$E$57:$E$88,_xlpm.rel,SUMPRODUCT(_xlpm.x*(_xlpm.x&gt;0)),($B$28+_xlpm.rel)/$B$29)</f>
        <v>0.83016970599535789</v>
      </c>
      <c r="H40" s="93" cm="1">
        <f t="array" ref="H40">_xlfn.LET(_xlpm.rf,INDEX($F$57:$L$88,0,MATCH($B40,$F$56:$L$56,0)),_xlpm.x,($C$57:$C$88*(1-H$35)+$D$57:$D$88)*_xlpm.rf-$E$57:$E$88,_xlpm.rel,SUMPRODUCT(_xlpm.x*(_xlpm.x&gt;0)),($B$28+_xlpm.rel)/$B$29)</f>
        <v>0.74157034476247952</v>
      </c>
      <c r="I40" s="94" cm="1">
        <f t="array" ref="I40">_xlfn.LET(_xlpm.rf,INDEX($F$57:$L$88,0,MATCH($B40,$F$56:$L$56,0)),_xlpm.x,($C$57:$C$88*(1-I$35)+$D$57:$D$88)*_xlpm.rf-$E$57:$E$88,_xlpm.rel,SUMPRODUCT(_xlpm.x*(_xlpm.x&gt;0)),($B$28+_xlpm.rel)/$B$29)</f>
        <v>0.65990916021196611</v>
      </c>
      <c r="J40" s="35"/>
      <c r="K40" s="35"/>
      <c r="L40" s="35"/>
    </row>
    <row r="41" spans="1:12" x14ac:dyDescent="0.2">
      <c r="A41" s="35"/>
      <c r="B41" s="75">
        <v>25</v>
      </c>
      <c r="C41" s="92" cm="1">
        <f t="array" ref="C41">_xlfn.LET(_xlpm.rf,INDEX($F$57:$L$88,0,MATCH($B41,$F$56:$L$56,0)),_xlpm.x,($C$57:$C$88*(1-C$35)+$D$57:$D$88)*_xlpm.rf-$E$57:$E$88,_xlpm.rel,SUMPRODUCT(_xlpm.x*(_xlpm.x&gt;0)),($B$28+_xlpm.rel)/$B$29)</f>
        <v>1.0774231727311314</v>
      </c>
      <c r="D41" s="93" cm="1">
        <f t="array" ref="D41">_xlfn.LET(_xlpm.rf,INDEX($F$57:$L$88,0,MATCH($B41,$F$56:$L$56,0)),_xlpm.x,($C$57:$C$88*(1-D$35)+$D$57:$D$88)*_xlpm.rf-$E$57:$E$88,_xlpm.rel,SUMPRODUCT(_xlpm.x*(_xlpm.x&gt;0)),($B$28+_xlpm.rel)/$B$29)</f>
        <v>0.97377803845648403</v>
      </c>
      <c r="E41" s="93" cm="1">
        <f t="array" ref="E41">_xlfn.LET(_xlpm.rf,INDEX($F$57:$L$88,0,MATCH($B41,$F$56:$L$56,0)),_xlpm.x,($C$57:$C$88*(1-E$35)+$D$57:$D$88)*_xlpm.rf-$E$57:$E$88,_xlpm.rel,SUMPRODUCT(_xlpm.x*(_xlpm.x&gt;0)),($B$28+_xlpm.rel)/$B$29)</f>
        <v>0.87373762774437758</v>
      </c>
      <c r="F41" s="93" cm="1">
        <f t="array" ref="F41">_xlfn.LET(_xlpm.rf,INDEX($F$57:$L$88,0,MATCH($B41,$F$56:$L$56,0)),_xlpm.x,($C$57:$C$88*(1-F$35)+$D$57:$D$88)*_xlpm.rf-$E$57:$E$88,_xlpm.rel,SUMPRODUCT(_xlpm.x*(_xlpm.x&gt;0)),($B$28+_xlpm.rel)/$B$29)</f>
        <v>0.78464204189107245</v>
      </c>
      <c r="G41" s="93" cm="1">
        <f t="array" ref="G41">_xlfn.LET(_xlpm.rf,INDEX($F$57:$L$88,0,MATCH($B41,$F$56:$L$56,0)),_xlpm.x,($C$57:$C$88*(1-G$35)+$D$57:$D$88)*_xlpm.rf-$E$57:$E$88,_xlpm.rel,SUMPRODUCT(_xlpm.x*(_xlpm.x&gt;0)),($B$28+_xlpm.rel)/$B$29)</f>
        <v>0.70114627149979225</v>
      </c>
      <c r="H41" s="93" cm="1">
        <f t="array" ref="H41">_xlfn.LET(_xlpm.rf,INDEX($F$57:$L$88,0,MATCH($B41,$F$56:$L$56,0)),_xlpm.x,($C$57:$C$88*(1-H$35)+$D$57:$D$88)*_xlpm.rf-$E$57:$E$88,_xlpm.rel,SUMPRODUCT(_xlpm.x*(_xlpm.x&gt;0)),($B$28+_xlpm.rel)/$B$29)</f>
        <v>0.62458788412205257</v>
      </c>
      <c r="I41" s="94" cm="1">
        <f t="array" ref="I41">_xlfn.LET(_xlpm.rf,INDEX($F$57:$L$88,0,MATCH($B41,$F$56:$L$56,0)),_xlpm.x,($C$57:$C$88*(1-I$35)+$D$57:$D$88)*_xlpm.rf-$E$57:$E$88,_xlpm.rel,SUMPRODUCT(_xlpm.x*(_xlpm.x&gt;0)),($B$28+_xlpm.rel)/$B$29)</f>
        <v>0.5520754399371558</v>
      </c>
      <c r="J41" s="35"/>
      <c r="K41" s="35"/>
      <c r="L41" s="35"/>
    </row>
    <row r="42" spans="1:12" x14ac:dyDescent="0.2">
      <c r="A42" s="35"/>
      <c r="B42" s="75">
        <v>30</v>
      </c>
      <c r="C42" s="95" cm="1">
        <f t="array" ref="C42">_xlfn.LET(_xlpm.rf,INDEX($F$57:$L$88,0,MATCH($B42,$F$56:$L$56,0)),_xlpm.x,($C$57:$C$88*(1-C$35)+$D$57:$D$88)*_xlpm.rf-$E$57:$E$88,_xlpm.rel,SUMPRODUCT(_xlpm.x*(_xlpm.x&gt;0)),($B$28+_xlpm.rel)/$B$29)</f>
        <v>0.96774186962026676</v>
      </c>
      <c r="D42" s="96" cm="1">
        <f t="array" ref="D42">_xlfn.LET(_xlpm.rf,INDEX($F$57:$L$88,0,MATCH($B42,$F$56:$L$56,0)),_xlpm.x,($C$57:$C$88*(1-D$35)+$D$57:$D$88)*_xlpm.rf-$E$57:$E$88,_xlpm.rel,SUMPRODUCT(_xlpm.x*(_xlpm.x&gt;0)),($B$28+_xlpm.rel)/$B$29)</f>
        <v>0.86906460148781128</v>
      </c>
      <c r="E42" s="96" cm="1">
        <f t="array" ref="E42">_xlfn.LET(_xlpm.rf,INDEX($F$57:$L$88,0,MATCH($B42,$F$56:$L$56,0)),_xlpm.x,($C$57:$C$88*(1-E$35)+$D$57:$D$88)*_xlpm.rf-$E$57:$E$88,_xlpm.rel,SUMPRODUCT(_xlpm.x*(_xlpm.x&gt;0)),($B$28+_xlpm.rel)/$B$29)</f>
        <v>0.77407284371411678</v>
      </c>
      <c r="F42" s="96" cm="1">
        <f t="array" ref="F42">_xlfn.LET(_xlpm.rf,INDEX($F$57:$L$88,0,MATCH($B42,$F$56:$L$56,0)),_xlpm.x,($C$57:$C$88*(1-F$35)+$D$57:$D$88)*_xlpm.rf-$E$57:$E$88,_xlpm.rel,SUMPRODUCT(_xlpm.x*(_xlpm.x&gt;0)),($B$28+_xlpm.rel)/$B$29)</f>
        <v>0.69176633474284988</v>
      </c>
      <c r="G42" s="96" cm="1">
        <f t="array" ref="G42">_xlfn.LET(_xlpm.rf,INDEX($F$57:$L$88,0,MATCH($B42,$F$56:$L$56,0)),_xlpm.x,($C$57:$C$88*(1-G$35)+$D$57:$D$88)*_xlpm.rf-$E$57:$E$88,_xlpm.rel,SUMPRODUCT(_xlpm.x*(_xlpm.x&gt;0)),($B$28+_xlpm.rel)/$B$29)</f>
        <v>0.61545804407819638</v>
      </c>
      <c r="H42" s="96" cm="1">
        <f t="array" ref="H42">_xlfn.LET(_xlpm.rf,INDEX($F$57:$L$88,0,MATCH($B42,$F$56:$L$56,0)),_xlpm.x,($C$57:$C$88*(1-H$35)+$D$57:$D$88)*_xlpm.rf-$E$57:$E$88,_xlpm.rel,SUMPRODUCT(_xlpm.x*(_xlpm.x&gt;0)),($B$28+_xlpm.rel)/$B$29)</f>
        <v>0.54561026546180535</v>
      </c>
      <c r="I42" s="97" cm="1">
        <f t="array" ref="I42">_xlfn.LET(_xlpm.rf,INDEX($F$57:$L$88,0,MATCH($B42,$F$56:$L$56,0)),_xlpm.x,($C$57:$C$88*(1-I$35)+$D$57:$D$88)*_xlpm.rf-$E$57:$E$88,_xlpm.rel,SUMPRODUCT(_xlpm.x*(_xlpm.x&gt;0)),($B$28+_xlpm.rel)/$B$29)</f>
        <v>0.48025351009089551</v>
      </c>
      <c r="J42" s="35"/>
      <c r="K42" s="35"/>
      <c r="L42" s="35"/>
    </row>
    <row r="43" spans="1:12" x14ac:dyDescent="0.2">
      <c r="A43" s="35"/>
      <c r="B43" s="35"/>
      <c r="C43" s="35"/>
      <c r="D43" s="35"/>
      <c r="E43" s="35"/>
      <c r="F43" s="35"/>
      <c r="G43" s="35"/>
      <c r="H43" s="35"/>
      <c r="I43" s="35"/>
      <c r="J43" s="35"/>
      <c r="K43" s="35"/>
      <c r="L43" s="35"/>
    </row>
    <row r="44" spans="1:12" ht="18.5" customHeight="1" x14ac:dyDescent="0.2">
      <c r="A44" s="40" t="s">
        <v>976</v>
      </c>
      <c r="B44" s="40"/>
      <c r="C44" s="40"/>
      <c r="D44" s="40"/>
      <c r="E44" s="40"/>
      <c r="F44" s="40"/>
      <c r="G44" s="40"/>
      <c r="H44" s="40"/>
      <c r="I44" s="40"/>
      <c r="J44" s="40"/>
      <c r="K44" s="40"/>
      <c r="L44" s="40"/>
    </row>
    <row r="45" spans="1:12" ht="31.5" customHeight="1" x14ac:dyDescent="0.2">
      <c r="A45" s="62" t="s">
        <v>977</v>
      </c>
      <c r="B45" s="80" cm="1">
        <f t="array" ref="B45">_xlfn.LET(_xlpm.d,$B$36:$B$42,_xlpm.c,$C$36:$C$42,_xlpm.i,MATCH(TRUE,_xlpm.c&lt;1,0),IF(ISNA(_xlpm.i),"beyond "&amp;MAX(_xlpm.d)&amp;" months",INDEX(_xlpm.d,_xlpm.i-1)+(INDEX(_xlpm.c,_xlpm.i-1)-1)/(INDEX(_xlpm.c,_xlpm.i-1)-INDEX(_xlpm.c,_xlpm.i))*(INDEX(_xlpm.d,_xlpm.i)-INDEX(_xlpm.d,_xlpm.i-1))))</f>
        <v>28.529460834946178</v>
      </c>
      <c r="C45" s="42"/>
      <c r="D45" s="35"/>
      <c r="E45" s="35"/>
      <c r="F45" s="35"/>
      <c r="G45" s="35"/>
      <c r="H45" s="35"/>
      <c r="I45" s="35"/>
      <c r="J45" s="35"/>
      <c r="K45" s="35"/>
      <c r="L45" s="35"/>
    </row>
    <row r="46" spans="1:12" ht="31.5" customHeight="1" x14ac:dyDescent="0.2">
      <c r="A46" s="62" t="s">
        <v>978</v>
      </c>
      <c r="B46" s="62" t="str" cm="1">
        <f t="array" ref="B46">_xlfn.LET(_xlpm.r,$C$35:$I$35,_xlpm.c,$C$36:$I$36,_xlpm.i,MATCH(TRUE,_xlpm.c&lt;1,0),IF(ISNA(_xlpm.i),"beyond "&amp;TEXT(MAX(_xlpm.r),"0%"),INDEX(_xlpm.r,_xlpm.i-1)+(INDEX(_xlpm.c,_xlpm.i-1)-1)/(INDEX(_xlpm.c,_xlpm.i-1)-INDEX(_xlpm.c,_xlpm.i))*(INDEX(_xlpm.r,_xlpm.i)-INDEX(_xlpm.r,_xlpm.i-1))))</f>
        <v>beyond 30%</v>
      </c>
      <c r="C46" s="62"/>
      <c r="D46" s="62"/>
      <c r="E46" s="62"/>
      <c r="F46" s="62"/>
      <c r="G46" s="62"/>
      <c r="H46" s="62"/>
      <c r="I46" s="62"/>
      <c r="J46" s="35"/>
      <c r="K46" s="35"/>
      <c r="L46" s="35"/>
    </row>
    <row r="47" spans="1:12" ht="31.5" customHeight="1" x14ac:dyDescent="0.2">
      <c r="A47" s="62" t="s">
        <v>979</v>
      </c>
      <c r="B47" s="80" cm="1">
        <f t="array" ref="B47">_xlfn.LET(_xlpm.d,$B$36:$B$42,_xlpm.c,$F$36:$F$42,_xlpm.i,MATCH(TRUE,_xlpm.c&lt;1,0),IF(ISNA(_xlpm.i),"beyond "&amp;MAX(_xlpm.d)&amp;" months",INDEX(_xlpm.d,_xlpm.i-1)+(INDEX(_xlpm.c,_xlpm.i-1)-1)/(INDEX(_xlpm.c,_xlpm.i-1)-INDEX(_xlpm.c,_xlpm.i))*(INDEX(_xlpm.d,_xlpm.i)-INDEX(_xlpm.d,_xlpm.i-1))))</f>
        <v>18.202254452886876</v>
      </c>
      <c r="C47" s="42"/>
      <c r="D47" s="35"/>
      <c r="E47" s="35"/>
      <c r="F47" s="35"/>
      <c r="G47" s="35"/>
      <c r="H47" s="35"/>
      <c r="I47" s="35"/>
      <c r="J47" s="35"/>
      <c r="K47" s="35"/>
      <c r="L47" s="35"/>
    </row>
    <row r="48" spans="1:12" x14ac:dyDescent="0.2">
      <c r="A48" s="35"/>
      <c r="B48" s="35"/>
      <c r="C48" s="35"/>
      <c r="D48" s="35"/>
      <c r="E48" s="35"/>
      <c r="F48" s="35"/>
      <c r="G48" s="35"/>
      <c r="H48" s="35"/>
      <c r="I48" s="35"/>
      <c r="J48" s="35"/>
      <c r="K48" s="35"/>
      <c r="L48" s="35"/>
    </row>
    <row r="49" spans="1:12" ht="112" customHeight="1" x14ac:dyDescent="0.2">
      <c r="A49" s="66" t="s">
        <v>999</v>
      </c>
      <c r="B49" s="81">
        <f>$C$36-Dashboard!$F$17</f>
        <v>0</v>
      </c>
      <c r="C49" s="18" t="s">
        <v>1000</v>
      </c>
      <c r="D49" s="35"/>
      <c r="E49" s="35"/>
      <c r="F49" s="35"/>
      <c r="G49" s="35"/>
      <c r="H49" s="35"/>
      <c r="I49" s="35"/>
      <c r="J49" s="35"/>
      <c r="K49" s="35"/>
      <c r="L49" s="35"/>
    </row>
    <row r="50" spans="1:12" ht="18.25" customHeight="1" x14ac:dyDescent="0.2">
      <c r="A50" s="66" t="s">
        <v>674</v>
      </c>
      <c r="B50" s="81">
        <f>$C$89-Simulator!$J$40</f>
        <v>0</v>
      </c>
      <c r="C50" s="43" t="s">
        <v>675</v>
      </c>
      <c r="D50" s="35"/>
      <c r="E50" s="35"/>
      <c r="F50" s="35"/>
      <c r="G50" s="35"/>
      <c r="H50" s="35"/>
      <c r="I50" s="35"/>
      <c r="J50" s="35"/>
      <c r="K50" s="35"/>
      <c r="L50" s="35"/>
    </row>
    <row r="51" spans="1:12" ht="40.75" customHeight="1" x14ac:dyDescent="0.2">
      <c r="A51" s="66" t="s">
        <v>676</v>
      </c>
      <c r="B51" s="81">
        <f>$E$89-Simulator!$Q$40</f>
        <v>0</v>
      </c>
      <c r="C51" s="1" t="s">
        <v>704</v>
      </c>
      <c r="D51" s="1"/>
      <c r="E51" s="1"/>
      <c r="F51" s="1"/>
      <c r="G51" s="1"/>
      <c r="H51" s="1"/>
      <c r="I51" s="1"/>
      <c r="J51" s="35"/>
      <c r="K51" s="35"/>
      <c r="L51" s="35"/>
    </row>
    <row r="52" spans="1:12" ht="18.25" customHeight="1" x14ac:dyDescent="0.2">
      <c r="A52" s="66" t="s">
        <v>677</v>
      </c>
      <c r="B52" s="82">
        <f>COUNT($C$57:$C$88)</f>
        <v>32</v>
      </c>
      <c r="C52" s="43" t="s">
        <v>678</v>
      </c>
      <c r="D52" s="35"/>
      <c r="E52" s="35"/>
      <c r="F52" s="35"/>
      <c r="G52" s="35"/>
      <c r="H52" s="35"/>
      <c r="I52" s="35"/>
      <c r="J52" s="35"/>
      <c r="K52" s="35"/>
      <c r="L52" s="35"/>
    </row>
    <row r="53" spans="1:12" x14ac:dyDescent="0.2">
      <c r="A53" s="125"/>
      <c r="B53" s="125"/>
      <c r="C53" s="125"/>
      <c r="D53" s="125"/>
      <c r="E53" s="125"/>
      <c r="F53" s="125"/>
      <c r="G53" s="125"/>
      <c r="H53" s="125"/>
      <c r="I53" s="125"/>
      <c r="J53" s="35"/>
      <c r="K53" s="35"/>
      <c r="L53" s="35"/>
    </row>
    <row r="54" spans="1:12" ht="19.5" customHeight="1" outlineLevel="1" x14ac:dyDescent="0.2">
      <c r="A54" s="129" t="s">
        <v>670</v>
      </c>
      <c r="B54" s="129"/>
      <c r="C54" s="129"/>
      <c r="D54" s="129"/>
      <c r="E54" s="129"/>
      <c r="F54" s="129"/>
      <c r="G54" s="129"/>
      <c r="H54" s="129"/>
      <c r="I54" s="129"/>
      <c r="J54" s="40"/>
      <c r="K54" s="40"/>
      <c r="L54" s="40"/>
    </row>
    <row r="55" spans="1:12" ht="28.75" customHeight="1" outlineLevel="1" x14ac:dyDescent="0.2">
      <c r="A55" s="1" t="s">
        <v>671</v>
      </c>
      <c r="B55" s="1"/>
      <c r="C55" s="1"/>
      <c r="D55" s="1"/>
      <c r="E55" s="1"/>
      <c r="F55" s="1"/>
      <c r="G55" s="1"/>
      <c r="H55" s="1"/>
      <c r="I55" s="1"/>
      <c r="J55" s="35"/>
      <c r="K55" s="35"/>
      <c r="L55" s="35"/>
    </row>
    <row r="56" spans="1:12" ht="31.5" customHeight="1" outlineLevel="1" x14ac:dyDescent="0.2">
      <c r="A56" s="46" t="s">
        <v>94</v>
      </c>
      <c r="B56" s="46" t="s">
        <v>30</v>
      </c>
      <c r="C56" s="46" t="s">
        <v>99</v>
      </c>
      <c r="D56" s="46" t="s">
        <v>672</v>
      </c>
      <c r="E56" s="46" t="s">
        <v>112</v>
      </c>
      <c r="F56" s="83">
        <f>$B36</f>
        <v>0</v>
      </c>
      <c r="G56" s="84">
        <f>$B37</f>
        <v>5</v>
      </c>
      <c r="H56" s="84">
        <f>$B38</f>
        <v>10</v>
      </c>
      <c r="I56" s="84">
        <f>$B39</f>
        <v>15</v>
      </c>
      <c r="J56" s="84">
        <f>$B40</f>
        <v>20</v>
      </c>
      <c r="K56" s="84">
        <f>$B41</f>
        <v>25</v>
      </c>
      <c r="L56" s="84">
        <f>$B42</f>
        <v>30</v>
      </c>
    </row>
    <row r="57" spans="1:12" ht="17.25" customHeight="1" outlineLevel="1" x14ac:dyDescent="0.2">
      <c r="A57" s="35" t="str">
        <f>Simulator!A8</f>
        <v>3165</v>
      </c>
      <c r="B57" s="35" t="str">
        <f>Simulator!B8</f>
        <v>Binghatti Aurora</v>
      </c>
      <c r="C57" s="85">
        <f>Simulator!J8</f>
        <v>253.10904300000001</v>
      </c>
      <c r="D57" s="85">
        <f>Simulator!K8*Simulator!G8/1000000*$B$18*(1+$B$19)</f>
        <v>13.205689199999998</v>
      </c>
      <c r="E57" s="85">
        <f>Simulator!$J8*IF(Simulator!$H8&gt;=100,1,$B$20+(1-$B$20-$B$21)*Simulator!$H8/100)*MIN(1,Simulator!$H8/100)*(1-$B$22)</f>
        <v>29.610218376966358</v>
      </c>
      <c r="F57" s="86">
        <f>_xlfn.LET(_xlpm.d,F$56,_xlpm.cert,Simulator!$H8,_xlpm.regd,Simulator!$I8,_xlpm.compl,IF(_xlpm.regd="",EDATE($B$26,$B$25+_xlpm.d),IF(_xlpm.regd&lt;$B$26,EDATE($B$26,$B$24+_xlpm.d),EDATE(_xlpm.regd,_xlpm.d))),_xlpm.n,MAX(1,(YEAR(_xlpm.compl)-YEAR($B$26))*12+MONTH(_xlpm.compl)-MONTH($B$26)),_xlpm.pace,MIN($B$23,(100-_xlpm.cert)/_xlpm.n),_xlpm.c,MIN(100,_xlpm.cert+_xlpm.pace*$B$27),IF(_xlpm.c&gt;=100,1,$B$20+(1-$B$20-$B$21)*_xlpm.c/100)*MIN(1,_xlpm.c/100)*(1-$B$22))</f>
        <v>0.4182348152999999</v>
      </c>
      <c r="G57" s="86">
        <f>_xlfn.LET(_xlpm.d,G$56,_xlpm.cert,Simulator!$H8,_xlpm.regd,Simulator!$I8,_xlpm.compl,IF(_xlpm.regd="",EDATE($B$26,$B$25+_xlpm.d),IF(_xlpm.regd&lt;$B$26,EDATE($B$26,$B$24+_xlpm.d),EDATE(_xlpm.regd,_xlpm.d))),_xlpm.n,MAX(1,(YEAR(_xlpm.compl)-YEAR($B$26))*12+MONTH(_xlpm.compl)-MONTH($B$26)),_xlpm.pace,MIN($B$23,(100-_xlpm.cert)/_xlpm.n),_xlpm.c,MIN(100,_xlpm.cert+_xlpm.pace*$B$27),IF(_xlpm.c&gt;=100,1,$B$20+(1-$B$20-$B$21)*_xlpm.c/100)*MIN(1,_xlpm.c/100)*(1-$B$22))</f>
        <v>0.31128480620495874</v>
      </c>
      <c r="H57" s="86">
        <f>_xlfn.LET(_xlpm.d,H$56,_xlpm.cert,Simulator!$H8,_xlpm.regd,Simulator!$I8,_xlpm.compl,IF(_xlpm.regd="",EDATE($B$26,$B$25+_xlpm.d),IF(_xlpm.regd&lt;$B$26,EDATE($B$26,$B$24+_xlpm.d),EDATE(_xlpm.regd,_xlpm.d))),_xlpm.n,MAX(1,(YEAR(_xlpm.compl)-YEAR($B$26))*12+MONTH(_xlpm.compl)-MONTH($B$26)),_xlpm.pace,MIN($B$23,(100-_xlpm.cert)/_xlpm.n),_xlpm.c,MIN(100,_xlpm.cert+_xlpm.pace*$B$27),IF(_xlpm.c&gt;=100,1,$B$20+(1-$B$20-$B$21)*_xlpm.c/100)*MIN(1,_xlpm.c/100)*(1-$B$22))</f>
        <v>0.2407555091847656</v>
      </c>
      <c r="I57" s="86">
        <f>_xlfn.LET(_xlpm.d,I$56,_xlpm.cert,Simulator!$H8,_xlpm.regd,Simulator!$I8,_xlpm.compl,IF(_xlpm.regd="",EDATE($B$26,$B$25+_xlpm.d),IF(_xlpm.regd&lt;$B$26,EDATE($B$26,$B$24+_xlpm.d),EDATE(_xlpm.regd,_xlpm.d))),_xlpm.n,MAX(1,(YEAR(_xlpm.compl)-YEAR($B$26))*12+MONTH(_xlpm.compl)-MONTH($B$26)),_xlpm.pace,MIN($B$23,(100-_xlpm.cert)/_xlpm.n),_xlpm.c,MIN(100,_xlpm.cert+_xlpm.pace*$B$27),IF(_xlpm.c&gt;=100,1,$B$20+(1-$B$20-$B$21)*_xlpm.c/100)*MIN(1,_xlpm.c/100)*(1-$B$22))</f>
        <v>0.20737111092244892</v>
      </c>
      <c r="J57" s="86">
        <f>_xlfn.LET(_xlpm.d,J$56,_xlpm.cert,Simulator!$H8,_xlpm.regd,Simulator!$I8,_xlpm.compl,IF(_xlpm.regd="",EDATE($B$26,$B$25+_xlpm.d),IF(_xlpm.regd&lt;$B$26,EDATE($B$26,$B$24+_xlpm.d),EDATE(_xlpm.regd,_xlpm.d))),_xlpm.n,MAX(1,(YEAR(_xlpm.compl)-YEAR($B$26))*12+MONTH(_xlpm.compl)-MONTH($B$26)),_xlpm.pace,MIN($B$23,(100-_xlpm.cert)/_xlpm.n),_xlpm.c,MIN(100,_xlpm.cert+_xlpm.pace*$B$27),IF(_xlpm.c&gt;=100,1,$B$20+(1-$B$20-$B$21)*_xlpm.c/100)*MIN(1,_xlpm.c/100)*(1-$B$22))</f>
        <v>0.18804321042500002</v>
      </c>
      <c r="K57" s="86">
        <f>_xlfn.LET(_xlpm.d,K$56,_xlpm.cert,Simulator!$H8,_xlpm.regd,Simulator!$I8,_xlpm.compl,IF(_xlpm.regd="",EDATE($B$26,$B$25+_xlpm.d),IF(_xlpm.regd&lt;$B$26,EDATE($B$26,$B$24+_xlpm.d),EDATE(_xlpm.regd,_xlpm.d))),_xlpm.n,MAX(1,(YEAR(_xlpm.compl)-YEAR($B$26))*12+MONTH(_xlpm.compl)-MONTH($B$26)),_xlpm.pace,MIN($B$23,(100-_xlpm.cert)/_xlpm.n),_xlpm.c,MIN(100,_xlpm.cert+_xlpm.pace*$B$27),IF(_xlpm.c&gt;=100,1,$B$20+(1-$B$20-$B$21)*_xlpm.c/100)*MIN(1,_xlpm.c/100)*(1-$B$22))</f>
        <v>0.17547665072091567</v>
      </c>
      <c r="L57" s="86">
        <f>_xlfn.LET(_xlpm.d,L$56,_xlpm.cert,Simulator!$H8,_xlpm.regd,Simulator!$I8,_xlpm.compl,IF(_xlpm.regd="",EDATE($B$26,$B$25+_xlpm.d),IF(_xlpm.regd&lt;$B$26,EDATE($B$26,$B$24+_xlpm.d),EDATE(_xlpm.regd,_xlpm.d))),_xlpm.n,MAX(1,(YEAR(_xlpm.compl)-YEAR($B$26))*12+MONTH(_xlpm.compl)-MONTH($B$26)),_xlpm.pace,MIN($B$23,(100-_xlpm.cert)/_xlpm.n),_xlpm.c,MIN(100,_xlpm.cert+_xlpm.pace*$B$27),IF(_xlpm.c&gt;=100,1,$B$20+(1-$B$20-$B$21)*_xlpm.c/100)*MIN(1,_xlpm.c/100)*(1-$B$22))</f>
        <v>0.16666528796550925</v>
      </c>
    </row>
    <row r="58" spans="1:12" ht="17.25" customHeight="1" outlineLevel="1" x14ac:dyDescent="0.2">
      <c r="A58" s="35" t="str">
        <f>Simulator!A9</f>
        <v>3264</v>
      </c>
      <c r="B58" s="35" t="str">
        <f>Simulator!B9</f>
        <v>Binghatti Ivory</v>
      </c>
      <c r="C58" s="85">
        <f>Simulator!J9</f>
        <v>542.45392500000003</v>
      </c>
      <c r="D58" s="85">
        <f>Simulator!K9*Simulator!G9/1000000*$B$18*(1+$B$19)</f>
        <v>7.0101738000000005</v>
      </c>
      <c r="E58" s="85">
        <f>Simulator!$J9*IF(Simulator!$H9&gt;=100,1,$B$20+(1-$B$20-$B$21)*Simulator!$H9/100)*MIN(1,Simulator!$H9/100)*(1-$B$22)</f>
        <v>43.525184778962256</v>
      </c>
      <c r="F58" s="86">
        <f>_xlfn.LET(_xlpm.d,F$56,_xlpm.cert,Simulator!$H9,_xlpm.regd,Simulator!$I9,_xlpm.compl,IF(_xlpm.regd="",EDATE($B$26,$B$25+_xlpm.d),IF(_xlpm.regd&lt;$B$26,EDATE($B$26,$B$24+_xlpm.d),EDATE(_xlpm.regd,_xlpm.d))),_xlpm.n,MAX(1,(YEAR(_xlpm.compl)-YEAR($B$26))*12+MONTH(_xlpm.compl)-MONTH($B$26)),_xlpm.pace,MIN($B$23,(100-_xlpm.cert)/_xlpm.n),_xlpm.c,MIN(100,_xlpm.cert+_xlpm.pace*$B$27),IF(_xlpm.c&gt;=100,1,$B$20+(1-$B$20-$B$21)*_xlpm.c/100)*MIN(1,_xlpm.c/100)*(1-$B$22))</f>
        <v>0.34669357000000001</v>
      </c>
      <c r="G58" s="86">
        <f>_xlfn.LET(_xlpm.d,G$56,_xlpm.cert,Simulator!$H9,_xlpm.regd,Simulator!$I9,_xlpm.compl,IF(_xlpm.regd="",EDATE($B$26,$B$25+_xlpm.d),IF(_xlpm.regd&lt;$B$26,EDATE($B$26,$B$24+_xlpm.d),EDATE(_xlpm.regd,_xlpm.d))),_xlpm.n,MAX(1,(YEAR(_xlpm.compl)-YEAR($B$26))*12+MONTH(_xlpm.compl)-MONTH($B$26)),_xlpm.pace,MIN($B$23,(100-_xlpm.cert)/_xlpm.n),_xlpm.c,MIN(100,_xlpm.cert+_xlpm.pace*$B$27),IF(_xlpm.c&gt;=100,1,$B$20+(1-$B$20-$B$21)*_xlpm.c/100)*MIN(1,_xlpm.c/100)*(1-$B$22))</f>
        <v>0.27698845057851246</v>
      </c>
      <c r="H58" s="86">
        <f>_xlfn.LET(_xlpm.d,H$56,_xlpm.cert,Simulator!$H9,_xlpm.regd,Simulator!$I9,_xlpm.compl,IF(_xlpm.regd="",EDATE($B$26,$B$25+_xlpm.d),IF(_xlpm.regd&lt;$B$26,EDATE($B$26,$B$24+_xlpm.d),EDATE(_xlpm.regd,_xlpm.d))),_xlpm.n,MAX(1,(YEAR(_xlpm.compl)-YEAR($B$26))*12+MONTH(_xlpm.compl)-MONTH($B$26)),_xlpm.pace,MIN($B$23,(100-_xlpm.cert)/_xlpm.n),_xlpm.c,MIN(100,_xlpm.cert+_xlpm.pace*$B$27),IF(_xlpm.c&gt;=100,1,$B$20+(1-$B$20-$B$21)*_xlpm.c/100)*MIN(1,_xlpm.c/100)*(1-$B$22))</f>
        <v>0.20314129285156252</v>
      </c>
      <c r="I58" s="86">
        <f>_xlfn.LET(_xlpm.d,I$56,_xlpm.cert,Simulator!$H9,_xlpm.regd,Simulator!$I9,_xlpm.compl,IF(_xlpm.regd="",EDATE($B$26,$B$25+_xlpm.d),IF(_xlpm.regd&lt;$B$26,EDATE($B$26,$B$24+_xlpm.d),EDATE(_xlpm.regd,_xlpm.d))),_xlpm.n,MAX(1,(YEAR(_xlpm.compl)-YEAR($B$26))*12+MONTH(_xlpm.compl)-MONTH($B$26)),_xlpm.pace,MIN($B$23,(100-_xlpm.cert)/_xlpm.n),_xlpm.c,MIN(100,_xlpm.cert+_xlpm.pace*$B$27),IF(_xlpm.c&gt;=100,1,$B$20+(1-$B$20-$B$21)*_xlpm.c/100)*MIN(1,_xlpm.c/100)*(1-$B$22))</f>
        <v>0.16894471183673473</v>
      </c>
      <c r="J58" s="86">
        <f>_xlfn.LET(_xlpm.d,J$56,_xlpm.cert,Simulator!$H9,_xlpm.regd,Simulator!$I9,_xlpm.compl,IF(_xlpm.regd="",EDATE($B$26,$B$25+_xlpm.d),IF(_xlpm.regd&lt;$B$26,EDATE($B$26,$B$24+_xlpm.d),EDATE(_xlpm.regd,_xlpm.d))),_xlpm.n,MAX(1,(YEAR(_xlpm.compl)-YEAR($B$26))*12+MONTH(_xlpm.compl)-MONTH($B$26)),_xlpm.pace,MIN($B$23,(100-_xlpm.cert)/_xlpm.n),_xlpm.c,MIN(100,_xlpm.cert+_xlpm.pace*$B$27),IF(_xlpm.c&gt;=100,1,$B$20+(1-$B$20-$B$21)*_xlpm.c/100)*MIN(1,_xlpm.c/100)*(1-$B$22))</f>
        <v>0.14943334818047341</v>
      </c>
      <c r="K58" s="86">
        <f>_xlfn.LET(_xlpm.d,K$56,_xlpm.cert,Simulator!$H9,_xlpm.regd,Simulator!$I9,_xlpm.compl,IF(_xlpm.regd="",EDATE($B$26,$B$25+_xlpm.d),IF(_xlpm.regd&lt;$B$26,EDATE($B$26,$B$24+_xlpm.d),EDATE(_xlpm.regd,_xlpm.d))),_xlpm.n,MAX(1,(YEAR(_xlpm.compl)-YEAR($B$26))*12+MONTH(_xlpm.compl)-MONTH($B$26)),_xlpm.pace,MIN($B$23,(100-_xlpm.cert)/_xlpm.n),_xlpm.c,MIN(100,_xlpm.cert+_xlpm.pace*$B$27),IF(_xlpm.c&gt;=100,1,$B$20+(1-$B$20-$B$21)*_xlpm.c/100)*MIN(1,_xlpm.c/100)*(1-$B$22))</f>
        <v>0.13687944570239335</v>
      </c>
      <c r="L58" s="86">
        <f>_xlfn.LET(_xlpm.d,L$56,_xlpm.cert,Simulator!$H9,_xlpm.regd,Simulator!$I9,_xlpm.compl,IF(_xlpm.regd="",EDATE($B$26,$B$25+_xlpm.d),IF(_xlpm.regd&lt;$B$26,EDATE($B$26,$B$24+_xlpm.d),EDATE(_xlpm.regd,_xlpm.d))),_xlpm.n,MAX(1,(YEAR(_xlpm.compl)-YEAR($B$26))*12+MONTH(_xlpm.compl)-MONTH($B$26)),_xlpm.pace,MIN($B$23,(100-_xlpm.cert)/_xlpm.n),_xlpm.c,MIN(100,_xlpm.cert+_xlpm.pace*$B$27),IF(_xlpm.c&gt;=100,1,$B$20+(1-$B$20-$B$21)*_xlpm.c/100)*MIN(1,_xlpm.c/100)*(1-$B$22))</f>
        <v>0.12814601062500003</v>
      </c>
    </row>
    <row r="59" spans="1:12" ht="17.25" customHeight="1" outlineLevel="1" x14ac:dyDescent="0.2">
      <c r="A59" s="35" t="str">
        <f>Simulator!A10</f>
        <v>2547</v>
      </c>
      <c r="B59" s="35" t="str">
        <f>Simulator!B10</f>
        <v>Bugatti Residences by Binghatti</v>
      </c>
      <c r="C59" s="85">
        <f>Simulator!J10</f>
        <v>3613.0508960000002</v>
      </c>
      <c r="D59" s="85">
        <f>Simulator!K10*Simulator!G10/1000000*$B$18*(1+$B$19)</f>
        <v>1509.7391244</v>
      </c>
      <c r="E59" s="85">
        <f>Simulator!$J10*IF(Simulator!$H10&gt;=100,1,$B$20+(1-$B$20-$B$21)*Simulator!$H10/100)*MIN(1,Simulator!$H10/100)*(1-$B$22)</f>
        <v>151.49266313880491</v>
      </c>
      <c r="F59" s="86">
        <f>_xlfn.LET(_xlpm.d,F$56,_xlpm.cert,Simulator!$H10,_xlpm.regd,Simulator!$I10,_xlpm.compl,IF(_xlpm.regd="",EDATE($B$26,$B$25+_xlpm.d),IF(_xlpm.regd&lt;$B$26,EDATE($B$26,$B$24+_xlpm.d),EDATE(_xlpm.regd,_xlpm.d))),_xlpm.n,MAX(1,(YEAR(_xlpm.compl)-YEAR($B$26))*12+MONTH(_xlpm.compl)-MONTH($B$26)),_xlpm.pace,MIN($B$23,(100-_xlpm.cert)/_xlpm.n),_xlpm.c,MIN(100,_xlpm.cert+_xlpm.pace*$B$27),IF(_xlpm.c&gt;=100,1,$B$20+(1-$B$20-$B$21)*_xlpm.c/100)*MIN(1,_xlpm.c/100)*(1-$B$22))</f>
        <v>0.26251169120000006</v>
      </c>
      <c r="G59" s="86">
        <f>_xlfn.LET(_xlpm.d,G$56,_xlpm.cert,Simulator!$H10,_xlpm.regd,Simulator!$I10,_xlpm.compl,IF(_xlpm.regd="",EDATE($B$26,$B$25+_xlpm.d),IF(_xlpm.regd&lt;$B$26,EDATE($B$26,$B$24+_xlpm.d),EDATE(_xlpm.regd,_xlpm.d))),_xlpm.n,MAX(1,(YEAR(_xlpm.compl)-YEAR($B$26))*12+MONTH(_xlpm.compl)-MONTH($B$26)),_xlpm.pace,MIN($B$23,(100-_xlpm.cert)/_xlpm.n),_xlpm.c,MIN(100,_xlpm.cert+_xlpm.pace*$B$27),IF(_xlpm.c&gt;=100,1,$B$20+(1-$B$20-$B$21)*_xlpm.c/100)*MIN(1,_xlpm.c/100)*(1-$B$22))</f>
        <v>0.23478739242314048</v>
      </c>
      <c r="H59" s="86">
        <f>_xlfn.LET(_xlpm.d,H$56,_xlpm.cert,Simulator!$H10,_xlpm.regd,Simulator!$I10,_xlpm.compl,IF(_xlpm.regd="",EDATE($B$26,$B$25+_xlpm.d),IF(_xlpm.regd&lt;$B$26,EDATE($B$26,$B$24+_xlpm.d),EDATE(_xlpm.regd,_xlpm.d))),_xlpm.n,MAX(1,(YEAR(_xlpm.compl)-YEAR($B$26))*12+MONTH(_xlpm.compl)-MONTH($B$26)),_xlpm.pace,MIN($B$23,(100-_xlpm.cert)/_xlpm.n),_xlpm.c,MIN(100,_xlpm.cert+_xlpm.pace*$B$27),IF(_xlpm.c&gt;=100,1,$B$20+(1-$B$20-$B$21)*_xlpm.c/100)*MIN(1,_xlpm.c/100)*(1-$B$22))</f>
        <v>0.15834224310625003</v>
      </c>
      <c r="I59" s="86">
        <f>_xlfn.LET(_xlpm.d,I$56,_xlpm.cert,Simulator!$H10,_xlpm.regd,Simulator!$I10,_xlpm.compl,IF(_xlpm.regd="",EDATE($B$26,$B$25+_xlpm.d),IF(_xlpm.regd&lt;$B$26,EDATE($B$26,$B$24+_xlpm.d),EDATE(_xlpm.regd,_xlpm.d))),_xlpm.n,MAX(1,(YEAR(_xlpm.compl)-YEAR($B$26))*12+MONTH(_xlpm.compl)-MONTH($B$26)),_xlpm.pace,MIN($B$23,(100-_xlpm.cert)/_xlpm.n),_xlpm.c,MIN(100,_xlpm.cert+_xlpm.pace*$B$27),IF(_xlpm.c&gt;=100,1,$B$20+(1-$B$20-$B$21)*_xlpm.c/100)*MIN(1,_xlpm.c/100)*(1-$B$22))</f>
        <v>0.12416874954013613</v>
      </c>
      <c r="J59" s="86">
        <f>_xlfn.LET(_xlpm.d,J$56,_xlpm.cert,Simulator!$H10,_xlpm.regd,Simulator!$I10,_xlpm.compl,IF(_xlpm.regd="",EDATE($B$26,$B$25+_xlpm.d),IF(_xlpm.regd&lt;$B$26,EDATE($B$26,$B$24+_xlpm.d),EDATE(_xlpm.regd,_xlpm.d))),_xlpm.n,MAX(1,(YEAR(_xlpm.compl)-YEAR($B$26))*12+MONTH(_xlpm.compl)-MONTH($B$26)),_xlpm.pace,MIN($B$23,(100-_xlpm.cert)/_xlpm.n),_xlpm.c,MIN(100,_xlpm.cert+_xlpm.pace*$B$27),IF(_xlpm.c&gt;=100,1,$B$20+(1-$B$20-$B$21)*_xlpm.c/100)*MIN(1,_xlpm.c/100)*(1-$B$22))</f>
        <v>0.10514450801656805</v>
      </c>
      <c r="K59" s="86">
        <f>_xlfn.LET(_xlpm.d,K$56,_xlpm.cert,Simulator!$H10,_xlpm.regd,Simulator!$I10,_xlpm.compl,IF(_xlpm.regd="",EDATE($B$26,$B$25+_xlpm.d),IF(_xlpm.regd&lt;$B$26,EDATE($B$26,$B$24+_xlpm.d),EDATE(_xlpm.regd,_xlpm.d))),_xlpm.n,MAX(1,(YEAR(_xlpm.compl)-YEAR($B$26))*12+MONTH(_xlpm.compl)-MONTH($B$26)),_xlpm.pace,MIN($B$23,(100-_xlpm.cert)/_xlpm.n),_xlpm.c,MIN(100,_xlpm.cert+_xlpm.pace*$B$27),IF(_xlpm.c&gt;=100,1,$B$20+(1-$B$20-$B$21)*_xlpm.c/100)*MIN(1,_xlpm.c/100)*(1-$B$22))</f>
        <v>9.3125307857648318E-2</v>
      </c>
      <c r="L59" s="86">
        <f>_xlfn.LET(_xlpm.d,L$56,_xlpm.cert,Simulator!$H10,_xlpm.regd,Simulator!$I10,_xlpm.compl,IF(_xlpm.regd="",EDATE($B$26,$B$25+_xlpm.d),IF(_xlpm.regd&lt;$B$26,EDATE($B$26,$B$24+_xlpm.d),EDATE(_xlpm.regd,_xlpm.d))),_xlpm.n,MAX(1,(YEAR(_xlpm.compl)-YEAR($B$26))*12+MONTH(_xlpm.compl)-MONTH($B$26)),_xlpm.pace,MIN($B$23,(100-_xlpm.cert)/_xlpm.n),_xlpm.c,MIN(100,_xlpm.cert+_xlpm.pace*$B$27),IF(_xlpm.c&gt;=100,1,$B$20+(1-$B$20-$B$21)*_xlpm.c/100)*MIN(1,_xlpm.c/100)*(1-$B$22))</f>
        <v>8.4880878737037077E-2</v>
      </c>
    </row>
    <row r="60" spans="1:12" ht="17.25" customHeight="1" outlineLevel="1" x14ac:dyDescent="0.2">
      <c r="A60" s="35" t="str">
        <f>Simulator!A11</f>
        <v>3552</v>
      </c>
      <c r="B60" s="35" t="str">
        <f>Simulator!B11</f>
        <v>Binghatti Amberhall</v>
      </c>
      <c r="C60" s="85">
        <f>Simulator!J11</f>
        <v>795.36649499999999</v>
      </c>
      <c r="D60" s="85">
        <f>Simulator!K11*Simulator!G11/1000000*$B$18*(1+$B$19)</f>
        <v>27.737072999999999</v>
      </c>
      <c r="E60" s="85">
        <f>Simulator!$J11*IF(Simulator!$H11&gt;=100,1,$B$20+(1-$B$20-$B$21)*Simulator!$H11/100)*MIN(1,Simulator!$H11/100)*(1-$B$22)</f>
        <v>94.177755939960008</v>
      </c>
      <c r="F60" s="86">
        <f>_xlfn.LET(_xlpm.d,F$56,_xlpm.cert,Simulator!$H11,_xlpm.regd,Simulator!$I11,_xlpm.compl,IF(_xlpm.regd="",EDATE($B$26,$B$25+_xlpm.d),IF(_xlpm.regd&lt;$B$26,EDATE($B$26,$B$24+_xlpm.d),EDATE(_xlpm.regd,_xlpm.d))),_xlpm.n,MAX(1,(YEAR(_xlpm.compl)-YEAR($B$26))*12+MONTH(_xlpm.compl)-MONTH($B$26)),_xlpm.pace,MIN($B$23,(100-_xlpm.cert)/_xlpm.n),_xlpm.c,MIN(100,_xlpm.cert+_xlpm.pace*$B$27),IF(_xlpm.c&gt;=100,1,$B$20+(1-$B$20-$B$21)*_xlpm.c/100)*MIN(1,_xlpm.c/100)*(1-$B$22))</f>
        <v>0.42088800000000004</v>
      </c>
      <c r="G60" s="86">
        <f>_xlfn.LET(_xlpm.d,G$56,_xlpm.cert,Simulator!$H11,_xlpm.regd,Simulator!$I11,_xlpm.compl,IF(_xlpm.regd="",EDATE($B$26,$B$25+_xlpm.d),IF(_xlpm.regd&lt;$B$26,EDATE($B$26,$B$24+_xlpm.d),EDATE(_xlpm.regd,_xlpm.d))),_xlpm.n,MAX(1,(YEAR(_xlpm.compl)-YEAR($B$26))*12+MONTH(_xlpm.compl)-MONTH($B$26)),_xlpm.pace,MIN($B$23,(100-_xlpm.cert)/_xlpm.n),_xlpm.c,MIN(100,_xlpm.cert+_xlpm.pace*$B$27),IF(_xlpm.c&gt;=100,1,$B$20+(1-$B$20-$B$21)*_xlpm.c/100)*MIN(1,_xlpm.c/100)*(1-$B$22))</f>
        <v>0.31253461157024792</v>
      </c>
      <c r="H60" s="86">
        <f>_xlfn.LET(_xlpm.d,H$56,_xlpm.cert,Simulator!$H11,_xlpm.regd,Simulator!$I11,_xlpm.compl,IF(_xlpm.regd="",EDATE($B$26,$B$25+_xlpm.d),IF(_xlpm.regd&lt;$B$26,EDATE($B$26,$B$24+_xlpm.d),EDATE(_xlpm.regd,_xlpm.d))),_xlpm.n,MAX(1,(YEAR(_xlpm.compl)-YEAR($B$26))*12+MONTH(_xlpm.compl)-MONTH($B$26)),_xlpm.pace,MIN($B$23,(100-_xlpm.cert)/_xlpm.n),_xlpm.c,MIN(100,_xlpm.cert+_xlpm.pace*$B$27),IF(_xlpm.c&gt;=100,1,$B$20+(1-$B$20-$B$21)*_xlpm.c/100)*MIN(1,_xlpm.c/100)*(1-$B$22))</f>
        <v>0.24214401562499999</v>
      </c>
      <c r="I60" s="86">
        <f>_xlfn.LET(_xlpm.d,I$56,_xlpm.cert,Simulator!$H11,_xlpm.regd,Simulator!$I11,_xlpm.compl,IF(_xlpm.regd="",EDATE($B$26,$B$25+_xlpm.d),IF(_xlpm.regd&lt;$B$26,EDATE($B$26,$B$24+_xlpm.d),EDATE(_xlpm.regd,_xlpm.d))),_xlpm.n,MAX(1,(YEAR(_xlpm.compl)-YEAR($B$26))*12+MONTH(_xlpm.compl)-MONTH($B$26)),_xlpm.pace,MIN($B$23,(100-_xlpm.cert)/_xlpm.n),_xlpm.c,MIN(100,_xlpm.cert+_xlpm.pace*$B$27),IF(_xlpm.c&gt;=100,1,$B$20+(1-$B$20-$B$21)*_xlpm.c/100)*MIN(1,_xlpm.c/100)*(1-$B$22))</f>
        <v>0.2088014693877551</v>
      </c>
      <c r="J60" s="86">
        <f>_xlfn.LET(_xlpm.d,J$56,_xlpm.cert,Simulator!$H11,_xlpm.regd,Simulator!$I11,_xlpm.compl,IF(_xlpm.regd="",EDATE($B$26,$B$25+_xlpm.d),IF(_xlpm.regd&lt;$B$26,EDATE($B$26,$B$24+_xlpm.d),EDATE(_xlpm.regd,_xlpm.d))),_xlpm.n,MAX(1,(YEAR(_xlpm.compl)-YEAR($B$26))*12+MONTH(_xlpm.compl)-MONTH($B$26)),_xlpm.pace,MIN($B$23,(100-_xlpm.cert)/_xlpm.n),_xlpm.c,MIN(100,_xlpm.cert+_xlpm.pace*$B$27),IF(_xlpm.c&gt;=100,1,$B$20+(1-$B$20-$B$21)*_xlpm.c/100)*MIN(1,_xlpm.c/100)*(1-$B$22))</f>
        <v>0.18948879881656805</v>
      </c>
      <c r="K60" s="86">
        <f>_xlfn.LET(_xlpm.d,K$56,_xlpm.cert,Simulator!$H11,_xlpm.regd,Simulator!$I11,_xlpm.compl,IF(_xlpm.regd="",EDATE($B$26,$B$25+_xlpm.d),IF(_xlpm.regd&lt;$B$26,EDATE($B$26,$B$24+_xlpm.d),EDATE(_xlpm.regd,_xlpm.d))),_xlpm.n,MAX(1,(YEAR(_xlpm.compl)-YEAR($B$26))*12+MONTH(_xlpm.compl)-MONTH($B$26)),_xlpm.pace,MIN($B$23,(100-_xlpm.cert)/_xlpm.n),_xlpm.c,MIN(100,_xlpm.cert+_xlpm.pace*$B$27),IF(_xlpm.c&gt;=100,1,$B$20+(1-$B$20-$B$21)*_xlpm.c/100)*MIN(1,_xlpm.c/100)*(1-$B$22))</f>
        <v>0.17692799999999997</v>
      </c>
      <c r="L60" s="86">
        <f>_xlfn.LET(_xlpm.d,L$56,_xlpm.cert,Simulator!$H11,_xlpm.regd,Simulator!$I11,_xlpm.compl,IF(_xlpm.regd="",EDATE($B$26,$B$25+_xlpm.d),IF(_xlpm.regd&lt;$B$26,EDATE($B$26,$B$24+_xlpm.d),EDATE(_xlpm.regd,_xlpm.d))),_xlpm.n,MAX(1,(YEAR(_xlpm.compl)-YEAR($B$26))*12+MONTH(_xlpm.compl)-MONTH($B$26)),_xlpm.pace,MIN($B$23,(100-_xlpm.cert)/_xlpm.n),_xlpm.c,MIN(100,_xlpm.cert+_xlpm.pace*$B$27),IF(_xlpm.c&gt;=100,1,$B$20+(1-$B$20-$B$21)*_xlpm.c/100)*MIN(1,_xlpm.c/100)*(1-$B$22))</f>
        <v>0.16811850925925928</v>
      </c>
    </row>
    <row r="61" spans="1:12" ht="17.25" customHeight="1" outlineLevel="1" x14ac:dyDescent="0.2">
      <c r="A61" s="35" t="str">
        <f>Simulator!A12</f>
        <v>3533</v>
      </c>
      <c r="B61" s="35" t="str">
        <f>Simulator!B12</f>
        <v>Binghatti Ruby</v>
      </c>
      <c r="C61" s="85">
        <f>Simulator!J12</f>
        <v>764.26949100000002</v>
      </c>
      <c r="D61" s="85">
        <f>Simulator!K12*Simulator!G12/1000000*$B$18*(1+$B$19)</f>
        <v>22.2008166</v>
      </c>
      <c r="E61" s="85">
        <f>Simulator!$J12*IF(Simulator!$H12&gt;=100,1,$B$20+(1-$B$20-$B$21)*Simulator!$H12/100)*MIN(1,Simulator!$H12/100)*(1-$B$22)</f>
        <v>125.578648605192</v>
      </c>
      <c r="F61" s="86">
        <f>_xlfn.LET(_xlpm.d,F$56,_xlpm.cert,Simulator!$H12,_xlpm.regd,Simulator!$I12,_xlpm.compl,IF(_xlpm.regd="",EDATE($B$26,$B$25+_xlpm.d),IF(_xlpm.regd&lt;$B$26,EDATE($B$26,$B$24+_xlpm.d),EDATE(_xlpm.regd,_xlpm.d))),_xlpm.n,MAX(1,(YEAR(_xlpm.compl)-YEAR($B$26))*12+MONTH(_xlpm.compl)-MONTH($B$26)),_xlpm.pace,MIN($B$23,(100-_xlpm.cert)/_xlpm.n),_xlpm.c,MIN(100,_xlpm.cert+_xlpm.pace*$B$27),IF(_xlpm.c&gt;=100,1,$B$20+(1-$B$20-$B$21)*_xlpm.c/100)*MIN(1,_xlpm.c/100)*(1-$B$22))</f>
        <v>0.50327200000000005</v>
      </c>
      <c r="G61" s="86">
        <f>_xlfn.LET(_xlpm.d,G$56,_xlpm.cert,Simulator!$H12,_xlpm.regd,Simulator!$I12,_xlpm.compl,IF(_xlpm.regd="",EDATE($B$26,$B$25+_xlpm.d),IF(_xlpm.regd&lt;$B$26,EDATE($B$26,$B$24+_xlpm.d),EDATE(_xlpm.regd,_xlpm.d))),_xlpm.n,MAX(1,(YEAR(_xlpm.compl)-YEAR($B$26))*12+MONTH(_xlpm.compl)-MONTH($B$26)),_xlpm.pace,MIN($B$23,(100-_xlpm.cert)/_xlpm.n),_xlpm.c,MIN(100,_xlpm.cert+_xlpm.pace*$B$27),IF(_xlpm.c&gt;=100,1,$B$20+(1-$B$20-$B$21)*_xlpm.c/100)*MIN(1,_xlpm.c/100)*(1-$B$22))</f>
        <v>0.35068786776859506</v>
      </c>
      <c r="H61" s="86">
        <f>_xlfn.LET(_xlpm.d,H$56,_xlpm.cert,Simulator!$H12,_xlpm.regd,Simulator!$I12,_xlpm.compl,IF(_xlpm.regd="",EDATE($B$26,$B$25+_xlpm.d),IF(_xlpm.regd&lt;$B$26,EDATE($B$26,$B$24+_xlpm.d),EDATE(_xlpm.regd,_xlpm.d))),_xlpm.n,MAX(1,(YEAR(_xlpm.compl)-YEAR($B$26))*12+MONTH(_xlpm.compl)-MONTH($B$26)),_xlpm.pace,MIN($B$23,(100-_xlpm.cert)/_xlpm.n),_xlpm.c,MIN(100,_xlpm.cert+_xlpm.pace*$B$27),IF(_xlpm.c&gt;=100,1,$B$20+(1-$B$20-$B$21)*_xlpm.c/100)*MIN(1,_xlpm.c/100)*(1-$B$22))</f>
        <v>0.28506739062500008</v>
      </c>
      <c r="I61" s="86">
        <f>_xlfn.LET(_xlpm.d,I$56,_xlpm.cert,Simulator!$H12,_xlpm.regd,Simulator!$I12,_xlpm.compl,IF(_xlpm.regd="",EDATE($B$26,$B$25+_xlpm.d),IF(_xlpm.regd&lt;$B$26,EDATE($B$26,$B$24+_xlpm.d),EDATE(_xlpm.regd,_xlpm.d))),_xlpm.n,MAX(1,(YEAR(_xlpm.compl)-YEAR($B$26))*12+MONTH(_xlpm.compl)-MONTH($B$26)),_xlpm.pace,MIN($B$23,(100-_xlpm.cert)/_xlpm.n),_xlpm.c,MIN(100,_xlpm.cert+_xlpm.pace*$B$27),IF(_xlpm.c&gt;=100,1,$B$20+(1-$B$20-$B$21)*_xlpm.c/100)*MIN(1,_xlpm.c/100)*(1-$B$22))</f>
        <v>0.2533715918367348</v>
      </c>
      <c r="J61" s="86">
        <f>_xlfn.LET(_xlpm.d,J$56,_xlpm.cert,Simulator!$H12,_xlpm.regd,Simulator!$I12,_xlpm.compl,IF(_xlpm.regd="",EDATE($B$26,$B$25+_xlpm.d),IF(_xlpm.regd&lt;$B$26,EDATE($B$26,$B$24+_xlpm.d),EDATE(_xlpm.regd,_xlpm.d))),_xlpm.n,MAX(1,(YEAR(_xlpm.compl)-YEAR($B$26))*12+MONTH(_xlpm.compl)-MONTH($B$26)),_xlpm.pace,MIN($B$23,(100-_xlpm.cert)/_xlpm.n),_xlpm.c,MIN(100,_xlpm.cert+_xlpm.pace*$B$27),IF(_xlpm.c&gt;=100,1,$B$20+(1-$B$20-$B$21)*_xlpm.c/100)*MIN(1,_xlpm.c/100)*(1-$B$22))</f>
        <v>0.23478120118343199</v>
      </c>
      <c r="K61" s="86">
        <f>_xlfn.LET(_xlpm.d,K$56,_xlpm.cert,Simulator!$H12,_xlpm.regd,Simulator!$I12,_xlpm.compl,IF(_xlpm.regd="",EDATE($B$26,$B$25+_xlpm.d),IF(_xlpm.regd&lt;$B$26,EDATE($B$26,$B$24+_xlpm.d),EDATE(_xlpm.regd,_xlpm.d))),_xlpm.n,MAX(1,(YEAR(_xlpm.compl)-YEAR($B$26))*12+MONTH(_xlpm.compl)-MONTH($B$26)),_xlpm.pace,MIN($B$23,(100-_xlpm.cert)/_xlpm.n),_xlpm.c,MIN(100,_xlpm.cert+_xlpm.pace*$B$27),IF(_xlpm.c&gt;=100,1,$B$20+(1-$B$20-$B$21)*_xlpm.c/100)*MIN(1,_xlpm.c/100)*(1-$B$22))</f>
        <v>0.22258367533818937</v>
      </c>
      <c r="L61" s="86">
        <f>_xlfn.LET(_xlpm.d,L$56,_xlpm.cert,Simulator!$H12,_xlpm.regd,Simulator!$I12,_xlpm.compl,IF(_xlpm.regd="",EDATE($B$26,$B$25+_xlpm.d),IF(_xlpm.regd&lt;$B$26,EDATE($B$26,$B$24+_xlpm.d),EDATE(_xlpm.regd,_xlpm.d))),_xlpm.n,MAX(1,(YEAR(_xlpm.compl)-YEAR($B$26))*12+MONTH(_xlpm.compl)-MONTH($B$26)),_xlpm.pace,MIN($B$23,(100-_xlpm.cert)/_xlpm.n),_xlpm.c,MIN(100,_xlpm.cert+_xlpm.pace*$B$27),IF(_xlpm.c&gt;=100,1,$B$20+(1-$B$20-$B$21)*_xlpm.c/100)*MIN(1,_xlpm.c/100)*(1-$B$22))</f>
        <v>0.21397325000000003</v>
      </c>
    </row>
    <row r="62" spans="1:12" ht="17.25" customHeight="1" outlineLevel="1" x14ac:dyDescent="0.2">
      <c r="A62" s="35" t="str">
        <f>Simulator!A13</f>
        <v>3192</v>
      </c>
      <c r="B62" s="35" t="str">
        <f>Simulator!B13</f>
        <v>Binghatti Ghost</v>
      </c>
      <c r="C62" s="85">
        <f>Simulator!J13</f>
        <v>862.567048</v>
      </c>
      <c r="D62" s="85">
        <f>Simulator!K13*Simulator!G13/1000000*$B$18*(1+$B$19)</f>
        <v>67.8619032</v>
      </c>
      <c r="E62" s="85">
        <f>Simulator!$J13*IF(Simulator!$H13&gt;=100,1,$B$20+(1-$B$20-$B$21)*Simulator!$H13/100)*MIN(1,Simulator!$H13/100)*(1-$B$22)</f>
        <v>563.00355019893595</v>
      </c>
      <c r="F62" s="86">
        <f>_xlfn.LET(_xlpm.d,F$56,_xlpm.cert,Simulator!$H13,_xlpm.regd,Simulator!$I13,_xlpm.compl,IF(_xlpm.regd="",EDATE($B$26,$B$25+_xlpm.d),IF(_xlpm.regd&lt;$B$26,EDATE($B$26,$B$24+_xlpm.d),EDATE(_xlpm.regd,_xlpm.d))),_xlpm.n,MAX(1,(YEAR(_xlpm.compl)-YEAR($B$26))*12+MONTH(_xlpm.compl)-MONTH($B$26)),_xlpm.pace,MIN($B$23,(100-_xlpm.cert)/_xlpm.n),_xlpm.c,MIN(100,_xlpm.cert+_xlpm.pace*$B$27),IF(_xlpm.c&gt;=100,1,$B$20+(1-$B$20-$B$21)*_xlpm.c/100)*MIN(1,_xlpm.c/100)*(1-$B$22))</f>
        <v>0.66294325000000009</v>
      </c>
      <c r="G62" s="86">
        <f>_xlfn.LET(_xlpm.d,G$56,_xlpm.cert,Simulator!$H13,_xlpm.regd,Simulator!$I13,_xlpm.compl,IF(_xlpm.regd="",EDATE($B$26,$B$25+_xlpm.d),IF(_xlpm.regd&lt;$B$26,EDATE($B$26,$B$24+_xlpm.d),EDATE(_xlpm.regd,_xlpm.d))),_xlpm.n,MAX(1,(YEAR(_xlpm.compl)-YEAR($B$26))*12+MONTH(_xlpm.compl)-MONTH($B$26)),_xlpm.pace,MIN($B$23,(100-_xlpm.cert)/_xlpm.n),_xlpm.c,MIN(100,_xlpm.cert+_xlpm.pace*$B$27),IF(_xlpm.c&gt;=100,1,$B$20+(1-$B$20-$B$21)*_xlpm.c/100)*MIN(1,_xlpm.c/100)*(1-$B$22))</f>
        <v>0.6582805950413223</v>
      </c>
      <c r="H62" s="86">
        <f>_xlfn.LET(_xlpm.d,H$56,_xlpm.cert,Simulator!$H13,_xlpm.regd,Simulator!$I13,_xlpm.compl,IF(_xlpm.regd="",EDATE($B$26,$B$25+_xlpm.d),IF(_xlpm.regd&lt;$B$26,EDATE($B$26,$B$24+_xlpm.d),EDATE(_xlpm.regd,_xlpm.d))),_xlpm.n,MAX(1,(YEAR(_xlpm.compl)-YEAR($B$26))*12+MONTH(_xlpm.compl)-MONTH($B$26)),_xlpm.pace,MIN($B$23,(100-_xlpm.cert)/_xlpm.n),_xlpm.c,MIN(100,_xlpm.cert+_xlpm.pace*$B$27),IF(_xlpm.c&gt;=100,1,$B$20+(1-$B$20-$B$21)*_xlpm.c/100)*MIN(1,_xlpm.c/100)*(1-$B$22))</f>
        <v>0.65653631640624999</v>
      </c>
      <c r="I62" s="86">
        <f>_xlfn.LET(_xlpm.d,I$56,_xlpm.cert,Simulator!$H13,_xlpm.regd,Simulator!$I13,_xlpm.compl,IF(_xlpm.regd="",EDATE($B$26,$B$25+_xlpm.d),IF(_xlpm.regd&lt;$B$26,EDATE($B$26,$B$24+_xlpm.d),EDATE(_xlpm.regd,_xlpm.d))),_xlpm.n,MAX(1,(YEAR(_xlpm.compl)-YEAR($B$26))*12+MONTH(_xlpm.compl)-MONTH($B$26)),_xlpm.pace,MIN($B$23,(100-_xlpm.cert)/_xlpm.n),_xlpm.c,MIN(100,_xlpm.cert+_xlpm.pace*$B$27),IF(_xlpm.c&gt;=100,1,$B$20+(1-$B$20-$B$21)*_xlpm.c/100)*MIN(1,_xlpm.c/100)*(1-$B$22))</f>
        <v>0.65562356462585036</v>
      </c>
      <c r="J62" s="86">
        <f>_xlfn.LET(_xlpm.d,J$56,_xlpm.cert,Simulator!$H13,_xlpm.regd,Simulator!$I13,_xlpm.compl,IF(_xlpm.regd="",EDATE($B$26,$B$25+_xlpm.d),IF(_xlpm.regd&lt;$B$26,EDATE($B$26,$B$24+_xlpm.d),EDATE(_xlpm.regd,_xlpm.d))),_xlpm.n,MAX(1,(YEAR(_xlpm.compl)-YEAR($B$26))*12+MONTH(_xlpm.compl)-MONTH($B$26)),_xlpm.pace,MIN($B$23,(100-_xlpm.cert)/_xlpm.n),_xlpm.c,MIN(100,_xlpm.cert+_xlpm.pace*$B$27),IF(_xlpm.c&gt;=100,1,$B$20+(1-$B$20-$B$21)*_xlpm.c/100)*MIN(1,_xlpm.c/100)*(1-$B$22))</f>
        <v>0.65506218491124268</v>
      </c>
      <c r="K62" s="86">
        <f>_xlfn.LET(_xlpm.d,K$56,_xlpm.cert,Simulator!$H13,_xlpm.regd,Simulator!$I13,_xlpm.compl,IF(_xlpm.regd="",EDATE($B$26,$B$25+_xlpm.d),IF(_xlpm.regd&lt;$B$26,EDATE($B$26,$B$24+_xlpm.d),EDATE(_xlpm.regd,_xlpm.d))),_xlpm.n,MAX(1,(YEAR(_xlpm.compl)-YEAR($B$26))*12+MONTH(_xlpm.compl)-MONTH($B$26)),_xlpm.pace,MIN($B$23,(100-_xlpm.cert)/_xlpm.n),_xlpm.c,MIN(100,_xlpm.cert+_xlpm.pace*$B$27),IF(_xlpm.c&gt;=100,1,$B$20+(1-$B$20-$B$21)*_xlpm.c/100)*MIN(1,_xlpm.c/100)*(1-$B$22))</f>
        <v>0.6546820312174817</v>
      </c>
      <c r="L62" s="86">
        <f>_xlfn.LET(_xlpm.d,L$56,_xlpm.cert,Simulator!$H13,_xlpm.regd,Simulator!$I13,_xlpm.compl,IF(_xlpm.regd="",EDATE($B$26,$B$25+_xlpm.d),IF(_xlpm.regd&lt;$B$26,EDATE($B$26,$B$24+_xlpm.d),EDATE(_xlpm.regd,_xlpm.d))),_xlpm.n,MAX(1,(YEAR(_xlpm.compl)-YEAR($B$26))*12+MONTH(_xlpm.compl)-MONTH($B$26)),_xlpm.pace,MIN($B$23,(100-_xlpm.cert)/_xlpm.n),_xlpm.c,MIN(100,_xlpm.cert+_xlpm.pace*$B$27),IF(_xlpm.c&gt;=100,1,$B$20+(1-$B$20-$B$21)*_xlpm.c/100)*MIN(1,_xlpm.c/100)*(1-$B$22))</f>
        <v>0.65440754398148149</v>
      </c>
    </row>
    <row r="63" spans="1:12" ht="17.25" customHeight="1" outlineLevel="1" x14ac:dyDescent="0.2">
      <c r="A63" s="35" t="str">
        <f>Simulator!A14</f>
        <v>3314</v>
      </c>
      <c r="B63" s="35" t="str">
        <f>Simulator!B14</f>
        <v>Binghatti Grove</v>
      </c>
      <c r="C63" s="85">
        <f>Simulator!J14</f>
        <v>611.32207300000005</v>
      </c>
      <c r="D63" s="85">
        <f>Simulator!K14*Simulator!G14/1000000*$B$18*(1+$B$19)</f>
        <v>45.976868999999994</v>
      </c>
      <c r="E63" s="85">
        <f>Simulator!$J14*IF(Simulator!$H14&gt;=100,1,$B$20+(1-$B$20-$B$21)*Simulator!$H14/100)*MIN(1,Simulator!$H14/100)*(1-$B$22)</f>
        <v>294.65234860941598</v>
      </c>
      <c r="F63" s="86">
        <f>_xlfn.LET(_xlpm.d,F$56,_xlpm.cert,Simulator!$H14,_xlpm.regd,Simulator!$I14,_xlpm.compl,IF(_xlpm.regd="",EDATE($B$26,$B$25+_xlpm.d),IF(_xlpm.regd&lt;$B$26,EDATE($B$26,$B$24+_xlpm.d),EDATE(_xlpm.regd,_xlpm.d))),_xlpm.n,MAX(1,(YEAR(_xlpm.compl)-YEAR($B$26))*12+MONTH(_xlpm.compl)-MONTH($B$26)),_xlpm.pace,MIN($B$23,(100-_xlpm.cert)/_xlpm.n),_xlpm.c,MIN(100,_xlpm.cert+_xlpm.pace*$B$27),IF(_xlpm.c&gt;=100,1,$B$20+(1-$B$20-$B$21)*_xlpm.c/100)*MIN(1,_xlpm.c/100)*(1-$B$22))</f>
        <v>0.63247200000000003</v>
      </c>
      <c r="G63" s="86">
        <f>_xlfn.LET(_xlpm.d,G$56,_xlpm.cert,Simulator!$H14,_xlpm.regd,Simulator!$I14,_xlpm.compl,IF(_xlpm.regd="",EDATE($B$26,$B$25+_xlpm.d),IF(_xlpm.regd&lt;$B$26,EDATE($B$26,$B$24+_xlpm.d),EDATE(_xlpm.regd,_xlpm.d))),_xlpm.n,MAX(1,(YEAR(_xlpm.compl)-YEAR($B$26))*12+MONTH(_xlpm.compl)-MONTH($B$26)),_xlpm.pace,MIN($B$23,(100-_xlpm.cert)/_xlpm.n),_xlpm.c,MIN(100,_xlpm.cert+_xlpm.pace*$B$27),IF(_xlpm.c&gt;=100,1,$B$20+(1-$B$20-$B$21)*_xlpm.c/100)*MIN(1,_xlpm.c/100)*(1-$B$22))</f>
        <v>0.56155960330578525</v>
      </c>
      <c r="H63" s="86">
        <f>_xlfn.LET(_xlpm.d,H$56,_xlpm.cert,Simulator!$H14,_xlpm.regd,Simulator!$I14,_xlpm.compl,IF(_xlpm.regd="",EDATE($B$26,$B$25+_xlpm.d),IF(_xlpm.regd&lt;$B$26,EDATE($B$26,$B$24+_xlpm.d),EDATE(_xlpm.regd,_xlpm.d))),_xlpm.n,MAX(1,(YEAR(_xlpm.compl)-YEAR($B$26))*12+MONTH(_xlpm.compl)-MONTH($B$26)),_xlpm.pace,MIN($B$23,(100-_xlpm.cert)/_xlpm.n),_xlpm.c,MIN(100,_xlpm.cert+_xlpm.pace*$B$27),IF(_xlpm.c&gt;=100,1,$B$20+(1-$B$20-$B$21)*_xlpm.c/100)*MIN(1,_xlpm.c/100)*(1-$B$22))</f>
        <v>0.53604699999999994</v>
      </c>
      <c r="I63" s="86">
        <f>_xlfn.LET(_xlpm.d,I$56,_xlpm.cert,Simulator!$H14,_xlpm.regd,Simulator!$I14,_xlpm.compl,IF(_xlpm.regd="",EDATE($B$26,$B$25+_xlpm.d),IF(_xlpm.regd&lt;$B$26,EDATE($B$26,$B$24+_xlpm.d),EDATE(_xlpm.regd,_xlpm.d))),_xlpm.n,MAX(1,(YEAR(_xlpm.compl)-YEAR($B$26))*12+MONTH(_xlpm.compl)-MONTH($B$26)),_xlpm.pace,MIN($B$23,(100-_xlpm.cert)/_xlpm.n),_xlpm.c,MIN(100,_xlpm.cert+_xlpm.pace*$B$27),IF(_xlpm.c&gt;=100,1,$B$20+(1-$B$20-$B$21)*_xlpm.c/100)*MIN(1,_xlpm.c/100)*(1-$B$22))</f>
        <v>0.52291825850340146</v>
      </c>
      <c r="J63" s="86">
        <f>_xlfn.LET(_xlpm.d,J$56,_xlpm.cert,Simulator!$H14,_xlpm.regd,Simulator!$I14,_xlpm.compl,IF(_xlpm.regd="",EDATE($B$26,$B$25+_xlpm.d),IF(_xlpm.regd&lt;$B$26,EDATE($B$26,$B$24+_xlpm.d),EDATE(_xlpm.regd,_xlpm.d))),_xlpm.n,MAX(1,(YEAR(_xlpm.compl)-YEAR($B$26))*12+MONTH(_xlpm.compl)-MONTH($B$26)),_xlpm.pace,MIN($B$23,(100-_xlpm.cert)/_xlpm.n),_xlpm.c,MIN(100,_xlpm.cert+_xlpm.pace*$B$27),IF(_xlpm.c&gt;=100,1,$B$20+(1-$B$20-$B$21)*_xlpm.c/100)*MIN(1,_xlpm.c/100)*(1-$B$22))</f>
        <v>0.51491933727810657</v>
      </c>
      <c r="K63" s="86">
        <f>_xlfn.LET(_xlpm.d,K$56,_xlpm.cert,Simulator!$H14,_xlpm.regd,Simulator!$I14,_xlpm.compl,IF(_xlpm.regd="",EDATE($B$26,$B$25+_xlpm.d),IF(_xlpm.regd&lt;$B$26,EDATE($B$26,$B$24+_xlpm.d),EDATE(_xlpm.regd,_xlpm.d))),_xlpm.n,MAX(1,(YEAR(_xlpm.compl)-YEAR($B$26))*12+MONTH(_xlpm.compl)-MONTH($B$26)),_xlpm.pace,MIN($B$23,(100-_xlpm.cert)/_xlpm.n),_xlpm.c,MIN(100,_xlpm.cert+_xlpm.pace*$B$27),IF(_xlpm.c&gt;=100,1,$B$20+(1-$B$20-$B$21)*_xlpm.c/100)*MIN(1,_xlpm.c/100)*(1-$B$22))</f>
        <v>0.50953547554630585</v>
      </c>
      <c r="L63" s="86">
        <f>_xlfn.LET(_xlpm.d,L$56,_xlpm.cert,Simulator!$H14,_xlpm.regd,Simulator!$I14,_xlpm.compl,IF(_xlpm.regd="",EDATE($B$26,$B$25+_xlpm.d),IF(_xlpm.regd&lt;$B$26,EDATE($B$26,$B$24+_xlpm.d),EDATE(_xlpm.regd,_xlpm.d))),_xlpm.n,MAX(1,(YEAR(_xlpm.compl)-YEAR($B$26))*12+MONTH(_xlpm.compl)-MONTH($B$26)),_xlpm.pace,MIN($B$23,(100-_xlpm.cert)/_xlpm.n),_xlpm.c,MIN(100,_xlpm.cert+_xlpm.pace*$B$27),IF(_xlpm.c&gt;=100,1,$B$20+(1-$B$20-$B$21)*_xlpm.c/100)*MIN(1,_xlpm.c/100)*(1-$B$22))</f>
        <v>0.50566459259259267</v>
      </c>
    </row>
    <row r="64" spans="1:12" ht="17.25" customHeight="1" outlineLevel="1" x14ac:dyDescent="0.2">
      <c r="A64" s="35" t="str">
        <f>Simulator!A15</f>
        <v>3442</v>
      </c>
      <c r="B64" s="35" t="str">
        <f>Simulator!B15</f>
        <v>Binghatti Haven</v>
      </c>
      <c r="C64" s="85">
        <f>Simulator!J15</f>
        <v>636.31110899999999</v>
      </c>
      <c r="D64" s="85">
        <f>Simulator!K15*Simulator!G15/1000000*$B$18*(1+$B$19)</f>
        <v>24.317622</v>
      </c>
      <c r="E64" s="85">
        <f>Simulator!$J15*IF(Simulator!$H15&gt;=100,1,$B$20+(1-$B$20-$B$21)*Simulator!$H15/100)*MIN(1,Simulator!$H15/100)*(1-$B$22)</f>
        <v>255.43564110808799</v>
      </c>
      <c r="F64" s="86">
        <f>_xlfn.LET(_xlpm.d,F$56,_xlpm.cert,Simulator!$H15,_xlpm.regd,Simulator!$I15,_xlpm.compl,IF(_xlpm.regd="",EDATE($B$26,$B$25+_xlpm.d),IF(_xlpm.regd&lt;$B$26,EDATE($B$26,$B$24+_xlpm.d),EDATE(_xlpm.regd,_xlpm.d))),_xlpm.n,MAX(1,(YEAR(_xlpm.compl)-YEAR($B$26))*12+MONTH(_xlpm.compl)-MONTH($B$26)),_xlpm.pace,MIN($B$23,(100-_xlpm.cert)/_xlpm.n),_xlpm.c,MIN(100,_xlpm.cert+_xlpm.pace*$B$27),IF(_xlpm.c&gt;=100,1,$B$20+(1-$B$20-$B$21)*_xlpm.c/100)*MIN(1,_xlpm.c/100)*(1-$B$22))</f>
        <v>0.61651199999999995</v>
      </c>
      <c r="G64" s="86">
        <f>_xlfn.LET(_xlpm.d,G$56,_xlpm.cert,Simulator!$H15,_xlpm.regd,Simulator!$I15,_xlpm.compl,IF(_xlpm.regd="",EDATE($B$26,$B$25+_xlpm.d),IF(_xlpm.regd&lt;$B$26,EDATE($B$26,$B$24+_xlpm.d),EDATE(_xlpm.regd,_xlpm.d))),_xlpm.n,MAX(1,(YEAR(_xlpm.compl)-YEAR($B$26))*12+MONTH(_xlpm.compl)-MONTH($B$26)),_xlpm.pace,MIN($B$23,(100-_xlpm.cert)/_xlpm.n),_xlpm.c,MIN(100,_xlpm.cert+_xlpm.pace*$B$27),IF(_xlpm.c&gt;=100,1,$B$20+(1-$B$20-$B$21)*_xlpm.c/100)*MIN(1,_xlpm.c/100)*(1-$B$22))</f>
        <v>0.51309547107438014</v>
      </c>
      <c r="H64" s="86">
        <f>_xlfn.LET(_xlpm.d,H$56,_xlpm.cert,Simulator!$H15,_xlpm.regd,Simulator!$I15,_xlpm.compl,IF(_xlpm.regd="",EDATE($B$26,$B$25+_xlpm.d),IF(_xlpm.regd&lt;$B$26,EDATE($B$26,$B$24+_xlpm.d),EDATE(_xlpm.regd,_xlpm.d))),_xlpm.n,MAX(1,(YEAR(_xlpm.compl)-YEAR($B$26))*12+MONTH(_xlpm.compl)-MONTH($B$26)),_xlpm.pace,MIN($B$23,(100-_xlpm.cert)/_xlpm.n),_xlpm.c,MIN(100,_xlpm.cert+_xlpm.pace*$B$27),IF(_xlpm.c&gt;=100,1,$B$20+(1-$B$20-$B$21)*_xlpm.c/100)*MIN(1,_xlpm.c/100)*(1-$B$22))</f>
        <v>0.47674325000000001</v>
      </c>
      <c r="I64" s="86">
        <f>_xlfn.LET(_xlpm.d,I$56,_xlpm.cert,Simulator!$H15,_xlpm.regd,Simulator!$I15,_xlpm.compl,IF(_xlpm.regd="",EDATE($B$26,$B$25+_xlpm.d),IF(_xlpm.regd&lt;$B$26,EDATE($B$26,$B$24+_xlpm.d),EDATE(_xlpm.regd,_xlpm.d))),_xlpm.n,MAX(1,(YEAR(_xlpm.compl)-YEAR($B$26))*12+MONTH(_xlpm.compl)-MONTH($B$26)),_xlpm.pace,MIN($B$23,(100-_xlpm.cert)/_xlpm.n),_xlpm.c,MIN(100,_xlpm.cert+_xlpm.pace*$B$27),IF(_xlpm.c&gt;=100,1,$B$20+(1-$B$20-$B$21)*_xlpm.c/100)*MIN(1,_xlpm.c/100)*(1-$B$22))</f>
        <v>0.45823036734693867</v>
      </c>
      <c r="J64" s="86">
        <f>_xlfn.LET(_xlpm.d,J$56,_xlpm.cert,Simulator!$H15,_xlpm.regd,Simulator!$I15,_xlpm.compl,IF(_xlpm.regd="",EDATE($B$26,$B$25+_xlpm.d),IF(_xlpm.regd&lt;$B$26,EDATE($B$26,$B$24+_xlpm.d),EDATE(_xlpm.regd,_xlpm.d))),_xlpm.n,MAX(1,(YEAR(_xlpm.compl)-YEAR($B$26))*12+MONTH(_xlpm.compl)-MONTH($B$26)),_xlpm.pace,MIN($B$23,(100-_xlpm.cert)/_xlpm.n),_xlpm.c,MIN(100,_xlpm.cert+_xlpm.pace*$B$27),IF(_xlpm.c&gt;=100,1,$B$20+(1-$B$20-$B$21)*_xlpm.c/100)*MIN(1,_xlpm.c/100)*(1-$B$22))</f>
        <v>0.44701850887573963</v>
      </c>
      <c r="K64" s="86">
        <f>_xlfn.LET(_xlpm.d,K$56,_xlpm.cert,Simulator!$H15,_xlpm.regd,Simulator!$I15,_xlpm.compl,IF(_xlpm.regd="",EDATE($B$26,$B$25+_xlpm.d),IF(_xlpm.regd&lt;$B$26,EDATE($B$26,$B$24+_xlpm.d),EDATE(_xlpm.regd,_xlpm.d))),_xlpm.n,MAX(1,(YEAR(_xlpm.compl)-YEAR($B$26))*12+MONTH(_xlpm.compl)-MONTH($B$26)),_xlpm.pace,MIN($B$23,(100-_xlpm.cert)/_xlpm.n),_xlpm.c,MIN(100,_xlpm.cert+_xlpm.pace*$B$27),IF(_xlpm.c&gt;=100,1,$B$20+(1-$B$20-$B$21)*_xlpm.c/100)*MIN(1,_xlpm.c/100)*(1-$B$22))</f>
        <v>0.43950159417273676</v>
      </c>
      <c r="L64" s="86">
        <f>_xlfn.LET(_xlpm.d,L$56,_xlpm.cert,Simulator!$H15,_xlpm.regd,Simulator!$I15,_xlpm.compl,IF(_xlpm.regd="",EDATE($B$26,$B$25+_xlpm.d),IF(_xlpm.regd&lt;$B$26,EDATE($B$26,$B$24+_xlpm.d),EDATE(_xlpm.regd,_xlpm.d))),_xlpm.n,MAX(1,(YEAR(_xlpm.compl)-YEAR($B$26))*12+MONTH(_xlpm.compl)-MONTH($B$26)),_xlpm.pace,MIN($B$23,(100-_xlpm.cert)/_xlpm.n),_xlpm.c,MIN(100,_xlpm.cert+_xlpm.pace*$B$27),IF(_xlpm.c&gt;=100,1,$B$20+(1-$B$20-$B$21)*_xlpm.c/100)*MIN(1,_xlpm.c/100)*(1-$B$22))</f>
        <v>0.434112</v>
      </c>
    </row>
    <row r="65" spans="1:12" ht="17.25" customHeight="1" outlineLevel="1" x14ac:dyDescent="0.2">
      <c r="A65" s="35" t="str">
        <f>Simulator!A16</f>
        <v>3195</v>
      </c>
      <c r="B65" s="35" t="str">
        <f>Simulator!B16</f>
        <v>Binghatti Starlight</v>
      </c>
      <c r="C65" s="85">
        <f>Simulator!J16</f>
        <v>528.92881999999997</v>
      </c>
      <c r="D65" s="85">
        <f>Simulator!K16*Simulator!G16/1000000*$B$18*(1+$B$19)</f>
        <v>28.420055999999999</v>
      </c>
      <c r="E65" s="85">
        <f>Simulator!$J16*IF(Simulator!$H16&gt;=100,1,$B$20+(1-$B$20-$B$21)*Simulator!$H16/100)*MIN(1,Simulator!$H16/100)*(1-$B$22)</f>
        <v>151.31754361206001</v>
      </c>
      <c r="F65" s="86">
        <f>_xlfn.LET(_xlpm.d,F$56,_xlpm.cert,Simulator!$H16,_xlpm.regd,Simulator!$I16,_xlpm.compl,IF(_xlpm.regd="",EDATE($B$26,$B$25+_xlpm.d),IF(_xlpm.regd&lt;$B$26,EDATE($B$26,$B$24+_xlpm.d),EDATE(_xlpm.regd,_xlpm.d))),_xlpm.n,MAX(1,(YEAR(_xlpm.compl)-YEAR($B$26))*12+MONTH(_xlpm.compl)-MONTH($B$26)),_xlpm.pace,MIN($B$23,(100-_xlpm.cert)/_xlpm.n),_xlpm.c,MIN(100,_xlpm.cert+_xlpm.pace*$B$27),IF(_xlpm.c&gt;=100,1,$B$20+(1-$B$20-$B$21)*_xlpm.c/100)*MIN(1,_xlpm.c/100)*(1-$B$22))</f>
        <v>0.59100925000000015</v>
      </c>
      <c r="G65" s="86">
        <f>_xlfn.LET(_xlpm.d,G$56,_xlpm.cert,Simulator!$H16,_xlpm.regd,Simulator!$I16,_xlpm.compl,IF(_xlpm.regd="",EDATE($B$26,$B$25+_xlpm.d),IF(_xlpm.regd&lt;$B$26,EDATE($B$26,$B$24+_xlpm.d),EDATE(_xlpm.regd,_xlpm.d))),_xlpm.n,MAX(1,(YEAR(_xlpm.compl)-YEAR($B$26))*12+MONTH(_xlpm.compl)-MONTH($B$26)),_xlpm.pace,MIN($B$23,(100-_xlpm.cert)/_xlpm.n),_xlpm.c,MIN(100,_xlpm.cert+_xlpm.pace*$B$27),IF(_xlpm.c&gt;=100,1,$B$20+(1-$B$20-$B$21)*_xlpm.c/100)*MIN(1,_xlpm.c/100)*(1-$B$22))</f>
        <v>0.43897097520661155</v>
      </c>
      <c r="H65" s="86">
        <f>_xlfn.LET(_xlpm.d,H$56,_xlpm.cert,Simulator!$H16,_xlpm.regd,Simulator!$I16,_xlpm.compl,IF(_xlpm.regd="",EDATE($B$26,$B$25+_xlpm.d),IF(_xlpm.regd&lt;$B$26,EDATE($B$26,$B$24+_xlpm.d),EDATE(_xlpm.regd,_xlpm.d))),_xlpm.n,MAX(1,(YEAR(_xlpm.compl)-YEAR($B$26))*12+MONTH(_xlpm.compl)-MONTH($B$26)),_xlpm.pace,MIN($B$23,(100-_xlpm.cert)/_xlpm.n),_xlpm.c,MIN(100,_xlpm.cert+_xlpm.pace*$B$27),IF(_xlpm.c&gt;=100,1,$B$20+(1-$B$20-$B$21)*_xlpm.c/100)*MIN(1,_xlpm.c/100)*(1-$B$22))</f>
        <v>0.38772966015625004</v>
      </c>
      <c r="I65" s="86">
        <f>_xlfn.LET(_xlpm.d,I$56,_xlpm.cert,Simulator!$H16,_xlpm.regd,Simulator!$I16,_xlpm.compl,IF(_xlpm.regd="",EDATE($B$26,$B$25+_xlpm.d),IF(_xlpm.regd&lt;$B$26,EDATE($B$26,$B$24+_xlpm.d),EDATE(_xlpm.regd,_xlpm.d))),_xlpm.n,MAX(1,(YEAR(_xlpm.compl)-YEAR($B$26))*12+MONTH(_xlpm.compl)-MONTH($B$26)),_xlpm.pace,MIN($B$23,(100-_xlpm.cert)/_xlpm.n),_xlpm.c,MIN(100,_xlpm.cert+_xlpm.pace*$B$27),IF(_xlpm.c&gt;=100,1,$B$20+(1-$B$20-$B$21)*_xlpm.c/100)*MIN(1,_xlpm.c/100)*(1-$B$22))</f>
        <v>0.36214568707482997</v>
      </c>
      <c r="J65" s="86">
        <f>_xlfn.LET(_xlpm.d,J$56,_xlpm.cert,Simulator!$H16,_xlpm.regd,Simulator!$I16,_xlpm.compl,IF(_xlpm.regd="",EDATE($B$26,$B$25+_xlpm.d),IF(_xlpm.regd&lt;$B$26,EDATE($B$26,$B$24+_xlpm.d),EDATE(_xlpm.regd,_xlpm.d))),_xlpm.n,MAX(1,(YEAR(_xlpm.compl)-YEAR($B$26))*12+MONTH(_xlpm.compl)-MONTH($B$26)),_xlpm.pace,MIN($B$23,(100-_xlpm.cert)/_xlpm.n),_xlpm.c,MIN(100,_xlpm.cert+_xlpm.pace*$B$27),IF(_xlpm.c&gt;=100,1,$B$20+(1-$B$20-$B$21)*_xlpm.c/100)*MIN(1,_xlpm.c/100)*(1-$B$22))</f>
        <v>0.34683114349112421</v>
      </c>
      <c r="K65" s="86">
        <f>_xlfn.LET(_xlpm.d,K$56,_xlpm.cert,Simulator!$H16,_xlpm.regd,Simulator!$I16,_xlpm.compl,IF(_xlpm.regd="",EDATE($B$26,$B$25+_xlpm.d),IF(_xlpm.regd&lt;$B$26,EDATE($B$26,$B$24+_xlpm.d),EDATE(_xlpm.regd,_xlpm.d))),_xlpm.n,MAX(1,(YEAR(_xlpm.compl)-YEAR($B$26))*12+MONTH(_xlpm.compl)-MONTH($B$26)),_xlpm.pace,MIN($B$23,(100-_xlpm.cert)/_xlpm.n),_xlpm.c,MIN(100,_xlpm.cert+_xlpm.pace*$B$27),IF(_xlpm.c&gt;=100,1,$B$20+(1-$B$20-$B$21)*_xlpm.c/100)*MIN(1,_xlpm.c/100)*(1-$B$22))</f>
        <v>0.33664267221644123</v>
      </c>
      <c r="L65" s="86">
        <f>_xlfn.LET(_xlpm.d,L$56,_xlpm.cert,Simulator!$H16,_xlpm.regd,Simulator!$I16,_xlpm.compl,IF(_xlpm.regd="",EDATE($B$26,$B$25+_xlpm.d),IF(_xlpm.regd&lt;$B$26,EDATE($B$26,$B$24+_xlpm.d),EDATE(_xlpm.regd,_xlpm.d))),_xlpm.n,MAX(1,(YEAR(_xlpm.compl)-YEAR($B$26))*12+MONTH(_xlpm.compl)-MONTH($B$26)),_xlpm.pace,MIN($B$23,(100-_xlpm.cert)/_xlpm.n),_xlpm.c,MIN(100,_xlpm.cert+_xlpm.pace*$B$27),IF(_xlpm.c&gt;=100,1,$B$20+(1-$B$20-$B$21)*_xlpm.c/100)*MIN(1,_xlpm.c/100)*(1-$B$22))</f>
        <v>0.32937771064814814</v>
      </c>
    </row>
    <row r="66" spans="1:12" ht="17.25" customHeight="1" outlineLevel="1" x14ac:dyDescent="0.2">
      <c r="A66" s="35" t="str">
        <f>Simulator!A17</f>
        <v>3321</v>
      </c>
      <c r="B66" s="35" t="str">
        <f>Simulator!B17</f>
        <v>Binghatti Hillviews</v>
      </c>
      <c r="C66" s="85">
        <f>Simulator!J17</f>
        <v>1850.15726</v>
      </c>
      <c r="D66" s="85">
        <f>Simulator!K17*Simulator!G17/1000000*$B$18*(1+$B$19)</f>
        <v>7.807569</v>
      </c>
      <c r="E66" s="85">
        <f>Simulator!$J17*IF(Simulator!$H17&gt;=100,1,$B$20+(1-$B$20-$B$21)*Simulator!$H17/100)*MIN(1,Simulator!$H17/100)*(1-$B$22)</f>
        <v>172.84724170098002</v>
      </c>
      <c r="F66" s="86">
        <f>_xlfn.LET(_xlpm.d,F$56,_xlpm.cert,Simulator!$H17,_xlpm.regd,Simulator!$I17,_xlpm.compl,IF(_xlpm.regd="",EDATE($B$26,$B$25+_xlpm.d),IF(_xlpm.regd&lt;$B$26,EDATE($B$26,$B$24+_xlpm.d),EDATE(_xlpm.regd,_xlpm.d))),_xlpm.n,MAX(1,(YEAR(_xlpm.compl)-YEAR($B$26))*12+MONTH(_xlpm.compl)-MONTH($B$26)),_xlpm.pace,MIN($B$23,(100-_xlpm.cert)/_xlpm.n),_xlpm.c,MIN(100,_xlpm.cert+_xlpm.pace*$B$27),IF(_xlpm.c&gt;=100,1,$B$20+(1-$B$20-$B$21)*_xlpm.c/100)*MIN(1,_xlpm.c/100)*(1-$B$22))</f>
        <v>0.37310300000000002</v>
      </c>
      <c r="G66" s="86">
        <f>_xlfn.LET(_xlpm.d,G$56,_xlpm.cert,Simulator!$H17,_xlpm.regd,Simulator!$I17,_xlpm.compl,IF(_xlpm.regd="",EDATE($B$26,$B$25+_xlpm.d),IF(_xlpm.regd&lt;$B$26,EDATE($B$26,$B$24+_xlpm.d),EDATE(_xlpm.regd,_xlpm.d))),_xlpm.n,MAX(1,(YEAR(_xlpm.compl)-YEAR($B$26))*12+MONTH(_xlpm.compl)-MONTH($B$26)),_xlpm.pace,MIN($B$23,(100-_xlpm.cert)/_xlpm.n),_xlpm.c,MIN(100,_xlpm.cert+_xlpm.pace*$B$27),IF(_xlpm.c&gt;=100,1,$B$20+(1-$B$20-$B$21)*_xlpm.c/100)*MIN(1,_xlpm.c/100)*(1-$B$22))</f>
        <v>0.28979114049586779</v>
      </c>
      <c r="H66" s="86">
        <f>_xlfn.LET(_xlpm.d,H$56,_xlpm.cert,Simulator!$H17,_xlpm.regd,Simulator!$I17,_xlpm.compl,IF(_xlpm.regd="",EDATE($B$26,$B$25+_xlpm.d),IF(_xlpm.regd&lt;$B$26,EDATE($B$26,$B$24+_xlpm.d),EDATE(_xlpm.regd,_xlpm.d))),_xlpm.n,MAX(1,(YEAR(_xlpm.compl)-YEAR($B$26))*12+MONTH(_xlpm.compl)-MONTH($B$26)),_xlpm.pace,MIN($B$23,(100-_xlpm.cert)/_xlpm.n),_xlpm.c,MIN(100,_xlpm.cert+_xlpm.pace*$B$27),IF(_xlpm.c&gt;=100,1,$B$20+(1-$B$20-$B$21)*_xlpm.c/100)*MIN(1,_xlpm.c/100)*(1-$B$22))</f>
        <v>0.21706809765625001</v>
      </c>
      <c r="I66" s="86">
        <f>_xlfn.LET(_xlpm.d,I$56,_xlpm.cert,Simulator!$H17,_xlpm.regd,Simulator!$I17,_xlpm.compl,IF(_xlpm.regd="",EDATE($B$26,$B$25+_xlpm.d),IF(_xlpm.regd&lt;$B$26,EDATE($B$26,$B$24+_xlpm.d),EDATE(_xlpm.regd,_xlpm.d))),_xlpm.n,MAX(1,(YEAR(_xlpm.compl)-YEAR($B$26))*12+MONTH(_xlpm.compl)-MONTH($B$26)),_xlpm.pace,MIN($B$23,(100-_xlpm.cert)/_xlpm.n),_xlpm.c,MIN(100,_xlpm.cert+_xlpm.pace*$B$27),IF(_xlpm.c&gt;=100,1,$B$20+(1-$B$20-$B$21)*_xlpm.c/100)*MIN(1,_xlpm.c/100)*(1-$B$22))</f>
        <v>0.1830958911564626</v>
      </c>
      <c r="J66" s="86">
        <f>_xlfn.LET(_xlpm.d,J$56,_xlpm.cert,Simulator!$H17,_xlpm.regd,Simulator!$I17,_xlpm.compl,IF(_xlpm.regd="",EDATE($B$26,$B$25+_xlpm.d),IF(_xlpm.regd&lt;$B$26,EDATE($B$26,$B$24+_xlpm.d),EDATE(_xlpm.regd,_xlpm.d))),_xlpm.n,MAX(1,(YEAR(_xlpm.compl)-YEAR($B$26))*12+MONTH(_xlpm.compl)-MONTH($B$26)),_xlpm.pace,MIN($B$23,(100-_xlpm.cert)/_xlpm.n),_xlpm.c,MIN(100,_xlpm.cert+_xlpm.pace*$B$27),IF(_xlpm.c&gt;=100,1,$B$20+(1-$B$20-$B$21)*_xlpm.c/100)*MIN(1,_xlpm.c/100)*(1-$B$22))</f>
        <v>0.16359806656804735</v>
      </c>
      <c r="K66" s="86">
        <f>_xlfn.LET(_xlpm.d,K$56,_xlpm.cert,Simulator!$H17,_xlpm.regd,Simulator!$I17,_xlpm.compl,IF(_xlpm.regd="",EDATE($B$26,$B$25+_xlpm.d),IF(_xlpm.regd&lt;$B$26,EDATE($B$26,$B$24+_xlpm.d),EDATE(_xlpm.regd,_xlpm.d))),_xlpm.n,MAX(1,(YEAR(_xlpm.compl)-YEAR($B$26))*12+MONTH(_xlpm.compl)-MONTH($B$26)),_xlpm.pace,MIN($B$23,(100-_xlpm.cert)/_xlpm.n),_xlpm.c,MIN(100,_xlpm.cert+_xlpm.pace*$B$27),IF(_xlpm.c&gt;=100,1,$B$20+(1-$B$20-$B$21)*_xlpm.c/100)*MIN(1,_xlpm.c/100)*(1-$B$22))</f>
        <v>0.15099942559833507</v>
      </c>
      <c r="L66" s="86">
        <f>_xlfn.LET(_xlpm.d,L$56,_xlpm.cert,Simulator!$H17,_xlpm.regd,Simulator!$I17,_xlpm.compl,IF(_xlpm.regd="",EDATE($B$26,$B$25+_xlpm.d),IF(_xlpm.regd&lt;$B$26,EDATE($B$26,$B$24+_xlpm.d),EDATE(_xlpm.regd,_xlpm.d))),_xlpm.n,MAX(1,(YEAR(_xlpm.compl)-YEAR($B$26))*12+MONTH(_xlpm.compl)-MONTH($B$26)),_xlpm.pace,MIN($B$23,(100-_xlpm.cert)/_xlpm.n),_xlpm.c,MIN(100,_xlpm.cert+_xlpm.pace*$B$27),IF(_xlpm.c&gt;=100,1,$B$20+(1-$B$20-$B$21)*_xlpm.c/100)*MIN(1,_xlpm.c/100)*(1-$B$22))</f>
        <v>0.14220659953703702</v>
      </c>
    </row>
    <row r="67" spans="1:12" ht="17.25" customHeight="1" outlineLevel="1" x14ac:dyDescent="0.2">
      <c r="A67" s="35" t="str">
        <f>Simulator!A18</f>
        <v>3397</v>
      </c>
      <c r="B67" s="35" t="str">
        <f>Simulator!B18</f>
        <v>Binghatti Twilight</v>
      </c>
      <c r="C67" s="85">
        <f>Simulator!J18</f>
        <v>422.72716000000003</v>
      </c>
      <c r="D67" s="85">
        <f>Simulator!K18*Simulator!G18/1000000*$B$18*(1+$B$19)</f>
        <v>29.659082999999995</v>
      </c>
      <c r="E67" s="85">
        <f>Simulator!$J18*IF(Simulator!$H18&gt;=100,1,$B$20+(1-$B$20-$B$21)*Simulator!$H18/100)*MIN(1,Simulator!$H18/100)*(1-$B$22)</f>
        <v>37.524644538880011</v>
      </c>
      <c r="F67" s="86">
        <f>_xlfn.LET(_xlpm.d,F$56,_xlpm.cert,Simulator!$H18,_xlpm.regd,Simulator!$I18,_xlpm.compl,IF(_xlpm.regd="",EDATE($B$26,$B$25+_xlpm.d),IF(_xlpm.regd&lt;$B$26,EDATE($B$26,$B$24+_xlpm.d),EDATE(_xlpm.regd,_xlpm.d))),_xlpm.n,MAX(1,(YEAR(_xlpm.compl)-YEAR($B$26))*12+MONTH(_xlpm.compl)-MONTH($B$26)),_xlpm.pace,MIN($B$23,(100-_xlpm.cert)/_xlpm.n),_xlpm.c,MIN(100,_xlpm.cert+_xlpm.pace*$B$27),IF(_xlpm.c&gt;=100,1,$B$20+(1-$B$20-$B$21)*_xlpm.c/100)*MIN(1,_xlpm.c/100)*(1-$B$22))</f>
        <v>0.36388799999999999</v>
      </c>
      <c r="G67" s="86">
        <f>_xlfn.LET(_xlpm.d,G$56,_xlpm.cert,Simulator!$H18,_xlpm.regd,Simulator!$I18,_xlpm.compl,IF(_xlpm.regd="",EDATE($B$26,$B$25+_xlpm.d),IF(_xlpm.regd&lt;$B$26,EDATE($B$26,$B$24+_xlpm.d),EDATE(_xlpm.regd,_xlpm.d))),_xlpm.n,MAX(1,(YEAR(_xlpm.compl)-YEAR($B$26))*12+MONTH(_xlpm.compl)-MONTH($B$26)),_xlpm.pace,MIN($B$23,(100-_xlpm.cert)/_xlpm.n),_xlpm.c,MIN(100,_xlpm.cert+_xlpm.pace*$B$27),IF(_xlpm.c&gt;=100,1,$B$20+(1-$B$20-$B$21)*_xlpm.c/100)*MIN(1,_xlpm.c/100)*(1-$B$22))</f>
        <v>0.28534419834710739</v>
      </c>
      <c r="H67" s="86">
        <f>_xlfn.LET(_xlpm.d,H$56,_xlpm.cert,Simulator!$H18,_xlpm.regd,Simulator!$I18,_xlpm.compl,IF(_xlpm.regd="",EDATE($B$26,$B$25+_xlpm.d),IF(_xlpm.regd&lt;$B$26,EDATE($B$26,$B$24+_xlpm.d),EDATE(_xlpm.regd,_xlpm.d))),_xlpm.n,MAX(1,(YEAR(_xlpm.compl)-YEAR($B$26))*12+MONTH(_xlpm.compl)-MONTH($B$26)),_xlpm.pace,MIN($B$23,(100-_xlpm.cert)/_xlpm.n),_xlpm.c,MIN(100,_xlpm.cert+_xlpm.pace*$B$27),IF(_xlpm.c&gt;=100,1,$B$20+(1-$B$20-$B$21)*_xlpm.c/100)*MIN(1,_xlpm.c/100)*(1-$B$22))</f>
        <v>0.21221456250000004</v>
      </c>
      <c r="I67" s="86">
        <f>_xlfn.LET(_xlpm.d,I$56,_xlpm.cert,Simulator!$H18,_xlpm.regd,Simulator!$I18,_xlpm.compl,IF(_xlpm.regd="",EDATE($B$26,$B$25+_xlpm.d),IF(_xlpm.regd&lt;$B$26,EDATE($B$26,$B$24+_xlpm.d),EDATE(_xlpm.regd,_xlpm.d))),_xlpm.n,MAX(1,(YEAR(_xlpm.compl)-YEAR($B$26))*12+MONTH(_xlpm.compl)-MONTH($B$26)),_xlpm.pace,MIN($B$23,(100-_xlpm.cert)/_xlpm.n),_xlpm.c,MIN(100,_xlpm.cert+_xlpm.pace*$B$27),IF(_xlpm.c&gt;=100,1,$B$20+(1-$B$20-$B$21)*_xlpm.c/100)*MIN(1,_xlpm.c/100)*(1-$B$22))</f>
        <v>0.17815330612244901</v>
      </c>
      <c r="J67" s="86">
        <f>_xlfn.LET(_xlpm.d,J$56,_xlpm.cert,Simulator!$H18,_xlpm.regd,Simulator!$I18,_xlpm.compl,IF(_xlpm.regd="",EDATE($B$26,$B$25+_xlpm.d),IF(_xlpm.regd&lt;$B$26,EDATE($B$26,$B$24+_xlpm.d),EDATE(_xlpm.regd,_xlpm.d))),_xlpm.n,MAX(1,(YEAR(_xlpm.compl)-YEAR($B$26))*12+MONTH(_xlpm.compl)-MONTH($B$26)),_xlpm.pace,MIN($B$23,(100-_xlpm.cert)/_xlpm.n),_xlpm.c,MIN(100,_xlpm.cert+_xlpm.pace*$B$27),IF(_xlpm.c&gt;=100,1,$B$20+(1-$B$20-$B$21)*_xlpm.c/100)*MIN(1,_xlpm.c/100)*(1-$B$22))</f>
        <v>0.15864302958579884</v>
      </c>
      <c r="K67" s="86">
        <f>_xlfn.LET(_xlpm.d,K$56,_xlpm.cert,Simulator!$H18,_xlpm.regd,Simulator!$I18,_xlpm.compl,IF(_xlpm.regd="",EDATE($B$26,$B$25+_xlpm.d),IF(_xlpm.regd&lt;$B$26,EDATE($B$26,$B$24+_xlpm.d),EDATE(_xlpm.regd,_xlpm.d))),_xlpm.n,MAX(1,(YEAR(_xlpm.compl)-YEAR($B$26))*12+MONTH(_xlpm.compl)-MONTH($B$26)),_xlpm.pace,MIN($B$23,(100-_xlpm.cert)/_xlpm.n),_xlpm.c,MIN(100,_xlpm.cert+_xlpm.pace*$B$27),IF(_xlpm.c&gt;=100,1,$B$20+(1-$B$20-$B$21)*_xlpm.c/100)*MIN(1,_xlpm.c/100)*(1-$B$22))</f>
        <v>0.14605428511966703</v>
      </c>
      <c r="L67" s="86">
        <f>_xlfn.LET(_xlpm.d,L$56,_xlpm.cert,Simulator!$H18,_xlpm.regd,Simulator!$I18,_xlpm.compl,IF(_xlpm.regd="",EDATE($B$26,$B$25+_xlpm.d),IF(_xlpm.regd&lt;$B$26,EDATE($B$26,$B$24+_xlpm.d),EDATE(_xlpm.regd,_xlpm.d))),_xlpm.n,MAX(1,(YEAR(_xlpm.compl)-YEAR($B$26))*12+MONTH(_xlpm.compl)-MONTH($B$26)),_xlpm.pace,MIN($B$23,(100-_xlpm.cert)/_xlpm.n),_xlpm.c,MIN(100,_xlpm.cert+_xlpm.pace*$B$27),IF(_xlpm.c&gt;=100,1,$B$20+(1-$B$20-$B$21)*_xlpm.c/100)*MIN(1,_xlpm.c/100)*(1-$B$22))</f>
        <v>0.13727781481481482</v>
      </c>
    </row>
    <row r="68" spans="1:12" ht="17.25" customHeight="1" outlineLevel="1" x14ac:dyDescent="0.2">
      <c r="A68" s="35" t="str">
        <f>Simulator!A19</f>
        <v>3107</v>
      </c>
      <c r="B68" s="35" t="str">
        <f>Simulator!B19</f>
        <v>One by Binghatti</v>
      </c>
      <c r="C68" s="85">
        <f>Simulator!J19</f>
        <v>1799.45595</v>
      </c>
      <c r="D68" s="85">
        <f>Simulator!K19*Simulator!G19/1000000*$B$18*(1+$B$19)</f>
        <v>192.61781999999999</v>
      </c>
      <c r="E68" s="85">
        <f>Simulator!$J19*IF(Simulator!$H19&gt;=100,1,$B$20+(1-$B$20-$B$21)*Simulator!$H19/100)*MIN(1,Simulator!$H19/100)*(1-$B$22)</f>
        <v>341.89663050000001</v>
      </c>
      <c r="F68" s="86">
        <f>_xlfn.LET(_xlpm.d,F$56,_xlpm.cert,Simulator!$H19,_xlpm.regd,Simulator!$I19,_xlpm.compl,IF(_xlpm.regd="",EDATE($B$26,$B$25+_xlpm.d),IF(_xlpm.regd&lt;$B$26,EDATE($B$26,$B$24+_xlpm.d),EDATE(_xlpm.regd,_xlpm.d))),_xlpm.n,MAX(1,(YEAR(_xlpm.compl)-YEAR($B$26))*12+MONTH(_xlpm.compl)-MONTH($B$26)),_xlpm.pace,MIN($B$23,(100-_xlpm.cert)/_xlpm.n),_xlpm.c,MIN(100,_xlpm.cert+_xlpm.pace*$B$27),IF(_xlpm.c&gt;=100,1,$B$20+(1-$B$20-$B$21)*_xlpm.c/100)*MIN(1,_xlpm.c/100)*(1-$B$22))</f>
        <v>0.54720000000000002</v>
      </c>
      <c r="G68" s="86">
        <f>_xlfn.LET(_xlpm.d,G$56,_xlpm.cert,Simulator!$H19,_xlpm.regd,Simulator!$I19,_xlpm.compl,IF(_xlpm.regd="",EDATE($B$26,$B$25+_xlpm.d),IF(_xlpm.regd&lt;$B$26,EDATE($B$26,$B$24+_xlpm.d),EDATE(_xlpm.regd,_xlpm.d))),_xlpm.n,MAX(1,(YEAR(_xlpm.compl)-YEAR($B$26))*12+MONTH(_xlpm.compl)-MONTH($B$26)),_xlpm.pace,MIN($B$23,(100-_xlpm.cert)/_xlpm.n),_xlpm.c,MIN(100,_xlpm.cert+_xlpm.pace*$B$27),IF(_xlpm.c&gt;=100,1,$B$20+(1-$B$20-$B$21)*_xlpm.c/100)*MIN(1,_xlpm.c/100)*(1-$B$22))</f>
        <v>0.37057851239669432</v>
      </c>
      <c r="H68" s="86">
        <f>_xlfn.LET(_xlpm.d,H$56,_xlpm.cert,Simulator!$H19,_xlpm.regd,Simulator!$I19,_xlpm.compl,IF(_xlpm.regd="",EDATE($B$26,$B$25+_xlpm.d),IF(_xlpm.regd&lt;$B$26,EDATE($B$26,$B$24+_xlpm.d),EDATE(_xlpm.regd,_xlpm.d))),_xlpm.n,MAX(1,(YEAR(_xlpm.compl)-YEAR($B$26))*12+MONTH(_xlpm.compl)-MONTH($B$26)),_xlpm.pace,MIN($B$23,(100-_xlpm.cert)/_xlpm.n),_xlpm.c,MIN(100,_xlpm.cert+_xlpm.pace*$B$27),IF(_xlpm.c&gt;=100,1,$B$20+(1-$B$20-$B$21)*_xlpm.c/100)*MIN(1,_xlpm.c/100)*(1-$B$22))</f>
        <v>0.30782226562499998</v>
      </c>
      <c r="I68" s="86">
        <f>_xlfn.LET(_xlpm.d,I$56,_xlpm.cert,Simulator!$H19,_xlpm.regd,Simulator!$I19,_xlpm.compl,IF(_xlpm.regd="",EDATE($B$26,$B$25+_xlpm.d),IF(_xlpm.regd&lt;$B$26,EDATE($B$26,$B$24+_xlpm.d),EDATE(_xlpm.regd,_xlpm.d))),_xlpm.n,MAX(1,(YEAR(_xlpm.compl)-YEAR($B$26))*12+MONTH(_xlpm.compl)-MONTH($B$26)),_xlpm.pace,MIN($B$23,(100-_xlpm.cert)/_xlpm.n),_xlpm.c,MIN(100,_xlpm.cert+_xlpm.pace*$B$27),IF(_xlpm.c&gt;=100,1,$B$20+(1-$B$20-$B$21)*_xlpm.c/100)*MIN(1,_xlpm.c/100)*(1-$B$22))</f>
        <v>0.27724489795918367</v>
      </c>
      <c r="J68" s="86">
        <f>_xlfn.LET(_xlpm.d,J$56,_xlpm.cert,Simulator!$H19,_xlpm.regd,Simulator!$I19,_xlpm.compl,IF(_xlpm.regd="",EDATE($B$26,$B$25+_xlpm.d),IF(_xlpm.regd&lt;$B$26,EDATE($B$26,$B$24+_xlpm.d),EDATE(_xlpm.regd,_xlpm.d))),_xlpm.n,MAX(1,(YEAR(_xlpm.compl)-YEAR($B$26))*12+MONTH(_xlpm.compl)-MONTH($B$26)),_xlpm.pace,MIN($B$23,(100-_xlpm.cert)/_xlpm.n),_xlpm.c,MIN(100,_xlpm.cert+_xlpm.pace*$B$27),IF(_xlpm.c&gt;=100,1,$B$20+(1-$B$20-$B$21)*_xlpm.c/100)*MIN(1,_xlpm.c/100)*(1-$B$22))</f>
        <v>0.25921227810650888</v>
      </c>
      <c r="K68" s="86">
        <f>_xlfn.LET(_xlpm.d,K$56,_xlpm.cert,Simulator!$H19,_xlpm.regd,Simulator!$I19,_xlpm.compl,IF(_xlpm.regd="",EDATE($B$26,$B$25+_xlpm.d),IF(_xlpm.regd&lt;$B$26,EDATE($B$26,$B$24+_xlpm.d),EDATE(_xlpm.regd,_xlpm.d))),_xlpm.n,MAX(1,(YEAR(_xlpm.compl)-YEAR($B$26))*12+MONTH(_xlpm.compl)-MONTH($B$26)),_xlpm.pace,MIN($B$23,(100-_xlpm.cert)/_xlpm.n),_xlpm.c,MIN(100,_xlpm.cert+_xlpm.pace*$B$27),IF(_xlpm.c&gt;=100,1,$B$20+(1-$B$20-$B$21)*_xlpm.c/100)*MIN(1,_xlpm.c/100)*(1-$B$22))</f>
        <v>0.24733610822060351</v>
      </c>
      <c r="L68" s="86">
        <f>_xlfn.LET(_xlpm.d,L$56,_xlpm.cert,Simulator!$H19,_xlpm.regd,Simulator!$I19,_xlpm.compl,IF(_xlpm.regd="",EDATE($B$26,$B$25+_xlpm.d),IF(_xlpm.regd&lt;$B$26,EDATE($B$26,$B$24+_xlpm.d),EDATE(_xlpm.regd,_xlpm.d))),_xlpm.n,MAX(1,(YEAR(_xlpm.compl)-YEAR($B$26))*12+MONTH(_xlpm.compl)-MONTH($B$26)),_xlpm.pace,MIN($B$23,(100-_xlpm.cert)/_xlpm.n),_xlpm.c,MIN(100,_xlpm.cert+_xlpm.pace*$B$27),IF(_xlpm.c&gt;=100,1,$B$20+(1-$B$20-$B$21)*_xlpm.c/100)*MIN(1,_xlpm.c/100)*(1-$B$22))</f>
        <v>0.23892939814814818</v>
      </c>
    </row>
    <row r="69" spans="1:12" ht="17.25" customHeight="1" outlineLevel="1" x14ac:dyDescent="0.2">
      <c r="A69" s="35" t="str">
        <f>Simulator!A20</f>
        <v>3722</v>
      </c>
      <c r="B69" s="35" t="str">
        <f>Simulator!B20</f>
        <v>Binghatti Moonlight</v>
      </c>
      <c r="C69" s="85">
        <f>Simulator!J20</f>
        <v>430.36624799999998</v>
      </c>
      <c r="D69" s="85">
        <f>Simulator!K20*Simulator!G20/1000000*$B$18*(1+$B$19)</f>
        <v>0</v>
      </c>
      <c r="E69" s="85">
        <f>Simulator!$J20*IF(Simulator!$H20&gt;=100,1,$B$20+(1-$B$20-$B$21)*Simulator!$H20/100)*MIN(1,Simulator!$H20/100)*(1-$B$22)</f>
        <v>16.623757061496001</v>
      </c>
      <c r="F69" s="86">
        <f>_xlfn.LET(_xlpm.d,F$56,_xlpm.cert,Simulator!$H20,_xlpm.regd,Simulator!$I20,_xlpm.compl,IF(_xlpm.regd="",EDATE($B$26,$B$25+_xlpm.d),IF(_xlpm.regd&lt;$B$26,EDATE($B$26,$B$24+_xlpm.d),EDATE(_xlpm.regd,_xlpm.d))),_xlpm.n,MAX(1,(YEAR(_xlpm.compl)-YEAR($B$26))*12+MONTH(_xlpm.compl)-MONTH($B$26)),_xlpm.pace,MIN($B$23,(100-_xlpm.cert)/_xlpm.n),_xlpm.c,MIN(100,_xlpm.cert+_xlpm.pace*$B$27),IF(_xlpm.c&gt;=100,1,$B$20+(1-$B$20-$B$21)*_xlpm.c/100)*MIN(1,_xlpm.c/100)*(1-$B$22))</f>
        <v>0.25446700000000005</v>
      </c>
      <c r="G69" s="86">
        <f>_xlfn.LET(_xlpm.d,G$56,_xlpm.cert,Simulator!$H20,_xlpm.regd,Simulator!$I20,_xlpm.compl,IF(_xlpm.regd="",EDATE($B$26,$B$25+_xlpm.d),IF(_xlpm.regd&lt;$B$26,EDATE($B$26,$B$24+_xlpm.d),EDATE(_xlpm.regd,_xlpm.d))),_xlpm.n,MAX(1,(YEAR(_xlpm.compl)-YEAR($B$26))*12+MONTH(_xlpm.compl)-MONTH($B$26)),_xlpm.pace,MIN($B$23,(100-_xlpm.cert)/_xlpm.n),_xlpm.c,MIN(100,_xlpm.cert+_xlpm.pace*$B$27),IF(_xlpm.c&gt;=100,1,$B$20+(1-$B$20-$B$21)*_xlpm.c/100)*MIN(1,_xlpm.c/100)*(1-$B$22))</f>
        <v>0.23062042975206609</v>
      </c>
      <c r="H69" s="86">
        <f>_xlfn.LET(_xlpm.d,H$56,_xlpm.cert,Simulator!$H20,_xlpm.regd,Simulator!$I20,_xlpm.compl,IF(_xlpm.regd="",EDATE($B$26,$B$25+_xlpm.d),IF(_xlpm.regd&lt;$B$26,EDATE($B$26,$B$24+_xlpm.d),EDATE(_xlpm.regd,_xlpm.d))),_xlpm.n,MAX(1,(YEAR(_xlpm.compl)-YEAR($B$26))*12+MONTH(_xlpm.compl)-MONTH($B$26)),_xlpm.pace,MIN($B$23,(100-_xlpm.cert)/_xlpm.n),_xlpm.c,MIN(100,_xlpm.cert+_xlpm.pace*$B$27),IF(_xlpm.c&gt;=100,1,$B$20+(1-$B$20-$B$21)*_xlpm.c/100)*MIN(1,_xlpm.c/100)*(1-$B$22))</f>
        <v>0.15402194140625003</v>
      </c>
      <c r="I69" s="86">
        <f>_xlfn.LET(_xlpm.d,I$56,_xlpm.cert,Simulator!$H20,_xlpm.regd,Simulator!$I20,_xlpm.compl,IF(_xlpm.regd="",EDATE($B$26,$B$25+_xlpm.d),IF(_xlpm.regd&lt;$B$26,EDATE($B$26,$B$24+_xlpm.d),EDATE(_xlpm.regd,_xlpm.d))),_xlpm.n,MAX(1,(YEAR(_xlpm.compl)-YEAR($B$26))*12+MONTH(_xlpm.compl)-MONTH($B$26)),_xlpm.pace,MIN($B$23,(100-_xlpm.cert)/_xlpm.n),_xlpm.c,MIN(100,_xlpm.cert+_xlpm.pace*$B$27),IF(_xlpm.c&gt;=100,1,$B$20+(1-$B$20-$B$21)*_xlpm.c/100)*MIN(1,_xlpm.c/100)*(1-$B$22))</f>
        <v>0.11992179591836734</v>
      </c>
      <c r="J69" s="86">
        <f>_xlfn.LET(_xlpm.d,J$56,_xlpm.cert,Simulator!$H20,_xlpm.regd,Simulator!$I20,_xlpm.compl,IF(_xlpm.regd="",EDATE($B$26,$B$25+_xlpm.d),IF(_xlpm.regd&lt;$B$26,EDATE($B$26,$B$24+_xlpm.d),EDATE(_xlpm.regd,_xlpm.d))),_xlpm.n,MAX(1,(YEAR(_xlpm.compl)-YEAR($B$26))*12+MONTH(_xlpm.compl)-MONTH($B$26)),_xlpm.pace,MIN($B$23,(100-_xlpm.cert)/_xlpm.n),_xlpm.c,MIN(100,_xlpm.cert+_xlpm.pace*$B$27),IF(_xlpm.c&gt;=100,1,$B$20+(1-$B$20-$B$21)*_xlpm.c/100)*MIN(1,_xlpm.c/100)*(1-$B$22))</f>
        <v>0.10099520266272194</v>
      </c>
      <c r="K69" s="86">
        <f>_xlfn.LET(_xlpm.d,K$56,_xlpm.cert,Simulator!$H20,_xlpm.regd,Simulator!$I20,_xlpm.compl,IF(_xlpm.regd="",EDATE($B$26,$B$25+_xlpm.d),IF(_xlpm.regd&lt;$B$26,EDATE($B$26,$B$24+_xlpm.d),EDATE(_xlpm.regd,_xlpm.d))),_xlpm.n,MAX(1,(YEAR(_xlpm.compl)-YEAR($B$26))*12+MONTH(_xlpm.compl)-MONTH($B$26)),_xlpm.pace,MIN($B$23,(100-_xlpm.cert)/_xlpm.n),_xlpm.c,MIN(100,_xlpm.cert+_xlpm.pace*$B$27),IF(_xlpm.c&gt;=100,1,$B$20+(1-$B$20-$B$21)*_xlpm.c/100)*MIN(1,_xlpm.c/100)*(1-$B$22))</f>
        <v>8.9064882414151933E-2</v>
      </c>
      <c r="L69" s="86">
        <f>_xlfn.LET(_xlpm.d,L$56,_xlpm.cert,Simulator!$H20,_xlpm.regd,Simulator!$I20,_xlpm.compl,IF(_xlpm.regd="",EDATE($B$26,$B$25+_xlpm.d),IF(_xlpm.regd&lt;$B$26,EDATE($B$26,$B$24+_xlpm.d),EDATE(_xlpm.regd,_xlpm.d))),_xlpm.n,MAX(1,(YEAR(_xlpm.compl)-YEAR($B$26))*12+MONTH(_xlpm.compl)-MONTH($B$26)),_xlpm.pace,MIN($B$23,(100-_xlpm.cert)/_xlpm.n),_xlpm.c,MIN(100,_xlpm.cert+_xlpm.pace*$B$27),IF(_xlpm.c&gt;=100,1,$B$20+(1-$B$20-$B$21)*_xlpm.c/100)*MIN(1,_xlpm.c/100)*(1-$B$22))</f>
        <v>8.0896062499999991E-2</v>
      </c>
    </row>
    <row r="70" spans="1:12" ht="17.25" customHeight="1" outlineLevel="1" x14ac:dyDescent="0.2">
      <c r="A70" s="35" t="str">
        <f>Simulator!A21</f>
        <v>3341</v>
      </c>
      <c r="B70" s="35" t="str">
        <f>Simulator!B21</f>
        <v>Binghatti Elite</v>
      </c>
      <c r="C70" s="85">
        <f>Simulator!J21</f>
        <v>1123.6438900000001</v>
      </c>
      <c r="D70" s="85">
        <f>Simulator!K21*Simulator!G21/1000000*$B$18*(1+$B$19)</f>
        <v>0</v>
      </c>
      <c r="E70" s="85">
        <f>Simulator!$J21*IF(Simulator!$H21&gt;=100,1,$B$20+(1-$B$20-$B$21)*Simulator!$H21/100)*MIN(1,Simulator!$H21/100)*(1-$B$22)</f>
        <v>236.48546402107002</v>
      </c>
      <c r="F70" s="86">
        <f>_xlfn.LET(_xlpm.d,F$56,_xlpm.cert,Simulator!$H21,_xlpm.regd,Simulator!$I21,_xlpm.compl,IF(_xlpm.regd="",EDATE($B$26,$B$25+_xlpm.d),IF(_xlpm.regd&lt;$B$26,EDATE($B$26,$B$24+_xlpm.d),EDATE(_xlpm.regd,_xlpm.d))),_xlpm.n,MAX(1,(YEAR(_xlpm.compl)-YEAR($B$26))*12+MONTH(_xlpm.compl)-MONTH($B$26)),_xlpm.pace,MIN($B$23,(100-_xlpm.cert)/_xlpm.n),_xlpm.c,MIN(100,_xlpm.cert+_xlpm.pace*$B$27),IF(_xlpm.c&gt;=100,1,$B$20+(1-$B$20-$B$21)*_xlpm.c/100)*MIN(1,_xlpm.c/100)*(1-$B$22))</f>
        <v>0.57175591666666647</v>
      </c>
      <c r="G70" s="86">
        <f>_xlfn.LET(_xlpm.d,G$56,_xlpm.cert,Simulator!$H21,_xlpm.regd,Simulator!$I21,_xlpm.compl,IF(_xlpm.regd="",EDATE($B$26,$B$25+_xlpm.d),IF(_xlpm.regd&lt;$B$26,EDATE($B$26,$B$24+_xlpm.d),EDATE(_xlpm.regd,_xlpm.d))),_xlpm.n,MAX(1,(YEAR(_xlpm.compl)-YEAR($B$26))*12+MONTH(_xlpm.compl)-MONTH($B$26)),_xlpm.pace,MIN($B$23,(100-_xlpm.cert)/_xlpm.n),_xlpm.c,MIN(100,_xlpm.cert+_xlpm.pace*$B$27),IF(_xlpm.c&gt;=100,1,$B$20+(1-$B$20-$B$21)*_xlpm.c/100)*MIN(1,_xlpm.c/100)*(1-$B$22))</f>
        <v>0.38585262809917353</v>
      </c>
      <c r="H70" s="86">
        <f>_xlfn.LET(_xlpm.d,H$56,_xlpm.cert,Simulator!$H21,_xlpm.regd,Simulator!$I21,_xlpm.compl,IF(_xlpm.regd="",EDATE($B$26,$B$25+_xlpm.d),IF(_xlpm.regd&lt;$B$26,EDATE($B$26,$B$24+_xlpm.d),EDATE(_xlpm.regd,_xlpm.d))),_xlpm.n,MAX(1,(YEAR(_xlpm.compl)-YEAR($B$26))*12+MONTH(_xlpm.compl)-MONTH($B$26)),_xlpm.pace,MIN($B$23,(100-_xlpm.cert)/_xlpm.n),_xlpm.c,MIN(100,_xlpm.cert+_xlpm.pace*$B$27),IF(_xlpm.c&gt;=100,1,$B$20+(1-$B$20-$B$21)*_xlpm.c/100)*MIN(1,_xlpm.c/100)*(1-$B$22))</f>
        <v>0.32545419140624998</v>
      </c>
      <c r="I70" s="86">
        <f>_xlfn.LET(_xlpm.d,I$56,_xlpm.cert,Simulator!$H21,_xlpm.regd,Simulator!$I21,_xlpm.compl,IF(_xlpm.regd="",EDATE($B$26,$B$25+_xlpm.d),IF(_xlpm.regd&lt;$B$26,EDATE($B$26,$B$24+_xlpm.d),EDATE(_xlpm.regd,_xlpm.d))),_xlpm.n,MAX(1,(YEAR(_xlpm.compl)-YEAR($B$26))*12+MONTH(_xlpm.compl)-MONTH($B$26)),_xlpm.pace,MIN($B$23,(100-_xlpm.cert)/_xlpm.n),_xlpm.c,MIN(100,_xlpm.cert+_xlpm.pace*$B$27),IF(_xlpm.c&gt;=100,1,$B$20+(1-$B$20-$B$21)*_xlpm.c/100)*MIN(1,_xlpm.c/100)*(1-$B$22))</f>
        <v>0.29584473469387756</v>
      </c>
      <c r="J70" s="86">
        <f>_xlfn.LET(_xlpm.d,J$56,_xlpm.cert,Simulator!$H21,_xlpm.regd,Simulator!$I21,_xlpm.compl,IF(_xlpm.regd="",EDATE($B$26,$B$25+_xlpm.d),IF(_xlpm.regd&lt;$B$26,EDATE($B$26,$B$24+_xlpm.d),EDATE(_xlpm.regd,_xlpm.d))),_xlpm.n,MAX(1,(YEAR(_xlpm.compl)-YEAR($B$26))*12+MONTH(_xlpm.compl)-MONTH($B$26)),_xlpm.pace,MIN($B$23,(100-_xlpm.cert)/_xlpm.n),_xlpm.c,MIN(100,_xlpm.cert+_xlpm.pace*$B$27),IF(_xlpm.c&gt;=100,1,$B$20+(1-$B$20-$B$21)*_xlpm.c/100)*MIN(1,_xlpm.c/100)*(1-$B$22))</f>
        <v>0.2783164689349113</v>
      </c>
      <c r="K70" s="86">
        <f>_xlfn.LET(_xlpm.d,K$56,_xlpm.cert,Simulator!$H21,_xlpm.regd,Simulator!$I21,_xlpm.compl,IF(_xlpm.regd="",EDATE($B$26,$B$25+_xlpm.d),IF(_xlpm.regd&lt;$B$26,EDATE($B$26,$B$24+_xlpm.d),EDATE(_xlpm.regd,_xlpm.d))),_xlpm.n,MAX(1,(YEAR(_xlpm.compl)-YEAR($B$26))*12+MONTH(_xlpm.compl)-MONTH($B$26)),_xlpm.pace,MIN($B$23,(100-_xlpm.cert)/_xlpm.n),_xlpm.c,MIN(100,_xlpm.cert+_xlpm.pace*$B$27),IF(_xlpm.c&gt;=100,1,$B$20+(1-$B$20-$B$21)*_xlpm.c/100)*MIN(1,_xlpm.c/100)*(1-$B$22))</f>
        <v>0.26674244328824143</v>
      </c>
      <c r="L70" s="86">
        <f>_xlfn.LET(_xlpm.d,L$56,_xlpm.cert,Simulator!$H21,_xlpm.regd,Simulator!$I21,_xlpm.compl,IF(_xlpm.regd="",EDATE($B$26,$B$25+_xlpm.d),IF(_xlpm.regd&lt;$B$26,EDATE($B$26,$B$24+_xlpm.d),EDATE(_xlpm.regd,_xlpm.d))),_xlpm.n,MAX(1,(YEAR(_xlpm.compl)-YEAR($B$26))*12+MONTH(_xlpm.compl)-MONTH($B$26)),_xlpm.pace,MIN($B$23,(100-_xlpm.cert)/_xlpm.n),_xlpm.c,MIN(100,_xlpm.cert+_xlpm.pace*$B$27),IF(_xlpm.c&gt;=100,1,$B$20+(1-$B$20-$B$21)*_xlpm.c/100)*MIN(1,_xlpm.c/100)*(1-$B$22))</f>
        <v>0.2585340995370371</v>
      </c>
    </row>
    <row r="71" spans="1:12" ht="17.25" customHeight="1" outlineLevel="1" x14ac:dyDescent="0.2">
      <c r="A71" s="35" t="str">
        <f>Simulator!A22</f>
        <v>3481</v>
      </c>
      <c r="B71" s="35" t="str">
        <f>Simulator!B22</f>
        <v>Binghatti Hillside</v>
      </c>
      <c r="C71" s="85">
        <f>Simulator!J22</f>
        <v>278.201638</v>
      </c>
      <c r="D71" s="85">
        <f>Simulator!K22*Simulator!G22/1000000*$B$18*(1+$B$19)</f>
        <v>72.95497499999999</v>
      </c>
      <c r="E71" s="85">
        <f>Simulator!$J22*IF(Simulator!$H22&gt;=100,1,$B$20+(1-$B$20-$B$21)*Simulator!$H22/100)*MIN(1,Simulator!$H22/100)*(1-$B$22)</f>
        <v>96.202126420400006</v>
      </c>
      <c r="F71" s="86">
        <f>_xlfn.LET(_xlpm.d,F$56,_xlpm.cert,Simulator!$H22,_xlpm.regd,Simulator!$I22,_xlpm.compl,IF(_xlpm.regd="",EDATE($B$26,$B$25+_xlpm.d),IF(_xlpm.regd&lt;$B$26,EDATE($B$26,$B$24+_xlpm.d),EDATE(_xlpm.regd,_xlpm.d))),_xlpm.n,MAX(1,(YEAR(_xlpm.compl)-YEAR($B$26))*12+MONTH(_xlpm.compl)-MONTH($B$26)),_xlpm.pace,MIN($B$23,(100-_xlpm.cert)/_xlpm.n),_xlpm.c,MIN(100,_xlpm.cert+_xlpm.pace*$B$27),IF(_xlpm.c&gt;=100,1,$B$20+(1-$B$20-$B$21)*_xlpm.c/100)*MIN(1,_xlpm.c/100)*(1-$B$22))</f>
        <v>0.60467499999999996</v>
      </c>
      <c r="G71" s="86">
        <f>_xlfn.LET(_xlpm.d,G$56,_xlpm.cert,Simulator!$H22,_xlpm.regd,Simulator!$I22,_xlpm.compl,IF(_xlpm.regd="",EDATE($B$26,$B$25+_xlpm.d),IF(_xlpm.regd&lt;$B$26,EDATE($B$26,$B$24+_xlpm.d),EDATE(_xlpm.regd,_xlpm.d))),_xlpm.n,MAX(1,(YEAR(_xlpm.compl)-YEAR($B$26))*12+MONTH(_xlpm.compl)-MONTH($B$26)),_xlpm.pace,MIN($B$23,(100-_xlpm.cert)/_xlpm.n),_xlpm.c,MIN(100,_xlpm.cert+_xlpm.pace*$B$27),IF(_xlpm.c&gt;=100,1,$B$20+(1-$B$20-$B$21)*_xlpm.c/100)*MIN(1,_xlpm.c/100)*(1-$B$22))</f>
        <v>0.47817190082644634</v>
      </c>
      <c r="H71" s="86">
        <f>_xlfn.LET(_xlpm.d,H$56,_xlpm.cert,Simulator!$H22,_xlpm.regd,Simulator!$I22,_xlpm.compl,IF(_xlpm.regd="",EDATE($B$26,$B$25+_xlpm.d),IF(_xlpm.regd&lt;$B$26,EDATE($B$26,$B$24+_xlpm.d),EDATE(_xlpm.regd,_xlpm.d))),_xlpm.n,MAX(1,(YEAR(_xlpm.compl)-YEAR($B$26))*12+MONTH(_xlpm.compl)-MONTH($B$26)),_xlpm.pace,MIN($B$23,(100-_xlpm.cert)/_xlpm.n),_xlpm.c,MIN(100,_xlpm.cert+_xlpm.pace*$B$27),IF(_xlpm.c&gt;=100,1,$B$20+(1-$B$20-$B$21)*_xlpm.c/100)*MIN(1,_xlpm.c/100)*(1-$B$22))</f>
        <v>0.434528515625</v>
      </c>
      <c r="I71" s="86">
        <f>_xlfn.LET(_xlpm.d,I$56,_xlpm.cert,Simulator!$H22,_xlpm.regd,Simulator!$I22,_xlpm.compl,IF(_xlpm.regd="",EDATE($B$26,$B$25+_xlpm.d),IF(_xlpm.regd&lt;$B$26,EDATE($B$26,$B$24+_xlpm.d),EDATE(_xlpm.regd,_xlpm.d))),_xlpm.n,MAX(1,(YEAR(_xlpm.compl)-YEAR($B$26))*12+MONTH(_xlpm.compl)-MONTH($B$26)),_xlpm.pace,MIN($B$23,(100-_xlpm.cert)/_xlpm.n),_xlpm.c,MIN(100,_xlpm.cert+_xlpm.pace*$B$27),IF(_xlpm.c&gt;=100,1,$B$20+(1-$B$20-$B$21)*_xlpm.c/100)*MIN(1,_xlpm.c/100)*(1-$B$22))</f>
        <v>0.4124938775510204</v>
      </c>
      <c r="J71" s="86">
        <f>_xlfn.LET(_xlpm.d,J$56,_xlpm.cert,Simulator!$H22,_xlpm.regd,Simulator!$I22,_xlpm.compl,IF(_xlpm.regd="",EDATE($B$26,$B$25+_xlpm.d),IF(_xlpm.regd&lt;$B$26,EDATE($B$26,$B$24+_xlpm.d),EDATE(_xlpm.regd,_xlpm.d))),_xlpm.n,MAX(1,(YEAR(_xlpm.compl)-YEAR($B$26))*12+MONTH(_xlpm.compl)-MONTH($B$26)),_xlpm.pace,MIN($B$23,(100-_xlpm.cert)/_xlpm.n),_xlpm.c,MIN(100,_xlpm.cert+_xlpm.pace*$B$27),IF(_xlpm.c&gt;=100,1,$B$20+(1-$B$20-$B$21)*_xlpm.c/100)*MIN(1,_xlpm.c/100)*(1-$B$22))</f>
        <v>0.3992164201183433</v>
      </c>
      <c r="K71" s="86">
        <f>_xlfn.LET(_xlpm.d,K$56,_xlpm.cert,Simulator!$H22,_xlpm.regd,Simulator!$I22,_xlpm.compl,IF(_xlpm.regd="",EDATE($B$26,$B$25+_xlpm.d),IF(_xlpm.regd&lt;$B$26,EDATE($B$26,$B$24+_xlpm.d),EDATE(_xlpm.regd,_xlpm.d))),_xlpm.n,MAX(1,(YEAR(_xlpm.compl)-YEAR($B$26))*12+MONTH(_xlpm.compl)-MONTH($B$26)),_xlpm.pace,MIN($B$23,(100-_xlpm.cert)/_xlpm.n),_xlpm.c,MIN(100,_xlpm.cert+_xlpm.pace*$B$27),IF(_xlpm.c&gt;=100,1,$B$20+(1-$B$20-$B$21)*_xlpm.c/100)*MIN(1,_xlpm.c/100)*(1-$B$22))</f>
        <v>0.39034422476586894</v>
      </c>
      <c r="L71" s="86">
        <f>_xlfn.LET(_xlpm.d,L$56,_xlpm.cert,Simulator!$H22,_xlpm.regd,Simulator!$I22,_xlpm.compl,IF(_xlpm.regd="",EDATE($B$26,$B$25+_xlpm.d),IF(_xlpm.regd&lt;$B$26,EDATE($B$26,$B$24+_xlpm.d),EDATE(_xlpm.regd,_xlpm.d))),_xlpm.n,MAX(1,(YEAR(_xlpm.compl)-YEAR($B$26))*12+MONTH(_xlpm.compl)-MONTH($B$26)),_xlpm.pace,MIN($B$23,(100-_xlpm.cert)/_xlpm.n),_xlpm.c,MIN(100,_xlpm.cert+_xlpm.pace*$B$27),IF(_xlpm.c&gt;=100,1,$B$20+(1-$B$20-$B$21)*_xlpm.c/100)*MIN(1,_xlpm.c/100)*(1-$B$22))</f>
        <v>0.38399791666666672</v>
      </c>
    </row>
    <row r="72" spans="1:12" ht="17.25" customHeight="1" outlineLevel="1" x14ac:dyDescent="0.2">
      <c r="A72" s="35" t="str">
        <f>Simulator!A23</f>
        <v>2480</v>
      </c>
      <c r="B72" s="35" t="str">
        <f>Simulator!B23</f>
        <v>Burj Binghatti Jacob &amp; Co. Residences</v>
      </c>
      <c r="C72" s="85">
        <f>Simulator!J23</f>
        <v>2057.5956799999999</v>
      </c>
      <c r="D72" s="85">
        <f>Simulator!K23*Simulator!G23/1000000*$B$18*(1+$B$19)</f>
        <v>440.91335999999995</v>
      </c>
      <c r="E72" s="85">
        <f>Simulator!$J23*IF(Simulator!$H23&gt;=100,1,$B$20+(1-$B$20-$B$21)*Simulator!$H23/100)*MIN(1,Simulator!$H23/100)*(1-$B$22)</f>
        <v>212.086674716</v>
      </c>
      <c r="F72" s="86">
        <f>_xlfn.LET(_xlpm.d,F$56,_xlpm.cert,Simulator!$H23,_xlpm.regd,Simulator!$I23,_xlpm.compl,IF(_xlpm.regd="",EDATE($B$26,$B$25+_xlpm.d),IF(_xlpm.regd&lt;$B$26,EDATE($B$26,$B$24+_xlpm.d),EDATE(_xlpm.regd,_xlpm.d))),_xlpm.n,MAX(1,(YEAR(_xlpm.compl)-YEAR($B$26))*12+MONTH(_xlpm.compl)-MONTH($B$26)),_xlpm.pace,MIN($B$23,(100-_xlpm.cert)/_xlpm.n),_xlpm.c,MIN(100,_xlpm.cert+_xlpm.pace*$B$27),IF(_xlpm.c&gt;=100,1,$B$20+(1-$B$20-$B$21)*_xlpm.c/100)*MIN(1,_xlpm.c/100)*(1-$B$22))</f>
        <v>0.39187500000000003</v>
      </c>
      <c r="G72" s="86">
        <f>_xlfn.LET(_xlpm.d,G$56,_xlpm.cert,Simulator!$H23,_xlpm.regd,Simulator!$I23,_xlpm.compl,IF(_xlpm.regd="",EDATE($B$26,$B$25+_xlpm.d),IF(_xlpm.regd&lt;$B$26,EDATE($B$26,$B$24+_xlpm.d),EDATE(_xlpm.regd,_xlpm.d))),_xlpm.n,MAX(1,(YEAR(_xlpm.compl)-YEAR($B$26))*12+MONTH(_xlpm.compl)-MONTH($B$26)),_xlpm.pace,MIN($B$23,(100-_xlpm.cert)/_xlpm.n),_xlpm.c,MIN(100,_xlpm.cert+_xlpm.pace*$B$27),IF(_xlpm.c&gt;=100,1,$B$20+(1-$B$20-$B$21)*_xlpm.c/100)*MIN(1,_xlpm.c/100)*(1-$B$22))</f>
        <v>0.29878677685950417</v>
      </c>
      <c r="H72" s="86">
        <f>_xlfn.LET(_xlpm.d,H$56,_xlpm.cert,Simulator!$H23,_xlpm.regd,Simulator!$I23,_xlpm.compl,IF(_xlpm.regd="",EDATE($B$26,$B$25+_xlpm.d),IF(_xlpm.regd&lt;$B$26,EDATE($B$26,$B$24+_xlpm.d),EDATE(_xlpm.regd,_xlpm.d))),_xlpm.n,MAX(1,(YEAR(_xlpm.compl)-YEAR($B$26))*12+MONTH(_xlpm.compl)-MONTH($B$26)),_xlpm.pace,MIN($B$23,(100-_xlpm.cert)/_xlpm.n),_xlpm.c,MIN(100,_xlpm.cert+_xlpm.pace*$B$27),IF(_xlpm.c&gt;=100,1,$B$20+(1-$B$20-$B$21)*_xlpm.c/100)*MIN(1,_xlpm.c/100)*(1-$B$22))</f>
        <v>0.22693681640625005</v>
      </c>
      <c r="I72" s="86">
        <f>_xlfn.LET(_xlpm.d,I$56,_xlpm.cert,Simulator!$H23,_xlpm.regd,Simulator!$I23,_xlpm.compl,IF(_xlpm.regd="",EDATE($B$26,$B$25+_xlpm.d),IF(_xlpm.regd&lt;$B$26,EDATE($B$26,$B$24+_xlpm.d),EDATE(_xlpm.regd,_xlpm.d))),_xlpm.n,MAX(1,(YEAR(_xlpm.compl)-YEAR($B$26))*12+MONTH(_xlpm.compl)-MONTH($B$26)),_xlpm.pace,MIN($B$23,(100-_xlpm.cert)/_xlpm.n),_xlpm.c,MIN(100,_xlpm.cert+_xlpm.pace*$B$27),IF(_xlpm.c&gt;=100,1,$B$20+(1-$B$20-$B$21)*_xlpm.c/100)*MIN(1,_xlpm.c/100)*(1-$B$22))</f>
        <v>0.19317959183673469</v>
      </c>
      <c r="J72" s="86">
        <f>_xlfn.LET(_xlpm.d,J$56,_xlpm.cert,Simulator!$H23,_xlpm.regd,Simulator!$I23,_xlpm.compl,IF(_xlpm.regd="",EDATE($B$26,$B$25+_xlpm.d),IF(_xlpm.regd&lt;$B$26,EDATE($B$26,$B$24+_xlpm.d),EDATE(_xlpm.regd,_xlpm.d))),_xlpm.n,MAX(1,(YEAR(_xlpm.compl)-YEAR($B$26))*12+MONTH(_xlpm.compl)-MONTH($B$26)),_xlpm.pace,MIN($B$23,(100-_xlpm.cert)/_xlpm.n),_xlpm.c,MIN(100,_xlpm.cert+_xlpm.pace*$B$27),IF(_xlpm.c&gt;=100,1,$B$20+(1-$B$20-$B$21)*_xlpm.c/100)*MIN(1,_xlpm.c/100)*(1-$B$22))</f>
        <v>0.17373124999999998</v>
      </c>
      <c r="K72" s="86">
        <f>_xlfn.LET(_xlpm.d,K$56,_xlpm.cert,Simulator!$H23,_xlpm.regd,Simulator!$I23,_xlpm.compl,IF(_xlpm.regd="",EDATE($B$26,$B$25+_xlpm.d),IF(_xlpm.regd&lt;$B$26,EDATE($B$26,$B$24+_xlpm.d),EDATE(_xlpm.regd,_xlpm.d))),_xlpm.n,MAX(1,(YEAR(_xlpm.compl)-YEAR($B$26))*12+MONTH(_xlpm.compl)-MONTH($B$26)),_xlpm.pace,MIN($B$23,(100-_xlpm.cert)/_xlpm.n),_xlpm.c,MIN(100,_xlpm.cert+_xlpm.pace*$B$27),IF(_xlpm.c&gt;=100,1,$B$20+(1-$B$20-$B$21)*_xlpm.c/100)*MIN(1,_xlpm.c/100)*(1-$B$22))</f>
        <v>0.16113028095733611</v>
      </c>
      <c r="L72" s="86">
        <f>_xlfn.LET(_xlpm.d,L$56,_xlpm.cert,Simulator!$H23,_xlpm.regd,Simulator!$I23,_xlpm.compl,IF(_xlpm.regd="",EDATE($B$26,$B$25+_xlpm.d),IF(_xlpm.regd&lt;$B$26,EDATE($B$26,$B$24+_xlpm.d),EDATE(_xlpm.regd,_xlpm.d))),_xlpm.n,MAX(1,(YEAR(_xlpm.compl)-YEAR($B$26))*12+MONTH(_xlpm.compl)-MONTH($B$26)),_xlpm.pace,MIN($B$23,(100-_xlpm.cert)/_xlpm.n),_xlpm.c,MIN(100,_xlpm.cert+_xlpm.pace*$B$27),IF(_xlpm.c&gt;=100,1,$B$20+(1-$B$20-$B$21)*_xlpm.c/100)*MIN(1,_xlpm.c/100)*(1-$B$22))</f>
        <v>0.15231776620370371</v>
      </c>
    </row>
    <row r="73" spans="1:12" ht="17.25" customHeight="1" outlineLevel="1" x14ac:dyDescent="0.2">
      <c r="A73" s="35" t="str">
        <f>Simulator!A24</f>
        <v>3504</v>
      </c>
      <c r="B73" s="35" t="str">
        <f>Simulator!B24</f>
        <v>Binghatti Skyhall</v>
      </c>
      <c r="C73" s="85">
        <f>Simulator!J24</f>
        <v>958.56097599999998</v>
      </c>
      <c r="D73" s="85">
        <f>Simulator!K24*Simulator!G24/1000000*$B$18*(1+$B$19)</f>
        <v>63.124747199999995</v>
      </c>
      <c r="E73" s="85">
        <f>Simulator!$J24*IF(Simulator!$H24&gt;=100,1,$B$20+(1-$B$20-$B$21)*Simulator!$H24/100)*MIN(1,Simulator!$H24/100)*(1-$B$22)</f>
        <v>80.736715325552012</v>
      </c>
      <c r="F73" s="86">
        <f>_xlfn.LET(_xlpm.d,F$56,_xlpm.cert,Simulator!$H24,_xlpm.regd,Simulator!$I24,_xlpm.compl,IF(_xlpm.regd="",EDATE($B$26,$B$25+_xlpm.d),IF(_xlpm.regd&lt;$B$26,EDATE($B$26,$B$24+_xlpm.d),EDATE(_xlpm.regd,_xlpm.d))),_xlpm.n,MAX(1,(YEAR(_xlpm.compl)-YEAR($B$26))*12+MONTH(_xlpm.compl)-MONTH($B$26)),_xlpm.pace,MIN($B$23,(100-_xlpm.cert)/_xlpm.n),_xlpm.c,MIN(100,_xlpm.cert+_xlpm.pace*$B$27),IF(_xlpm.c&gt;=100,1,$B$20+(1-$B$20-$B$21)*_xlpm.c/100)*MIN(1,_xlpm.c/100)*(1-$B$22))</f>
        <v>0.35478700000000007</v>
      </c>
      <c r="G73" s="86">
        <f>_xlfn.LET(_xlpm.d,G$56,_xlpm.cert,Simulator!$H24,_xlpm.regd,Simulator!$I24,_xlpm.compl,IF(_xlpm.regd="",EDATE($B$26,$B$25+_xlpm.d),IF(_xlpm.regd&lt;$B$26,EDATE($B$26,$B$24+_xlpm.d),EDATE(_xlpm.regd,_xlpm.d))),_xlpm.n,MAX(1,(YEAR(_xlpm.compl)-YEAR($B$26))*12+MONTH(_xlpm.compl)-MONTH($B$26)),_xlpm.pace,MIN($B$23,(100-_xlpm.cert)/_xlpm.n),_xlpm.c,MIN(100,_xlpm.cert+_xlpm.pace*$B$27),IF(_xlpm.c&gt;=100,1,$B$20+(1-$B$20-$B$21)*_xlpm.c/100)*MIN(1,_xlpm.c/100)*(1-$B$22))</f>
        <v>0.28093117355371905</v>
      </c>
      <c r="H73" s="86">
        <f>_xlfn.LET(_xlpm.d,H$56,_xlpm.cert,Simulator!$H24,_xlpm.regd,Simulator!$I24,_xlpm.compl,IF(_xlpm.regd="",EDATE($B$26,$B$25+_xlpm.d),IF(_xlpm.regd&lt;$B$26,EDATE($B$26,$B$24+_xlpm.d),EDATE(_xlpm.regd,_xlpm.d))),_xlpm.n,MAX(1,(YEAR(_xlpm.compl)-YEAR($B$26))*12+MONTH(_xlpm.compl)-MONTH($B$26)),_xlpm.pace,MIN($B$23,(100-_xlpm.cert)/_xlpm.n),_xlpm.c,MIN(100,_xlpm.cert+_xlpm.pace*$B$27),IF(_xlpm.c&gt;=100,1,$B$20+(1-$B$20-$B$21)*_xlpm.c/100)*MIN(1,_xlpm.c/100)*(1-$B$22))</f>
        <v>0.20741491015625002</v>
      </c>
      <c r="I73" s="86">
        <f>_xlfn.LET(_xlpm.d,I$56,_xlpm.cert,Simulator!$H24,_xlpm.regd,Simulator!$I24,_xlpm.compl,IF(_xlpm.regd="",EDATE($B$26,$B$25+_xlpm.d),IF(_xlpm.regd&lt;$B$26,EDATE($B$26,$B$24+_xlpm.d),EDATE(_xlpm.regd,_xlpm.d))),_xlpm.n,MAX(1,(YEAR(_xlpm.compl)-YEAR($B$26))*12+MONTH(_xlpm.compl)-MONTH($B$26)),_xlpm.pace,MIN($B$23,(100-_xlpm.cert)/_xlpm.n),_xlpm.c,MIN(100,_xlpm.cert+_xlpm.pace*$B$27),IF(_xlpm.c&gt;=100,1,$B$20+(1-$B$20-$B$21)*_xlpm.c/100)*MIN(1,_xlpm.c/100)*(1-$B$22))</f>
        <v>0.17327689795918372</v>
      </c>
      <c r="J73" s="86">
        <f>_xlfn.LET(_xlpm.d,J$56,_xlpm.cert,Simulator!$H24,_xlpm.regd,Simulator!$I24,_xlpm.compl,IF(_xlpm.regd="",EDATE($B$26,$B$25+_xlpm.d),IF(_xlpm.regd&lt;$B$26,EDATE($B$26,$B$24+_xlpm.d),EDATE(_xlpm.regd,_xlpm.d))),_xlpm.n,MAX(1,(YEAR(_xlpm.compl)-YEAR($B$26))*12+MONTH(_xlpm.compl)-MONTH($B$26)),_xlpm.pace,MIN($B$23,(100-_xlpm.cert)/_xlpm.n),_xlpm.c,MIN(100,_xlpm.cert+_xlpm.pace*$B$27),IF(_xlpm.c&gt;=100,1,$B$20+(1-$B$20-$B$21)*_xlpm.c/100)*MIN(1,_xlpm.c/100)*(1-$B$22))</f>
        <v>0.1537623624260355</v>
      </c>
      <c r="K73" s="86">
        <f>_xlfn.LET(_xlpm.d,K$56,_xlpm.cert,Simulator!$H24,_xlpm.regd,Simulator!$I24,_xlpm.compl,IF(_xlpm.regd="",EDATE($B$26,$B$25+_xlpm.d),IF(_xlpm.regd&lt;$B$26,EDATE($B$26,$B$24+_xlpm.d),EDATE(_xlpm.regd,_xlpm.d))),_xlpm.n,MAX(1,(YEAR(_xlpm.compl)-YEAR($B$26))*12+MONTH(_xlpm.compl)-MONTH($B$26)),_xlpm.pace,MIN($B$23,(100-_xlpm.cert)/_xlpm.n),_xlpm.c,MIN(100,_xlpm.cert+_xlpm.pace*$B$27),IF(_xlpm.c&gt;=100,1,$B$20+(1-$B$20-$B$21)*_xlpm.c/100)*MIN(1,_xlpm.c/100)*(1-$B$22))</f>
        <v>0.1411893361082206</v>
      </c>
      <c r="L73" s="86">
        <f>_xlfn.LET(_xlpm.d,L$56,_xlpm.cert,Simulator!$H24,_xlpm.regd,Simulator!$I24,_xlpm.compl,IF(_xlpm.regd="",EDATE($B$26,$B$25+_xlpm.d),IF(_xlpm.regd&lt;$B$26,EDATE($B$26,$B$24+_xlpm.d),EDATE(_xlpm.regd,_xlpm.d))),_xlpm.n,MAX(1,(YEAR(_xlpm.compl)-YEAR($B$26))*12+MONTH(_xlpm.compl)-MONTH($B$26)),_xlpm.pace,MIN($B$23,(100-_xlpm.cert)/_xlpm.n),_xlpm.c,MIN(100,_xlpm.cert+_xlpm.pace*$B$27),IF(_xlpm.c&gt;=100,1,$B$20+(1-$B$20-$B$21)*_xlpm.c/100)*MIN(1,_xlpm.c/100)*(1-$B$22))</f>
        <v>0.13243356250000002</v>
      </c>
    </row>
    <row r="74" spans="1:12" ht="17.25" customHeight="1" outlineLevel="1" x14ac:dyDescent="0.2">
      <c r="A74" s="35" t="str">
        <f>Simulator!A25</f>
        <v>3585</v>
      </c>
      <c r="B74" s="35" t="str">
        <f>Simulator!B25</f>
        <v>Binghatti Aquarise</v>
      </c>
      <c r="C74" s="85">
        <f>Simulator!J25</f>
        <v>2681.7612600000002</v>
      </c>
      <c r="D74" s="85">
        <f>Simulator!K25*Simulator!G25/1000000*$B$18*(1+$B$19)</f>
        <v>336.55080240000001</v>
      </c>
      <c r="E74" s="85">
        <f>Simulator!$J25*IF(Simulator!$H25&gt;=100,1,$B$20+(1-$B$20-$B$21)*Simulator!$H25/100)*MIN(1,Simulator!$H25/100)*(1-$B$22)</f>
        <v>120.91256992961999</v>
      </c>
      <c r="F74" s="86">
        <f>_xlfn.LET(_xlpm.d,F$56,_xlpm.cert,Simulator!$H25,_xlpm.regd,Simulator!$I25,_xlpm.compl,IF(_xlpm.regd="",EDATE($B$26,$B$25+_xlpm.d),IF(_xlpm.regd&lt;$B$26,EDATE($B$26,$B$24+_xlpm.d),EDATE(_xlpm.regd,_xlpm.d))),_xlpm.n,MAX(1,(YEAR(_xlpm.compl)-YEAR($B$26))*12+MONTH(_xlpm.compl)-MONTH($B$26)),_xlpm.pace,MIN($B$23,(100-_xlpm.cert)/_xlpm.n),_xlpm.c,MIN(100,_xlpm.cert+_xlpm.pace*$B$27),IF(_xlpm.c&gt;=100,1,$B$20+(1-$B$20-$B$21)*_xlpm.c/100)*MIN(1,_xlpm.c/100)*(1-$B$22))</f>
        <v>0.27004700000000004</v>
      </c>
      <c r="G74" s="86">
        <f>_xlfn.LET(_xlpm.d,G$56,_xlpm.cert,Simulator!$H25,_xlpm.regd,Simulator!$I25,_xlpm.compl,IF(_xlpm.regd="",EDATE($B$26,$B$25+_xlpm.d),IF(_xlpm.regd&lt;$B$26,EDATE($B$26,$B$24+_xlpm.d),EDATE(_xlpm.regd,_xlpm.d))),_xlpm.n,MAX(1,(YEAR(_xlpm.compl)-YEAR($B$26))*12+MONTH(_xlpm.compl)-MONTH($B$26)),_xlpm.pace,MIN($B$23,(100-_xlpm.cert)/_xlpm.n),_xlpm.c,MIN(100,_xlpm.cert+_xlpm.pace*$B$27),IF(_xlpm.c&gt;=100,1,$B$20+(1-$B$20-$B$21)*_xlpm.c/100)*MIN(1,_xlpm.c/100)*(1-$B$22))</f>
        <v>0.27004700000000004</v>
      </c>
      <c r="H74" s="86">
        <f>_xlfn.LET(_xlpm.d,H$56,_xlpm.cert,Simulator!$H25,_xlpm.regd,Simulator!$I25,_xlpm.compl,IF(_xlpm.regd="",EDATE($B$26,$B$25+_xlpm.d),IF(_xlpm.regd&lt;$B$26,EDATE($B$26,$B$24+_xlpm.d),EDATE(_xlpm.regd,_xlpm.d))),_xlpm.n,MAX(1,(YEAR(_xlpm.compl)-YEAR($B$26))*12+MONTH(_xlpm.compl)-MONTH($B$26)),_xlpm.pace,MIN($B$23,(100-_xlpm.cert)/_xlpm.n),_xlpm.c,MIN(100,_xlpm.cert+_xlpm.pace*$B$27),IF(_xlpm.c&gt;=100,1,$B$20+(1-$B$20-$B$21)*_xlpm.c/100)*MIN(1,_xlpm.c/100)*(1-$B$22))</f>
        <v>0.23866638016528924</v>
      </c>
      <c r="I74" s="86">
        <f>_xlfn.LET(_xlpm.d,I$56,_xlpm.cert,Simulator!$H25,_xlpm.regd,Simulator!$I25,_xlpm.compl,IF(_xlpm.regd="",EDATE($B$26,$B$25+_xlpm.d),IF(_xlpm.regd&lt;$B$26,EDATE($B$26,$B$24+_xlpm.d),EDATE(_xlpm.regd,_xlpm.d))),_xlpm.n,MAX(1,(YEAR(_xlpm.compl)-YEAR($B$26))*12+MONTH(_xlpm.compl)-MONTH($B$26)),_xlpm.pace,MIN($B$23,(100-_xlpm.cert)/_xlpm.n),_xlpm.c,MIN(100,_xlpm.cert+_xlpm.pace*$B$27),IF(_xlpm.c&gt;=100,1,$B$20+(1-$B$20-$B$21)*_xlpm.c/100)*MIN(1,_xlpm.c/100)*(1-$B$22))</f>
        <v>0.16238194140625001</v>
      </c>
      <c r="J74" s="86">
        <f>_xlfn.LET(_xlpm.d,J$56,_xlpm.cert,Simulator!$H25,_xlpm.regd,Simulator!$I25,_xlpm.compl,IF(_xlpm.regd="",EDATE($B$26,$B$25+_xlpm.d),IF(_xlpm.regd&lt;$B$26,EDATE($B$26,$B$24+_xlpm.d),EDATE(_xlpm.regd,_xlpm.d))),_xlpm.n,MAX(1,(YEAR(_xlpm.compl)-YEAR($B$26))*12+MONTH(_xlpm.compl)-MONTH($B$26)),_xlpm.pace,MIN($B$23,(100-_xlpm.cert)/_xlpm.n),_xlpm.c,MIN(100,_xlpm.cert+_xlpm.pace*$B$27),IF(_xlpm.c&gt;=100,1,$B$20+(1-$B$20-$B$21)*_xlpm.c/100)*MIN(1,_xlpm.c/100)*(1-$B$22))</f>
        <v>0.1281525442176871</v>
      </c>
      <c r="K74" s="86">
        <f>_xlfn.LET(_xlpm.d,K$56,_xlpm.cert,Simulator!$H25,_xlpm.regd,Simulator!$I25,_xlpm.compl,IF(_xlpm.regd="",EDATE($B$26,$B$25+_xlpm.d),IF(_xlpm.regd&lt;$B$26,EDATE($B$26,$B$24+_xlpm.d),EDATE(_xlpm.regd,_xlpm.d))),_xlpm.n,MAX(1,(YEAR(_xlpm.compl)-YEAR($B$26))*12+MONTH(_xlpm.compl)-MONTH($B$26)),_xlpm.pace,MIN($B$23,(100-_xlpm.cert)/_xlpm.n),_xlpm.c,MIN(100,_xlpm.cert+_xlpm.pace*$B$27),IF(_xlpm.c&gt;=100,1,$B$20+(1-$B$20-$B$21)*_xlpm.c/100)*MIN(1,_xlpm.c/100)*(1-$B$22))</f>
        <v>0.10904603106508877</v>
      </c>
      <c r="L74" s="86">
        <f>_xlfn.LET(_xlpm.d,L$56,_xlpm.cert,Simulator!$H25,_xlpm.regd,Simulator!$I25,_xlpm.compl,IF(_xlpm.regd="",EDATE($B$26,$B$25+_xlpm.d),IF(_xlpm.regd&lt;$B$26,EDATE($B$26,$B$24+_xlpm.d),EDATE(_xlpm.regd,_xlpm.d))),_xlpm.n,MAX(1,(YEAR(_xlpm.compl)-YEAR($B$26))*12+MONTH(_xlpm.compl)-MONTH($B$26)),_xlpm.pace,MIN($B$23,(100-_xlpm.cert)/_xlpm.n),_xlpm.c,MIN(100,_xlpm.cert+_xlpm.pace*$B$27),IF(_xlpm.c&gt;=100,1,$B$20+(1-$B$20-$B$21)*_xlpm.c/100)*MIN(1,_xlpm.c/100)*(1-$B$22))</f>
        <v>9.6950376690946929E-2</v>
      </c>
    </row>
    <row r="75" spans="1:12" ht="17.25" customHeight="1" outlineLevel="1" x14ac:dyDescent="0.2">
      <c r="A75" s="35" t="str">
        <f>Simulator!A26</f>
        <v>4105</v>
      </c>
      <c r="B75" s="35" t="str">
        <f>Simulator!B26</f>
        <v>Binghatti Hillcrest</v>
      </c>
      <c r="C75" s="85">
        <f>Simulator!J26</f>
        <v>270.19720799999999</v>
      </c>
      <c r="D75" s="85">
        <f>Simulator!K26*Simulator!G26/1000000*$B$18*(1+$B$19)</f>
        <v>0</v>
      </c>
      <c r="E75" s="85">
        <f>Simulator!$J26*IF(Simulator!$H26&gt;=100,1,$B$20+(1-$B$20-$B$21)*Simulator!$H26/100)*MIN(1,Simulator!$H26/100)*(1-$B$22)</f>
        <v>51.337469519999999</v>
      </c>
      <c r="F75" s="86">
        <f>_xlfn.LET(_xlpm.d,F$56,_xlpm.cert,Simulator!$H26,_xlpm.regd,Simulator!$I26,_xlpm.compl,IF(_xlpm.regd="",EDATE($B$26,$B$25+_xlpm.d),IF(_xlpm.regd&lt;$B$26,EDATE($B$26,$B$24+_xlpm.d),EDATE(_xlpm.regd,_xlpm.d))),_xlpm.n,MAX(1,(YEAR(_xlpm.compl)-YEAR($B$26))*12+MONTH(_xlpm.compl)-MONTH($B$26)),_xlpm.pace,MIN($B$23,(100-_xlpm.cert)/_xlpm.n),_xlpm.c,MIN(100,_xlpm.cert+_xlpm.pace*$B$27),IF(_xlpm.c&gt;=100,1,$B$20+(1-$B$20-$B$21)*_xlpm.c/100)*MIN(1,_xlpm.c/100)*(1-$B$22))</f>
        <v>0.54720000000000002</v>
      </c>
      <c r="G75" s="86">
        <f>_xlfn.LET(_xlpm.d,G$56,_xlpm.cert,Simulator!$H26,_xlpm.regd,Simulator!$I26,_xlpm.compl,IF(_xlpm.regd="",EDATE($B$26,$B$25+_xlpm.d),IF(_xlpm.regd&lt;$B$26,EDATE($B$26,$B$24+_xlpm.d),EDATE(_xlpm.regd,_xlpm.d))),_xlpm.n,MAX(1,(YEAR(_xlpm.compl)-YEAR($B$26))*12+MONTH(_xlpm.compl)-MONTH($B$26)),_xlpm.pace,MIN($B$23,(100-_xlpm.cert)/_xlpm.n),_xlpm.c,MIN(100,_xlpm.cert+_xlpm.pace*$B$27),IF(_xlpm.c&gt;=100,1,$B$20+(1-$B$20-$B$21)*_xlpm.c/100)*MIN(1,_xlpm.c/100)*(1-$B$22))</f>
        <v>0.45347656250000001</v>
      </c>
      <c r="H75" s="86">
        <f>_xlfn.LET(_xlpm.d,H$56,_xlpm.cert,Simulator!$H26,_xlpm.regd,Simulator!$I26,_xlpm.compl,IF(_xlpm.regd="",EDATE($B$26,$B$25+_xlpm.d),IF(_xlpm.regd&lt;$B$26,EDATE($B$26,$B$24+_xlpm.d),EDATE(_xlpm.regd,_xlpm.d))),_xlpm.n,MAX(1,(YEAR(_xlpm.compl)-YEAR($B$26))*12+MONTH(_xlpm.compl)-MONTH($B$26)),_xlpm.pace,MIN($B$23,(100-_xlpm.cert)/_xlpm.n),_xlpm.c,MIN(100,_xlpm.cert+_xlpm.pace*$B$27),IF(_xlpm.c&gt;=100,1,$B$20+(1-$B$20-$B$21)*_xlpm.c/100)*MIN(1,_xlpm.c/100)*(1-$B$22))</f>
        <v>0.33896449704142012</v>
      </c>
      <c r="I75" s="86">
        <f>_xlfn.LET(_xlpm.d,I$56,_xlpm.cert,Simulator!$H26,_xlpm.regd,Simulator!$I26,_xlpm.compl,IF(_xlpm.regd="",EDATE($B$26,$B$25+_xlpm.d),IF(_xlpm.regd&lt;$B$26,EDATE($B$26,$B$24+_xlpm.d),EDATE(_xlpm.regd,_xlpm.d))),_xlpm.n,MAX(1,(YEAR(_xlpm.compl)-YEAR($B$26))*12+MONTH(_xlpm.compl)-MONTH($B$26)),_xlpm.pace,MIN($B$23,(100-_xlpm.cert)/_xlpm.n),_xlpm.c,MIN(100,_xlpm.cert+_xlpm.pace*$B$27),IF(_xlpm.c&gt;=100,1,$B$20+(1-$B$20-$B$21)*_xlpm.c/100)*MIN(1,_xlpm.c/100)*(1-$B$22))</f>
        <v>0.29335648148148147</v>
      </c>
      <c r="J75" s="86">
        <f>_xlfn.LET(_xlpm.d,J$56,_xlpm.cert,Simulator!$H26,_xlpm.regd,Simulator!$I26,_xlpm.compl,IF(_xlpm.regd="",EDATE($B$26,$B$25+_xlpm.d),IF(_xlpm.regd&lt;$B$26,EDATE($B$26,$B$24+_xlpm.d),EDATE(_xlpm.regd,_xlpm.d))),_xlpm.n,MAX(1,(YEAR(_xlpm.compl)-YEAR($B$26))*12+MONTH(_xlpm.compl)-MONTH($B$26)),_xlpm.pace,MIN($B$23,(100-_xlpm.cert)/_xlpm.n),_xlpm.c,MIN(100,_xlpm.cert+_xlpm.pace*$B$27),IF(_xlpm.c&gt;=100,1,$B$20+(1-$B$20-$B$21)*_xlpm.c/100)*MIN(1,_xlpm.c/100)*(1-$B$22))</f>
        <v>0.26901701323251426</v>
      </c>
      <c r="K75" s="86">
        <f>_xlfn.LET(_xlpm.d,K$56,_xlpm.cert,Simulator!$H26,_xlpm.regd,Simulator!$I26,_xlpm.compl,IF(_xlpm.regd="",EDATE($B$26,$B$25+_xlpm.d),IF(_xlpm.regd&lt;$B$26,EDATE($B$26,$B$24+_xlpm.d),EDATE(_xlpm.regd,_xlpm.d))),_xlpm.n,MAX(1,(YEAR(_xlpm.compl)-YEAR($B$26))*12+MONTH(_xlpm.compl)-MONTH($B$26)),_xlpm.pace,MIN($B$23,(100-_xlpm.cert)/_xlpm.n),_xlpm.c,MIN(100,_xlpm.cert+_xlpm.pace*$B$27),IF(_xlpm.c&gt;=100,1,$B$20+(1-$B$20-$B$21)*_xlpm.c/100)*MIN(1,_xlpm.c/100)*(1-$B$22))</f>
        <v>0.25391900510204085</v>
      </c>
      <c r="L75" s="86">
        <f>_xlfn.LET(_xlpm.d,L$56,_xlpm.cert,Simulator!$H26,_xlpm.regd,Simulator!$I26,_xlpm.compl,IF(_xlpm.regd="",EDATE($B$26,$B$25+_xlpm.d),IF(_xlpm.regd&lt;$B$26,EDATE($B$26,$B$24+_xlpm.d),EDATE(_xlpm.regd,_xlpm.d))),_xlpm.n,MAX(1,(YEAR(_xlpm.compl)-YEAR($B$26))*12+MONTH(_xlpm.compl)-MONTH($B$26)),_xlpm.pace,MIN($B$23,(100-_xlpm.cert)/_xlpm.n),_xlpm.c,MIN(100,_xlpm.cert+_xlpm.pace*$B$27),IF(_xlpm.c&gt;=100,1,$B$20+(1-$B$20-$B$21)*_xlpm.c/100)*MIN(1,_xlpm.c/100)*(1-$B$22))</f>
        <v>0.24365013774104691</v>
      </c>
    </row>
    <row r="76" spans="1:12" ht="17.25" customHeight="1" outlineLevel="1" x14ac:dyDescent="0.2">
      <c r="A76" s="35" t="str">
        <f>Simulator!A27</f>
        <v>3349</v>
      </c>
      <c r="B76" s="35" t="str">
        <f>Simulator!B27</f>
        <v>Binghatti Skyrise</v>
      </c>
      <c r="C76" s="85">
        <f>Simulator!J27</f>
        <v>5352.6989999999996</v>
      </c>
      <c r="D76" s="85">
        <f>Simulator!K27*Simulator!G27/1000000*$B$18*(1+$B$19)</f>
        <v>32.116194</v>
      </c>
      <c r="E76" s="85">
        <f>Simulator!$J27*IF(Simulator!$H27&gt;=100,1,$B$20+(1-$B$20-$B$21)*Simulator!$H27/100)*MIN(1,Simulator!$H27/100)*(1-$B$22)</f>
        <v>259.54166911200002</v>
      </c>
      <c r="F76" s="86">
        <f>_xlfn.LET(_xlpm.d,F$56,_xlpm.cert,Simulator!$H27,_xlpm.regd,Simulator!$I27,_xlpm.compl,IF(_xlpm.regd="",EDATE($B$26,$B$25+_xlpm.d),IF(_xlpm.regd&lt;$B$26,EDATE($B$26,$B$24+_xlpm.d),EDATE(_xlpm.regd,_xlpm.d))),_xlpm.n,MAX(1,(YEAR(_xlpm.compl)-YEAR($B$26))*12+MONTH(_xlpm.compl)-MONTH($B$26)),_xlpm.pace,MIN($B$23,(100-_xlpm.cert)/_xlpm.n),_xlpm.c,MIN(100,_xlpm.cert+_xlpm.pace*$B$27),IF(_xlpm.c&gt;=100,1,$B$20+(1-$B$20-$B$21)*_xlpm.c/100)*MIN(1,_xlpm.c/100)*(1-$B$22))</f>
        <v>0.27800800000000003</v>
      </c>
      <c r="G76" s="86">
        <f>_xlfn.LET(_xlpm.d,G$56,_xlpm.cert,Simulator!$H27,_xlpm.regd,Simulator!$I27,_xlpm.compl,IF(_xlpm.regd="",EDATE($B$26,$B$25+_xlpm.d),IF(_xlpm.regd&lt;$B$26,EDATE($B$26,$B$24+_xlpm.d),EDATE(_xlpm.regd,_xlpm.d))),_xlpm.n,MAX(1,(YEAR(_xlpm.compl)-YEAR($B$26))*12+MONTH(_xlpm.compl)-MONTH($B$26)),_xlpm.pace,MIN($B$23,(100-_xlpm.cert)/_xlpm.n),_xlpm.c,MIN(100,_xlpm.cert+_xlpm.pace*$B$27),IF(_xlpm.c&gt;=100,1,$B$20+(1-$B$20-$B$21)*_xlpm.c/100)*MIN(1,_xlpm.c/100)*(1-$B$22))</f>
        <v>0.27800800000000003</v>
      </c>
      <c r="H76" s="86">
        <f>_xlfn.LET(_xlpm.d,H$56,_xlpm.cert,Simulator!$H27,_xlpm.regd,Simulator!$I27,_xlpm.compl,IF(_xlpm.regd="",EDATE($B$26,$B$25+_xlpm.d),IF(_xlpm.regd&lt;$B$26,EDATE($B$26,$B$24+_xlpm.d),EDATE(_xlpm.regd,_xlpm.d))),_xlpm.n,MAX(1,(YEAR(_xlpm.compl)-YEAR($B$26))*12+MONTH(_xlpm.compl)-MONTH($B$26)),_xlpm.pace,MIN($B$23,(100-_xlpm.cert)/_xlpm.n),_xlpm.c,MIN(100,_xlpm.cert+_xlpm.pace*$B$27),IF(_xlpm.c&gt;=100,1,$B$20+(1-$B$20-$B$21)*_xlpm.c/100)*MIN(1,_xlpm.c/100)*(1-$B$22))</f>
        <v>0.20352800000000001</v>
      </c>
      <c r="I76" s="86">
        <f>_xlfn.LET(_xlpm.d,I$56,_xlpm.cert,Simulator!$H27,_xlpm.regd,Simulator!$I27,_xlpm.compl,IF(_xlpm.regd="",EDATE($B$26,$B$25+_xlpm.d),IF(_xlpm.regd&lt;$B$26,EDATE($B$26,$B$24+_xlpm.d),EDATE(_xlpm.regd,_xlpm.d))),_xlpm.n,MAX(1,(YEAR(_xlpm.compl)-YEAR($B$26))*12+MONTH(_xlpm.compl)-MONTH($B$26)),_xlpm.pace,MIN($B$23,(100-_xlpm.cert)/_xlpm.n),_xlpm.c,MIN(100,_xlpm.cert+_xlpm.pace*$B$27),IF(_xlpm.c&gt;=100,1,$B$20+(1-$B$20-$B$21)*_xlpm.c/100)*MIN(1,_xlpm.c/100)*(1-$B$22))</f>
        <v>0.15016966666666665</v>
      </c>
      <c r="J76" s="86">
        <f>_xlfn.LET(_xlpm.d,J$56,_xlpm.cert,Simulator!$H27,_xlpm.regd,Simulator!$I27,_xlpm.compl,IF(_xlpm.regd="",EDATE($B$26,$B$25+_xlpm.d),IF(_xlpm.regd&lt;$B$26,EDATE($B$26,$B$24+_xlpm.d),EDATE(_xlpm.regd,_xlpm.d))),_xlpm.n,MAX(1,(YEAR(_xlpm.compl)-YEAR($B$26))*12+MONTH(_xlpm.compl)-MONTH($B$26)),_xlpm.pace,MIN($B$23,(100-_xlpm.cert)/_xlpm.n),_xlpm.c,MIN(100,_xlpm.cert+_xlpm.pace*$B$27),IF(_xlpm.c&gt;=100,1,$B$20+(1-$B$20-$B$21)*_xlpm.c/100)*MIN(1,_xlpm.c/100)*(1-$B$22))</f>
        <v>0.12351249905482044</v>
      </c>
      <c r="K76" s="86">
        <f>_xlfn.LET(_xlpm.d,K$56,_xlpm.cert,Simulator!$H27,_xlpm.regd,Simulator!$I27,_xlpm.compl,IF(_xlpm.regd="",EDATE($B$26,$B$25+_xlpm.d),IF(_xlpm.regd&lt;$B$26,EDATE($B$26,$B$24+_xlpm.d),EDATE(_xlpm.regd,_xlpm.d))),_xlpm.n,MAX(1,(YEAR(_xlpm.compl)-YEAR($B$26))*12+MONTH(_xlpm.compl)-MONTH($B$26)),_xlpm.pace,MIN($B$23,(100-_xlpm.cert)/_xlpm.n),_xlpm.c,MIN(100,_xlpm.cert+_xlpm.pace*$B$27),IF(_xlpm.c&gt;=100,1,$B$20+(1-$B$20-$B$21)*_xlpm.c/100)*MIN(1,_xlpm.c/100)*(1-$B$22))</f>
        <v>0.10771129081632655</v>
      </c>
      <c r="L76" s="86">
        <f>_xlfn.LET(_xlpm.d,L$56,_xlpm.cert,Simulator!$H27,_xlpm.regd,Simulator!$I27,_xlpm.compl,IF(_xlpm.regd="",EDATE($B$26,$B$25+_xlpm.d),IF(_xlpm.regd&lt;$B$26,EDATE($B$26,$B$24+_xlpm.d),EDATE(_xlpm.regd,_xlpm.d))),_xlpm.n,MAX(1,(YEAR(_xlpm.compl)-YEAR($B$26))*12+MONTH(_xlpm.compl)-MONTH($B$26)),_xlpm.pace,MIN($B$23,(100-_xlpm.cert)/_xlpm.n),_xlpm.c,MIN(100,_xlpm.cert+_xlpm.pace*$B$27),IF(_xlpm.c&gt;=100,1,$B$20+(1-$B$20-$B$21)*_xlpm.c/100)*MIN(1,_xlpm.c/100)*(1-$B$22))</f>
        <v>9.7316429752066141E-2</v>
      </c>
    </row>
    <row r="77" spans="1:12" ht="17.25" customHeight="1" outlineLevel="1" x14ac:dyDescent="0.2">
      <c r="A77" s="35" t="str">
        <f>Simulator!A28</f>
        <v>2545</v>
      </c>
      <c r="B77" s="35" t="str">
        <f>Simulator!B28</f>
        <v>Mercedes-Benz Places | Binghatti</v>
      </c>
      <c r="C77" s="85">
        <f>Simulator!J28</f>
        <v>1802.330361</v>
      </c>
      <c r="D77" s="85">
        <f>Simulator!K28*Simulator!G28/1000000*$B$18*(1+$B$19)</f>
        <v>425.16511079999998</v>
      </c>
      <c r="E77" s="85">
        <f>Simulator!$J28*IF(Simulator!$H28&gt;=100,1,$B$20+(1-$B$20-$B$21)*Simulator!$H28/100)*MIN(1,Simulator!$H28/100)*(1-$B$22)</f>
        <v>545.34010897957512</v>
      </c>
      <c r="F77" s="86">
        <f>_xlfn.LET(_xlpm.d,F$56,_xlpm.cert,Simulator!$H28,_xlpm.regd,Simulator!$I28,_xlpm.compl,IF(_xlpm.regd="",EDATE($B$26,$B$25+_xlpm.d),IF(_xlpm.regd&lt;$B$26,EDATE($B$26,$B$24+_xlpm.d),EDATE(_xlpm.regd,_xlpm.d))),_xlpm.n,MAX(1,(YEAR(_xlpm.compl)-YEAR($B$26))*12+MONTH(_xlpm.compl)-MONTH($B$26)),_xlpm.pace,MIN($B$23,(100-_xlpm.cert)/_xlpm.n),_xlpm.c,MIN(100,_xlpm.cert+_xlpm.pace*$B$27),IF(_xlpm.c&gt;=100,1,$B$20+(1-$B$20-$B$21)*_xlpm.c/100)*MIN(1,_xlpm.c/100)*(1-$B$22))</f>
        <v>0.95</v>
      </c>
      <c r="G77" s="86">
        <f>_xlfn.LET(_xlpm.d,G$56,_xlpm.cert,Simulator!$H28,_xlpm.regd,Simulator!$I28,_xlpm.compl,IF(_xlpm.regd="",EDATE($B$26,$B$25+_xlpm.d),IF(_xlpm.regd&lt;$B$26,EDATE($B$26,$B$24+_xlpm.d),EDATE(_xlpm.regd,_xlpm.d))),_xlpm.n,MAX(1,(YEAR(_xlpm.compl)-YEAR($B$26))*12+MONTH(_xlpm.compl)-MONTH($B$26)),_xlpm.pace,MIN($B$23,(100-_xlpm.cert)/_xlpm.n),_xlpm.c,MIN(100,_xlpm.cert+_xlpm.pace*$B$27),IF(_xlpm.c&gt;=100,1,$B$20+(1-$B$20-$B$21)*_xlpm.c/100)*MIN(1,_xlpm.c/100)*(1-$B$22))</f>
        <v>0.51272539062500011</v>
      </c>
      <c r="H77" s="86">
        <f>_xlfn.LET(_xlpm.d,H$56,_xlpm.cert,Simulator!$H28,_xlpm.regd,Simulator!$I28,_xlpm.compl,IF(_xlpm.regd="",EDATE($B$26,$B$25+_xlpm.d),IF(_xlpm.regd&lt;$B$26,EDATE($B$26,$B$24+_xlpm.d),EDATE(_xlpm.regd,_xlpm.d))),_xlpm.n,MAX(1,(YEAR(_xlpm.compl)-YEAR($B$26))*12+MONTH(_xlpm.compl)-MONTH($B$26)),_xlpm.pace,MIN($B$23,(100-_xlpm.cert)/_xlpm.n),_xlpm.c,MIN(100,_xlpm.cert+_xlpm.pace*$B$27),IF(_xlpm.c&gt;=100,1,$B$20+(1-$B$20-$B$21)*_xlpm.c/100)*MIN(1,_xlpm.c/100)*(1-$B$22))</f>
        <v>0.42544260355029601</v>
      </c>
      <c r="I77" s="86">
        <f>_xlfn.LET(_xlpm.d,I$56,_xlpm.cert,Simulator!$H28,_xlpm.regd,Simulator!$I28,_xlpm.compl,IF(_xlpm.regd="",EDATE($B$26,$B$25+_xlpm.d),IF(_xlpm.regd&lt;$B$26,EDATE($B$26,$B$24+_xlpm.d),EDATE(_xlpm.regd,_xlpm.d))),_xlpm.n,MAX(1,(YEAR(_xlpm.compl)-YEAR($B$26))*12+MONTH(_xlpm.compl)-MONTH($B$26)),_xlpm.pace,MIN($B$23,(100-_xlpm.cert)/_xlpm.n),_xlpm.c,MIN(100,_xlpm.cert+_xlpm.pace*$B$27),IF(_xlpm.c&gt;=100,1,$B$20+(1-$B$20-$B$21)*_xlpm.c/100)*MIN(1,_xlpm.c/100)*(1-$B$22))</f>
        <v>0.38924050925925929</v>
      </c>
      <c r="J77" s="86">
        <f>_xlfn.LET(_xlpm.d,J$56,_xlpm.cert,Simulator!$H28,_xlpm.regd,Simulator!$I28,_xlpm.compl,IF(_xlpm.regd="",EDATE($B$26,$B$25+_xlpm.d),IF(_xlpm.regd&lt;$B$26,EDATE($B$26,$B$24+_xlpm.d),EDATE(_xlpm.regd,_xlpm.d))),_xlpm.n,MAX(1,(YEAR(_xlpm.compl)-YEAR($B$26))*12+MONTH(_xlpm.compl)-MONTH($B$26)),_xlpm.pace,MIN($B$23,(100-_xlpm.cert)/_xlpm.n),_xlpm.c,MIN(100,_xlpm.cert+_xlpm.pace*$B$27),IF(_xlpm.c&gt;=100,1,$B$20+(1-$B$20-$B$21)*_xlpm.c/100)*MIN(1,_xlpm.c/100)*(1-$B$22))</f>
        <v>0.36948355387523629</v>
      </c>
      <c r="K77" s="86">
        <f>_xlfn.LET(_xlpm.d,K$56,_xlpm.cert,Simulator!$H28,_xlpm.regd,Simulator!$I28,_xlpm.compl,IF(_xlpm.regd="",EDATE($B$26,$B$25+_xlpm.d),IF(_xlpm.regd&lt;$B$26,EDATE($B$26,$B$24+_xlpm.d),EDATE(_xlpm.regd,_xlpm.d))),_xlpm.n,MAX(1,(YEAR(_xlpm.compl)-YEAR($B$26))*12+MONTH(_xlpm.compl)-MONTH($B$26)),_xlpm.pace,MIN($B$23,(100-_xlpm.cert)/_xlpm.n),_xlpm.c,MIN(100,_xlpm.cert+_xlpm.pace*$B$27),IF(_xlpm.c&gt;=100,1,$B$20+(1-$B$20-$B$21)*_xlpm.c/100)*MIN(1,_xlpm.c/100)*(1-$B$22))</f>
        <v>0.35705156250000009</v>
      </c>
      <c r="L77" s="86">
        <f>_xlfn.LET(_xlpm.d,L$56,_xlpm.cert,Simulator!$H28,_xlpm.regd,Simulator!$I28,_xlpm.compl,IF(_xlpm.regd="",EDATE($B$26,$B$25+_xlpm.d),IF(_xlpm.regd&lt;$B$26,EDATE($B$26,$B$24+_xlpm.d),EDATE(_xlpm.regd,_xlpm.d))),_xlpm.n,MAX(1,(YEAR(_xlpm.compl)-YEAR($B$26))*12+MONTH(_xlpm.compl)-MONTH($B$26)),_xlpm.pace,MIN($B$23,(100-_xlpm.cert)/_xlpm.n),_xlpm.c,MIN(100,_xlpm.cert+_xlpm.pace*$B$27),IF(_xlpm.c&gt;=100,1,$B$20+(1-$B$20-$B$21)*_xlpm.c/100)*MIN(1,_xlpm.c/100)*(1-$B$22))</f>
        <v>0.34851129476584025</v>
      </c>
    </row>
    <row r="78" spans="1:12" ht="17.25" customHeight="1" outlineLevel="1" x14ac:dyDescent="0.2">
      <c r="A78" s="35" t="str">
        <f>Simulator!A29</f>
        <v>4104</v>
      </c>
      <c r="B78" s="35" t="str">
        <f>Simulator!B29</f>
        <v>Binghatti Titania</v>
      </c>
      <c r="C78" s="85">
        <f>Simulator!J29</f>
        <v>610.61730499999999</v>
      </c>
      <c r="D78" s="85">
        <f>Simulator!K29*Simulator!G29/1000000*$B$18*(1+$B$19)</f>
        <v>0</v>
      </c>
      <c r="E78" s="85">
        <f>Simulator!$J29*IF(Simulator!$H29&gt;=100,1,$B$20+(1-$B$20-$B$21)*Simulator!$H29/100)*MIN(1,Simulator!$H29/100)*(1-$B$22)</f>
        <v>0</v>
      </c>
      <c r="F78" s="86">
        <f>_xlfn.LET(_xlpm.d,F$56,_xlpm.cert,Simulator!$H29,_xlpm.regd,Simulator!$I29,_xlpm.compl,IF(_xlpm.regd="",EDATE($B$26,$B$25+_xlpm.d),IF(_xlpm.regd&lt;$B$26,EDATE($B$26,$B$24+_xlpm.d),EDATE(_xlpm.regd,_xlpm.d))),_xlpm.n,MAX(1,(YEAR(_xlpm.compl)-YEAR($B$26))*12+MONTH(_xlpm.compl)-MONTH($B$26)),_xlpm.pace,MIN($B$23,(100-_xlpm.cert)/_xlpm.n),_xlpm.c,MIN(100,_xlpm.cert+_xlpm.pace*$B$27),IF(_xlpm.c&gt;=100,1,$B$20+(1-$B$20-$B$21)*_xlpm.c/100)*MIN(1,_xlpm.c/100)*(1-$B$22))</f>
        <v>0.12920000000000004</v>
      </c>
      <c r="G78" s="86">
        <f>_xlfn.LET(_xlpm.d,G$56,_xlpm.cert,Simulator!$H29,_xlpm.regd,Simulator!$I29,_xlpm.compl,IF(_xlpm.regd="",EDATE($B$26,$B$25+_xlpm.d),IF(_xlpm.regd&lt;$B$26,EDATE($B$26,$B$24+_xlpm.d),EDATE(_xlpm.regd,_xlpm.d))),_xlpm.n,MAX(1,(YEAR(_xlpm.compl)-YEAR($B$26))*12+MONTH(_xlpm.compl)-MONTH($B$26)),_xlpm.pace,MIN($B$23,(100-_xlpm.cert)/_xlpm.n),_xlpm.c,MIN(100,_xlpm.cert+_xlpm.pace*$B$27),IF(_xlpm.c&gt;=100,1,$B$20+(1-$B$20-$B$21)*_xlpm.c/100)*MIN(1,_xlpm.c/100)*(1-$B$22))</f>
        <v>0.12920000000000004</v>
      </c>
      <c r="H78" s="86">
        <f>_xlfn.LET(_xlpm.d,H$56,_xlpm.cert,Simulator!$H29,_xlpm.regd,Simulator!$I29,_xlpm.compl,IF(_xlpm.regd="",EDATE($B$26,$B$25+_xlpm.d),IF(_xlpm.regd&lt;$B$26,EDATE($B$26,$B$24+_xlpm.d),EDATE(_xlpm.regd,_xlpm.d))),_xlpm.n,MAX(1,(YEAR(_xlpm.compl)-YEAR($B$26))*12+MONTH(_xlpm.compl)-MONTH($B$26)),_xlpm.pace,MIN($B$23,(100-_xlpm.cert)/_xlpm.n),_xlpm.c,MIN(100,_xlpm.cert+_xlpm.pace*$B$27),IF(_xlpm.c&gt;=100,1,$B$20+(1-$B$20-$B$21)*_xlpm.c/100)*MIN(1,_xlpm.c/100)*(1-$B$22))</f>
        <v>9.5000000000000015E-2</v>
      </c>
      <c r="I78" s="86">
        <f>_xlfn.LET(_xlpm.d,I$56,_xlpm.cert,Simulator!$H29,_xlpm.regd,Simulator!$I29,_xlpm.compl,IF(_xlpm.regd="",EDATE($B$26,$B$25+_xlpm.d),IF(_xlpm.regd&lt;$B$26,EDATE($B$26,$B$24+_xlpm.d),EDATE(_xlpm.regd,_xlpm.d))),_xlpm.n,MAX(1,(YEAR(_xlpm.compl)-YEAR($B$26))*12+MONTH(_xlpm.compl)-MONTH($B$26)),_xlpm.pace,MIN($B$23,(100-_xlpm.cert)/_xlpm.n),_xlpm.c,MIN(100,_xlpm.cert+_xlpm.pace*$B$27),IF(_xlpm.c&gt;=100,1,$B$20+(1-$B$20-$B$21)*_xlpm.c/100)*MIN(1,_xlpm.c/100)*(1-$B$22))</f>
        <v>5.9374999999999997E-2</v>
      </c>
      <c r="J78" s="86">
        <f>_xlfn.LET(_xlpm.d,J$56,_xlpm.cert,Simulator!$H29,_xlpm.regd,Simulator!$I29,_xlpm.compl,IF(_xlpm.regd="",EDATE($B$26,$B$25+_xlpm.d),IF(_xlpm.regd&lt;$B$26,EDATE($B$26,$B$24+_xlpm.d),EDATE(_xlpm.regd,_xlpm.d))),_xlpm.n,MAX(1,(YEAR(_xlpm.compl)-YEAR($B$26))*12+MONTH(_xlpm.compl)-MONTH($B$26)),_xlpm.pace,MIN($B$23,(100-_xlpm.cert)/_xlpm.n),_xlpm.c,MIN(100,_xlpm.cert+_xlpm.pace*$B$27),IF(_xlpm.c&gt;=100,1,$B$20+(1-$B$20-$B$21)*_xlpm.c/100)*MIN(1,_xlpm.c/100)*(1-$B$22))</f>
        <v>4.1800000000000011E-2</v>
      </c>
      <c r="K78" s="86">
        <f>_xlfn.LET(_xlpm.d,K$56,_xlpm.cert,Simulator!$H29,_xlpm.regd,Simulator!$I29,_xlpm.compl,IF(_xlpm.regd="",EDATE($B$26,$B$25+_xlpm.d),IF(_xlpm.regd&lt;$B$26,EDATE($B$26,$B$24+_xlpm.d),EDATE(_xlpm.regd,_xlpm.d))),_xlpm.n,MAX(1,(YEAR(_xlpm.compl)-YEAR($B$26))*12+MONTH(_xlpm.compl)-MONTH($B$26)),_xlpm.pace,MIN($B$23,(100-_xlpm.cert)/_xlpm.n),_xlpm.c,MIN(100,_xlpm.cert+_xlpm.pace*$B$27),IF(_xlpm.c&gt;=100,1,$B$20+(1-$B$20-$B$21)*_xlpm.c/100)*MIN(1,_xlpm.c/100)*(1-$B$22))</f>
        <v>3.1666666666666669E-2</v>
      </c>
      <c r="L78" s="86">
        <f>_xlfn.LET(_xlpm.d,L$56,_xlpm.cert,Simulator!$H29,_xlpm.regd,Simulator!$I29,_xlpm.compl,IF(_xlpm.regd="",EDATE($B$26,$B$25+_xlpm.d),IF(_xlpm.regd&lt;$B$26,EDATE($B$26,$B$24+_xlpm.d),EDATE(_xlpm.regd,_xlpm.d))),_xlpm.n,MAX(1,(YEAR(_xlpm.compl)-YEAR($B$26))*12+MONTH(_xlpm.compl)-MONTH($B$26)),_xlpm.pace,MIN($B$23,(100-_xlpm.cert)/_xlpm.n),_xlpm.c,MIN(100,_xlpm.cert+_xlpm.pace*$B$27),IF(_xlpm.c&gt;=100,1,$B$20+(1-$B$20-$B$21)*_xlpm.c/100)*MIN(1,_xlpm.c/100)*(1-$B$22))</f>
        <v>2.5204081632653065E-2</v>
      </c>
    </row>
    <row r="79" spans="1:12" ht="17.25" customHeight="1" outlineLevel="1" x14ac:dyDescent="0.2">
      <c r="A79" s="35" t="str">
        <f>Simulator!A30</f>
        <v>4102</v>
      </c>
      <c r="B79" s="35" t="str">
        <f>Simulator!B30</f>
        <v>Binghatti Vintage</v>
      </c>
      <c r="C79" s="85">
        <f>Simulator!J30</f>
        <v>1182.336</v>
      </c>
      <c r="D79" s="85">
        <f>Simulator!K30*Simulator!G30/1000000*$B$18*(1+$B$19)</f>
        <v>0</v>
      </c>
      <c r="E79" s="85">
        <f>Simulator!$J30*IF(Simulator!$H30&gt;=100,1,$B$20+(1-$B$20-$B$21)*Simulator!$H30/100)*MIN(1,Simulator!$H30/100)*(1-$B$22)</f>
        <v>0</v>
      </c>
      <c r="F79" s="86">
        <f>_xlfn.LET(_xlpm.d,F$56,_xlpm.cert,Simulator!$H30,_xlpm.regd,Simulator!$I30,_xlpm.compl,IF(_xlpm.regd="",EDATE($B$26,$B$25+_xlpm.d),IF(_xlpm.regd&lt;$B$26,EDATE($B$26,$B$24+_xlpm.d),EDATE(_xlpm.regd,_xlpm.d))),_xlpm.n,MAX(1,(YEAR(_xlpm.compl)-YEAR($B$26))*12+MONTH(_xlpm.compl)-MONTH($B$26)),_xlpm.pace,MIN($B$23,(100-_xlpm.cert)/_xlpm.n),_xlpm.c,MIN(100,_xlpm.cert+_xlpm.pace*$B$27),IF(_xlpm.c&gt;=100,1,$B$20+(1-$B$20-$B$21)*_xlpm.c/100)*MIN(1,_xlpm.c/100)*(1-$B$22))</f>
        <v>0.12920000000000004</v>
      </c>
      <c r="G79" s="86">
        <f>_xlfn.LET(_xlpm.d,G$56,_xlpm.cert,Simulator!$H30,_xlpm.regd,Simulator!$I30,_xlpm.compl,IF(_xlpm.regd="",EDATE($B$26,$B$25+_xlpm.d),IF(_xlpm.regd&lt;$B$26,EDATE($B$26,$B$24+_xlpm.d),EDATE(_xlpm.regd,_xlpm.d))),_xlpm.n,MAX(1,(YEAR(_xlpm.compl)-YEAR($B$26))*12+MONTH(_xlpm.compl)-MONTH($B$26)),_xlpm.pace,MIN($B$23,(100-_xlpm.cert)/_xlpm.n),_xlpm.c,MIN(100,_xlpm.cert+_xlpm.pace*$B$27),IF(_xlpm.c&gt;=100,1,$B$20+(1-$B$20-$B$21)*_xlpm.c/100)*MIN(1,_xlpm.c/100)*(1-$B$22))</f>
        <v>0.12920000000000004</v>
      </c>
      <c r="H79" s="86">
        <f>_xlfn.LET(_xlpm.d,H$56,_xlpm.cert,Simulator!$H30,_xlpm.regd,Simulator!$I30,_xlpm.compl,IF(_xlpm.regd="",EDATE($B$26,$B$25+_xlpm.d),IF(_xlpm.regd&lt;$B$26,EDATE($B$26,$B$24+_xlpm.d),EDATE(_xlpm.regd,_xlpm.d))),_xlpm.n,MAX(1,(YEAR(_xlpm.compl)-YEAR($B$26))*12+MONTH(_xlpm.compl)-MONTH($B$26)),_xlpm.pace,MIN($B$23,(100-_xlpm.cert)/_xlpm.n),_xlpm.c,MIN(100,_xlpm.cert+_xlpm.pace*$B$27),IF(_xlpm.c&gt;=100,1,$B$20+(1-$B$20-$B$21)*_xlpm.c/100)*MIN(1,_xlpm.c/100)*(1-$B$22))</f>
        <v>8.5351562500000006E-2</v>
      </c>
      <c r="I79" s="86">
        <f>_xlfn.LET(_xlpm.d,I$56,_xlpm.cert,Simulator!$H30,_xlpm.regd,Simulator!$I30,_xlpm.compl,IF(_xlpm.regd="",EDATE($B$26,$B$25+_xlpm.d),IF(_xlpm.regd&lt;$B$26,EDATE($B$26,$B$24+_xlpm.d),EDATE(_xlpm.regd,_xlpm.d))),_xlpm.n,MAX(1,(YEAR(_xlpm.compl)-YEAR($B$26))*12+MONTH(_xlpm.compl)-MONTH($B$26)),_xlpm.pace,MIN($B$23,(100-_xlpm.cert)/_xlpm.n),_xlpm.c,MIN(100,_xlpm.cert+_xlpm.pace*$B$27),IF(_xlpm.c&gt;=100,1,$B$20+(1-$B$20-$B$21)*_xlpm.c/100)*MIN(1,_xlpm.c/100)*(1-$B$22))</f>
        <v>5.493197278911565E-2</v>
      </c>
      <c r="J79" s="86">
        <f>_xlfn.LET(_xlpm.d,J$56,_xlpm.cert,Simulator!$H30,_xlpm.regd,Simulator!$I30,_xlpm.compl,IF(_xlpm.regd="",EDATE($B$26,$B$25+_xlpm.d),IF(_xlpm.regd&lt;$B$26,EDATE($B$26,$B$24+_xlpm.d),EDATE(_xlpm.regd,_xlpm.d))),_xlpm.n,MAX(1,(YEAR(_xlpm.compl)-YEAR($B$26))*12+MONTH(_xlpm.compl)-MONTH($B$26)),_xlpm.pace,MIN($B$23,(100-_xlpm.cert)/_xlpm.n),_xlpm.c,MIN(100,_xlpm.cert+_xlpm.pace*$B$27),IF(_xlpm.c&gt;=100,1,$B$20+(1-$B$20-$B$21)*_xlpm.c/100)*MIN(1,_xlpm.c/100)*(1-$B$22))</f>
        <v>3.9349112426035497E-2</v>
      </c>
      <c r="K79" s="86">
        <f>_xlfn.LET(_xlpm.d,K$56,_xlpm.cert,Simulator!$H30,_xlpm.regd,Simulator!$I30,_xlpm.compl,IF(_xlpm.regd="",EDATE($B$26,$B$25+_xlpm.d),IF(_xlpm.regd&lt;$B$26,EDATE($B$26,$B$24+_xlpm.d),EDATE(_xlpm.regd,_xlpm.d))),_xlpm.n,MAX(1,(YEAR(_xlpm.compl)-YEAR($B$26))*12+MONTH(_xlpm.compl)-MONTH($B$26)),_xlpm.pace,MIN($B$23,(100-_xlpm.cert)/_xlpm.n),_xlpm.c,MIN(100,_xlpm.cert+_xlpm.pace*$B$27),IF(_xlpm.c&gt;=100,1,$B$20+(1-$B$20-$B$21)*_xlpm.c/100)*MIN(1,_xlpm.c/100)*(1-$B$22))</f>
        <v>3.015088449531738E-2</v>
      </c>
      <c r="L79" s="86">
        <f>_xlfn.LET(_xlpm.d,L$56,_xlpm.cert,Simulator!$H30,_xlpm.regd,Simulator!$I30,_xlpm.compl,IF(_xlpm.regd="",EDATE($B$26,$B$25+_xlpm.d),IF(_xlpm.regd&lt;$B$26,EDATE($B$26,$B$24+_xlpm.d),EDATE(_xlpm.regd,_xlpm.d))),_xlpm.n,MAX(1,(YEAR(_xlpm.compl)-YEAR($B$26))*12+MONTH(_xlpm.compl)-MONTH($B$26)),_xlpm.pace,MIN($B$23,(100-_xlpm.cert)/_xlpm.n),_xlpm.c,MIN(100,_xlpm.cert+_xlpm.pace*$B$27),IF(_xlpm.c&gt;=100,1,$B$20+(1-$B$20-$B$21)*_xlpm.c/100)*MIN(1,_xlpm.c/100)*(1-$B$22))</f>
        <v>2.4189814814814817E-2</v>
      </c>
    </row>
    <row r="80" spans="1:12" ht="17.25" customHeight="1" outlineLevel="1" x14ac:dyDescent="0.2">
      <c r="A80" s="35" t="str">
        <f>Simulator!A31</f>
        <v>4043</v>
      </c>
      <c r="B80" s="35" t="str">
        <f>Simulator!B31</f>
        <v>بالم 01 من بن غاطي</v>
      </c>
      <c r="C80" s="85">
        <f>Simulator!J31</f>
        <v>0</v>
      </c>
      <c r="D80" s="85">
        <f>Simulator!K31*Simulator!G31/1000000*$B$18*(1+$B$19)</f>
        <v>0</v>
      </c>
      <c r="E80" s="85">
        <f>Simulator!$J31*IF(Simulator!$H31&gt;=100,1,$B$20+(1-$B$20-$B$21)*Simulator!$H31/100)*MIN(1,Simulator!$H31/100)*(1-$B$22)</f>
        <v>0</v>
      </c>
      <c r="F80" s="86">
        <f>_xlfn.LET(_xlpm.d,F$56,_xlpm.cert,Simulator!$H31,_xlpm.regd,Simulator!$I31,_xlpm.compl,IF(_xlpm.regd="",EDATE($B$26,$B$25+_xlpm.d),IF(_xlpm.regd&lt;$B$26,EDATE($B$26,$B$24+_xlpm.d),EDATE(_xlpm.regd,_xlpm.d))),_xlpm.n,MAX(1,(YEAR(_xlpm.compl)-YEAR($B$26))*12+MONTH(_xlpm.compl)-MONTH($B$26)),_xlpm.pace,MIN($B$23,(100-_xlpm.cert)/_xlpm.n),_xlpm.c,MIN(100,_xlpm.cert+_xlpm.pace*$B$27),IF(_xlpm.c&gt;=100,1,$B$20+(1-$B$20-$B$21)*_xlpm.c/100)*MIN(1,_xlpm.c/100)*(1-$B$22))</f>
        <v>0.15418702919999999</v>
      </c>
      <c r="G80" s="86">
        <f>_xlfn.LET(_xlpm.d,G$56,_xlpm.cert,Simulator!$H31,_xlpm.regd,Simulator!$I31,_xlpm.compl,IF(_xlpm.regd="",EDATE($B$26,$B$25+_xlpm.d),IF(_xlpm.regd&lt;$B$26,EDATE($B$26,$B$24+_xlpm.d),EDATE(_xlpm.regd,_xlpm.d))),_xlpm.n,MAX(1,(YEAR(_xlpm.compl)-YEAR($B$26))*12+MONTH(_xlpm.compl)-MONTH($B$26)),_xlpm.pace,MIN($B$23,(100-_xlpm.cert)/_xlpm.n),_xlpm.c,MIN(100,_xlpm.cert+_xlpm.pace*$B$27),IF(_xlpm.c&gt;=100,1,$B$20+(1-$B$20-$B$21)*_xlpm.c/100)*MIN(1,_xlpm.c/100)*(1-$B$22))</f>
        <v>0.15333749882500003</v>
      </c>
      <c r="H80" s="86">
        <f>_xlfn.LET(_xlpm.d,H$56,_xlpm.cert,Simulator!$H31,_xlpm.regd,Simulator!$I31,_xlpm.compl,IF(_xlpm.regd="",EDATE($B$26,$B$25+_xlpm.d),IF(_xlpm.regd&lt;$B$26,EDATE($B$26,$B$24+_xlpm.d),EDATE(_xlpm.regd,_xlpm.d))),_xlpm.n,MAX(1,(YEAR(_xlpm.compl)-YEAR($B$26))*12+MONTH(_xlpm.compl)-MONTH($B$26)),_xlpm.pace,MIN($B$23,(100-_xlpm.cert)/_xlpm.n),_xlpm.c,MIN(100,_xlpm.cert+_xlpm.pace*$B$27),IF(_xlpm.c&gt;=100,1,$B$20+(1-$B$20-$B$21)*_xlpm.c/100)*MIN(1,_xlpm.c/100)*(1-$B$22))</f>
        <v>9.0966278909342543E-2</v>
      </c>
      <c r="I80" s="86">
        <f>_xlfn.LET(_xlpm.d,I$56,_xlpm.cert,Simulator!$H31,_xlpm.regd,Simulator!$I31,_xlpm.compl,IF(_xlpm.regd="",EDATE($B$26,$B$25+_xlpm.d),IF(_xlpm.regd&lt;$B$26,EDATE($B$26,$B$24+_xlpm.d),EDATE(_xlpm.regd,_xlpm.d))),_xlpm.n,MAX(1,(YEAR(_xlpm.compl)-YEAR($B$26))*12+MONTH(_xlpm.compl)-MONTH($B$26)),_xlpm.pace,MIN($B$23,(100-_xlpm.cert)/_xlpm.n),_xlpm.c,MIN(100,_xlpm.cert+_xlpm.pace*$B$27),IF(_xlpm.c&gt;=100,1,$B$20+(1-$B$20-$B$21)*_xlpm.c/100)*MIN(1,_xlpm.c/100)*(1-$B$22))</f>
        <v>6.354905131983471E-2</v>
      </c>
      <c r="J80" s="86">
        <f>_xlfn.LET(_xlpm.d,J$56,_xlpm.cert,Simulator!$H31,_xlpm.regd,Simulator!$I31,_xlpm.compl,IF(_xlpm.regd="",EDATE($B$26,$B$25+_xlpm.d),IF(_xlpm.regd&lt;$B$26,EDATE($B$26,$B$24+_xlpm.d),EDATE(_xlpm.regd,_xlpm.d))),_xlpm.n,MAX(1,(YEAR(_xlpm.compl)-YEAR($B$26))*12+MONTH(_xlpm.compl)-MONTH($B$26)),_xlpm.pace,MIN($B$23,(100-_xlpm.cert)/_xlpm.n),_xlpm.c,MIN(100,_xlpm.cert+_xlpm.pace*$B$27),IF(_xlpm.c&gt;=100,1,$B$20+(1-$B$20-$B$21)*_xlpm.c/100)*MIN(1,_xlpm.c/100)*(1-$B$22))</f>
        <v>4.8677720895473259E-2</v>
      </c>
      <c r="K80" s="86">
        <f>_xlfn.LET(_xlpm.d,K$56,_xlpm.cert,Simulator!$H31,_xlpm.regd,Simulator!$I31,_xlpm.compl,IF(_xlpm.regd="",EDATE($B$26,$B$25+_xlpm.d),IF(_xlpm.regd&lt;$B$26,EDATE($B$26,$B$24+_xlpm.d),EDATE(_xlpm.regd,_xlpm.d))),_xlpm.n,MAX(1,(YEAR(_xlpm.compl)-YEAR($B$26))*12+MONTH(_xlpm.compl)-MONTH($B$26)),_xlpm.pace,MIN($B$23,(100-_xlpm.cert)/_xlpm.n),_xlpm.c,MIN(100,_xlpm.cert+_xlpm.pace*$B$27),IF(_xlpm.c&gt;=100,1,$B$20+(1-$B$20-$B$21)*_xlpm.c/100)*MIN(1,_xlpm.c/100)*(1-$B$22))</f>
        <v>3.9525593444140625E-2</v>
      </c>
      <c r="L80" s="86">
        <f>_xlfn.LET(_xlpm.d,L$56,_xlpm.cert,Simulator!$H31,_xlpm.regd,Simulator!$I31,_xlpm.compl,IF(_xlpm.regd="",EDATE($B$26,$B$25+_xlpm.d),IF(_xlpm.regd&lt;$B$26,EDATE($B$26,$B$24+_xlpm.d),EDATE(_xlpm.regd,_xlpm.d))),_xlpm.n,MAX(1,(YEAR(_xlpm.compl)-YEAR($B$26))*12+MONTH(_xlpm.compl)-MONTH($B$26)),_xlpm.pace,MIN($B$23,(100-_xlpm.cert)/_xlpm.n),_xlpm.c,MIN(100,_xlpm.cert+_xlpm.pace*$B$27),IF(_xlpm.c&gt;=100,1,$B$20+(1-$B$20-$B$21)*_xlpm.c/100)*MIN(1,_xlpm.c/100)*(1-$B$22))</f>
        <v>3.3398238349744341E-2</v>
      </c>
    </row>
    <row r="81" spans="1:12" ht="17.25" customHeight="1" outlineLevel="1" x14ac:dyDescent="0.2">
      <c r="A81" s="35" t="str">
        <f>Simulator!A32</f>
        <v>3819</v>
      </c>
      <c r="B81" s="35" t="str">
        <f>Simulator!B32</f>
        <v>Binghatti Circle</v>
      </c>
      <c r="C81" s="85">
        <f>Simulator!J32</f>
        <v>894.33970499999998</v>
      </c>
      <c r="D81" s="85">
        <f>Simulator!K32*Simulator!G32/1000000*$B$18*(1+$B$19)</f>
        <v>11.332006199999999</v>
      </c>
      <c r="E81" s="85">
        <f>Simulator!$J32*IF(Simulator!$H32&gt;=100,1,$B$20+(1-$B$20-$B$21)*Simulator!$H32/100)*MIN(1,Simulator!$H32/100)*(1-$B$22)</f>
        <v>0</v>
      </c>
      <c r="F81" s="86">
        <f>_xlfn.LET(_xlpm.d,F$56,_xlpm.cert,Simulator!$H32,_xlpm.regd,Simulator!$I32,_xlpm.compl,IF(_xlpm.regd="",EDATE($B$26,$B$25+_xlpm.d),IF(_xlpm.regd&lt;$B$26,EDATE($B$26,$B$24+_xlpm.d),EDATE(_xlpm.regd,_xlpm.d))),_xlpm.n,MAX(1,(YEAR(_xlpm.compl)-YEAR($B$26))*12+MONTH(_xlpm.compl)-MONTH($B$26)),_xlpm.pace,MIN($B$23,(100-_xlpm.cert)/_xlpm.n),_xlpm.c,MIN(100,_xlpm.cert+_xlpm.pace*$B$27),IF(_xlpm.c&gt;=100,1,$B$20+(1-$B$20-$B$21)*_xlpm.c/100)*MIN(1,_xlpm.c/100)*(1-$B$22))</f>
        <v>0.12920000000000004</v>
      </c>
      <c r="G81" s="86">
        <f>_xlfn.LET(_xlpm.d,G$56,_xlpm.cert,Simulator!$H32,_xlpm.regd,Simulator!$I32,_xlpm.compl,IF(_xlpm.regd="",EDATE($B$26,$B$25+_xlpm.d),IF(_xlpm.regd&lt;$B$26,EDATE($B$26,$B$24+_xlpm.d),EDATE(_xlpm.regd,_xlpm.d))),_xlpm.n,MAX(1,(YEAR(_xlpm.compl)-YEAR($B$26))*12+MONTH(_xlpm.compl)-MONTH($B$26)),_xlpm.pace,MIN($B$23,(100-_xlpm.cert)/_xlpm.n),_xlpm.c,MIN(100,_xlpm.cert+_xlpm.pace*$B$27),IF(_xlpm.c&gt;=100,1,$B$20+(1-$B$20-$B$21)*_xlpm.c/100)*MIN(1,_xlpm.c/100)*(1-$B$22))</f>
        <v>0.12085798816568048</v>
      </c>
      <c r="H81" s="86">
        <f>_xlfn.LET(_xlpm.d,H$56,_xlpm.cert,Simulator!$H32,_xlpm.regd,Simulator!$I32,_xlpm.compl,IF(_xlpm.regd="",EDATE($B$26,$B$25+_xlpm.d),IF(_xlpm.regd&lt;$B$26,EDATE($B$26,$B$24+_xlpm.d),EDATE(_xlpm.regd,_xlpm.d))),_xlpm.n,MAX(1,(YEAR(_xlpm.compl)-YEAR($B$26))*12+MONTH(_xlpm.compl)-MONTH($B$26)),_xlpm.pace,MIN($B$23,(100-_xlpm.cert)/_xlpm.n),_xlpm.c,MIN(100,_xlpm.cert+_xlpm.pace*$B$27),IF(_xlpm.c&gt;=100,1,$B$20+(1-$B$20-$B$21)*_xlpm.c/100)*MIN(1,_xlpm.c/100)*(1-$B$22))</f>
        <v>7.0370370370370389E-2</v>
      </c>
      <c r="I81" s="86">
        <f>_xlfn.LET(_xlpm.d,I$56,_xlpm.cert,Simulator!$H32,_xlpm.regd,Simulator!$I32,_xlpm.compl,IF(_xlpm.regd="",EDATE($B$26,$B$25+_xlpm.d),IF(_xlpm.regd&lt;$B$26,EDATE($B$26,$B$24+_xlpm.d),EDATE(_xlpm.regd,_xlpm.d))),_xlpm.n,MAX(1,(YEAR(_xlpm.compl)-YEAR($B$26))*12+MONTH(_xlpm.compl)-MONTH($B$26)),_xlpm.pace,MIN($B$23,(100-_xlpm.cert)/_xlpm.n),_xlpm.c,MIN(100,_xlpm.cert+_xlpm.pace*$B$27),IF(_xlpm.c&gt;=100,1,$B$20+(1-$B$20-$B$21)*_xlpm.c/100)*MIN(1,_xlpm.c/100)*(1-$B$22))</f>
        <v>4.75897920604915E-2</v>
      </c>
      <c r="J81" s="86">
        <f>_xlfn.LET(_xlpm.d,J$56,_xlpm.cert,Simulator!$H32,_xlpm.regd,Simulator!$I32,_xlpm.compl,IF(_xlpm.regd="",EDATE($B$26,$B$25+_xlpm.d),IF(_xlpm.regd&lt;$B$26,EDATE($B$26,$B$24+_xlpm.d),EDATE(_xlpm.regd,_xlpm.d))),_xlpm.n,MAX(1,(YEAR(_xlpm.compl)-YEAR($B$26))*12+MONTH(_xlpm.compl)-MONTH($B$26)),_xlpm.pace,MIN($B$23,(100-_xlpm.cert)/_xlpm.n),_xlpm.c,MIN(100,_xlpm.cert+_xlpm.pace*$B$27),IF(_xlpm.c&gt;=100,1,$B$20+(1-$B$20-$B$21)*_xlpm.c/100)*MIN(1,_xlpm.c/100)*(1-$B$22))</f>
        <v>3.5140306122448985E-2</v>
      </c>
      <c r="K81" s="86">
        <f>_xlfn.LET(_xlpm.d,K$56,_xlpm.cert,Simulator!$H32,_xlpm.regd,Simulator!$I32,_xlpm.compl,IF(_xlpm.regd="",EDATE($B$26,$B$25+_xlpm.d),IF(_xlpm.regd&lt;$B$26,EDATE($B$26,$B$24+_xlpm.d),EDATE(_xlpm.regd,_xlpm.d))),_xlpm.n,MAX(1,(YEAR(_xlpm.compl)-YEAR($B$26))*12+MONTH(_xlpm.compl)-MONTH($B$26)),_xlpm.pace,MIN($B$23,(100-_xlpm.cert)/_xlpm.n),_xlpm.c,MIN(100,_xlpm.cert+_xlpm.pace*$B$27),IF(_xlpm.c&gt;=100,1,$B$20+(1-$B$20-$B$21)*_xlpm.c/100)*MIN(1,_xlpm.c/100)*(1-$B$22))</f>
        <v>2.7479338842975213E-2</v>
      </c>
      <c r="L81" s="86">
        <f>_xlfn.LET(_xlpm.d,L$56,_xlpm.cert,Simulator!$H32,_xlpm.regd,Simulator!$I32,_xlpm.compl,IF(_xlpm.regd="",EDATE($B$26,$B$25+_xlpm.d),IF(_xlpm.regd&lt;$B$26,EDATE($B$26,$B$24+_xlpm.d),EDATE(_xlpm.regd,_xlpm.d))),_xlpm.n,MAX(1,(YEAR(_xlpm.compl)-YEAR($B$26))*12+MONTH(_xlpm.compl)-MONTH($B$26)),_xlpm.pace,MIN($B$23,(100-_xlpm.cert)/_xlpm.n),_xlpm.c,MIN(100,_xlpm.cert+_xlpm.pace*$B$27),IF(_xlpm.c&gt;=100,1,$B$20+(1-$B$20-$B$21)*_xlpm.c/100)*MIN(1,_xlpm.c/100)*(1-$B$22))</f>
        <v>2.2368421052631583E-2</v>
      </c>
    </row>
    <row r="82" spans="1:12" ht="17.25" customHeight="1" outlineLevel="1" x14ac:dyDescent="0.2">
      <c r="A82" s="35" t="str">
        <f>Simulator!A33</f>
        <v>4008</v>
      </c>
      <c r="B82" s="35" t="str">
        <f>Simulator!B33</f>
        <v>Binghatti Flare 02</v>
      </c>
      <c r="C82" s="85">
        <f>Simulator!J33</f>
        <v>754.31078000000002</v>
      </c>
      <c r="D82" s="85">
        <f>Simulator!K33*Simulator!G33/1000000*$B$18*(1+$B$19)</f>
        <v>40.265699999999995</v>
      </c>
      <c r="E82" s="85">
        <f>Simulator!$J33*IF(Simulator!$H33&gt;=100,1,$B$20+(1-$B$20-$B$21)*Simulator!$H33/100)*MIN(1,Simulator!$H33/100)*(1-$B$22)</f>
        <v>0</v>
      </c>
      <c r="F82" s="86">
        <f>_xlfn.LET(_xlpm.d,F$56,_xlpm.cert,Simulator!$H33,_xlpm.regd,Simulator!$I33,_xlpm.compl,IF(_xlpm.regd="",EDATE($B$26,$B$25+_xlpm.d),IF(_xlpm.regd&lt;$B$26,EDATE($B$26,$B$24+_xlpm.d),EDATE(_xlpm.regd,_xlpm.d))),_xlpm.n,MAX(1,(YEAR(_xlpm.compl)-YEAR($B$26))*12+MONTH(_xlpm.compl)-MONTH($B$26)),_xlpm.pace,MIN($B$23,(100-_xlpm.cert)/_xlpm.n),_xlpm.c,MIN(100,_xlpm.cert+_xlpm.pace*$B$27),IF(_xlpm.c&gt;=100,1,$B$20+(1-$B$20-$B$21)*_xlpm.c/100)*MIN(1,_xlpm.c/100)*(1-$B$22))</f>
        <v>0.12920000000000004</v>
      </c>
      <c r="G82" s="86">
        <f>_xlfn.LET(_xlpm.d,G$56,_xlpm.cert,Simulator!$H33,_xlpm.regd,Simulator!$I33,_xlpm.compl,IF(_xlpm.regd="",EDATE($B$26,$B$25+_xlpm.d),IF(_xlpm.regd&lt;$B$26,EDATE($B$26,$B$24+_xlpm.d),EDATE(_xlpm.regd,_xlpm.d))),_xlpm.n,MAX(1,(YEAR(_xlpm.compl)-YEAR($B$26))*12+MONTH(_xlpm.compl)-MONTH($B$26)),_xlpm.pace,MIN($B$23,(100-_xlpm.cert)/_xlpm.n),_xlpm.c,MIN(100,_xlpm.cert+_xlpm.pace*$B$27),IF(_xlpm.c&gt;=100,1,$B$20+(1-$B$20-$B$21)*_xlpm.c/100)*MIN(1,_xlpm.c/100)*(1-$B$22))</f>
        <v>0.10663265306122448</v>
      </c>
      <c r="H82" s="86">
        <f>_xlfn.LET(_xlpm.d,H$56,_xlpm.cert,Simulator!$H33,_xlpm.regd,Simulator!$I33,_xlpm.compl,IF(_xlpm.regd="",EDATE($B$26,$B$25+_xlpm.d),IF(_xlpm.regd&lt;$B$26,EDATE($B$26,$B$24+_xlpm.d),EDATE(_xlpm.regd,_xlpm.d))),_xlpm.n,MAX(1,(YEAR(_xlpm.compl)-YEAR($B$26))*12+MONTH(_xlpm.compl)-MONTH($B$26)),_xlpm.pace,MIN($B$23,(100-_xlpm.cert)/_xlpm.n),_xlpm.c,MIN(100,_xlpm.cert+_xlpm.pace*$B$27),IF(_xlpm.c&gt;=100,1,$B$20+(1-$B$20-$B$21)*_xlpm.c/100)*MIN(1,_xlpm.c/100)*(1-$B$22))</f>
        <v>6.4473684210526336E-2</v>
      </c>
      <c r="I82" s="86">
        <f>_xlfn.LET(_xlpm.d,I$56,_xlpm.cert,Simulator!$H33,_xlpm.regd,Simulator!$I33,_xlpm.compl,IF(_xlpm.regd="",EDATE($B$26,$B$25+_xlpm.d),IF(_xlpm.regd&lt;$B$26,EDATE($B$26,$B$24+_xlpm.d),EDATE(_xlpm.regd,_xlpm.d))),_xlpm.n,MAX(1,(YEAR(_xlpm.compl)-YEAR($B$26))*12+MONTH(_xlpm.compl)-MONTH($B$26)),_xlpm.pace,MIN($B$23,(100-_xlpm.cert)/_xlpm.n),_xlpm.c,MIN(100,_xlpm.cert+_xlpm.pace*$B$27),IF(_xlpm.c&gt;=100,1,$B$20+(1-$B$20-$B$21)*_xlpm.c/100)*MIN(1,_xlpm.c/100)*(1-$B$22))</f>
        <v>4.4531250000000008E-2</v>
      </c>
      <c r="J82" s="86">
        <f>_xlfn.LET(_xlpm.d,J$56,_xlpm.cert,Simulator!$H33,_xlpm.regd,Simulator!$I33,_xlpm.compl,IF(_xlpm.regd="",EDATE($B$26,$B$25+_xlpm.d),IF(_xlpm.regd&lt;$B$26,EDATE($B$26,$B$24+_xlpm.d),EDATE(_xlpm.regd,_xlpm.d))),_xlpm.n,MAX(1,(YEAR(_xlpm.compl)-YEAR($B$26))*12+MONTH(_xlpm.compl)-MONTH($B$26)),_xlpm.pace,MIN($B$23,(100-_xlpm.cert)/_xlpm.n),_xlpm.c,MIN(100,_xlpm.cert+_xlpm.pace*$B$27),IF(_xlpm.c&gt;=100,1,$B$20+(1-$B$20-$B$21)*_xlpm.c/100)*MIN(1,_xlpm.c/100)*(1-$B$22))</f>
        <v>3.3323424494649222E-2</v>
      </c>
      <c r="K82" s="86">
        <f>_xlfn.LET(_xlpm.d,K$56,_xlpm.cert,Simulator!$H33,_xlpm.regd,Simulator!$I33,_xlpm.compl,IF(_xlpm.regd="",EDATE($B$26,$B$25+_xlpm.d),IF(_xlpm.regd&lt;$B$26,EDATE($B$26,$B$24+_xlpm.d),EDATE(_xlpm.regd,_xlpm.d))),_xlpm.n,MAX(1,(YEAR(_xlpm.compl)-YEAR($B$26))*12+MONTH(_xlpm.compl)-MONTH($B$26)),_xlpm.pace,MIN($B$23,(100-_xlpm.cert)/_xlpm.n),_xlpm.c,MIN(100,_xlpm.cert+_xlpm.pace*$B$27),IF(_xlpm.c&gt;=100,1,$B$20+(1-$B$20-$B$21)*_xlpm.c/100)*MIN(1,_xlpm.c/100)*(1-$B$22))</f>
        <v>2.6297577854671284E-2</v>
      </c>
      <c r="L82" s="86">
        <f>_xlfn.LET(_xlpm.d,L$56,_xlpm.cert,Simulator!$H33,_xlpm.regd,Simulator!$I33,_xlpm.compl,IF(_xlpm.regd="",EDATE($B$26,$B$25+_xlpm.d),IF(_xlpm.regd&lt;$B$26,EDATE($B$26,$B$24+_xlpm.d),EDATE(_xlpm.regd,_xlpm.d))),_xlpm.n,MAX(1,(YEAR(_xlpm.compl)-YEAR($B$26))*12+MONTH(_xlpm.compl)-MONTH($B$26)),_xlpm.pace,MIN($B$23,(100-_xlpm.cert)/_xlpm.n),_xlpm.c,MIN(100,_xlpm.cert+_xlpm.pace*$B$27),IF(_xlpm.c&gt;=100,1,$B$20+(1-$B$20-$B$21)*_xlpm.c/100)*MIN(1,_xlpm.c/100)*(1-$B$22))</f>
        <v>2.1548323471400399E-2</v>
      </c>
    </row>
    <row r="83" spans="1:12" ht="17.25" customHeight="1" outlineLevel="1" x14ac:dyDescent="0.2">
      <c r="A83" s="35" t="str">
        <f>Simulator!A34</f>
        <v>4006</v>
      </c>
      <c r="B83" s="35" t="str">
        <f>Simulator!B34</f>
        <v>Binghatti Flare 01</v>
      </c>
      <c r="C83" s="85">
        <f>Simulator!J34</f>
        <v>1040.12553</v>
      </c>
      <c r="D83" s="85">
        <f>Simulator!K34*Simulator!G34/1000000*$B$18*(1+$B$19)</f>
        <v>38.465019599999998</v>
      </c>
      <c r="E83" s="85">
        <f>Simulator!$J34*IF(Simulator!$H34&gt;=100,1,$B$20+(1-$B$20-$B$21)*Simulator!$H34/100)*MIN(1,Simulator!$H34/100)*(1-$B$22)</f>
        <v>0</v>
      </c>
      <c r="F83" s="86">
        <f>_xlfn.LET(_xlpm.d,F$56,_xlpm.cert,Simulator!$H34,_xlpm.regd,Simulator!$I34,_xlpm.compl,IF(_xlpm.regd="",EDATE($B$26,$B$25+_xlpm.d),IF(_xlpm.regd&lt;$B$26,EDATE($B$26,$B$24+_xlpm.d),EDATE(_xlpm.regd,_xlpm.d))),_xlpm.n,MAX(1,(YEAR(_xlpm.compl)-YEAR($B$26))*12+MONTH(_xlpm.compl)-MONTH($B$26)),_xlpm.pace,MIN($B$23,(100-_xlpm.cert)/_xlpm.n),_xlpm.c,MIN(100,_xlpm.cert+_xlpm.pace*$B$27),IF(_xlpm.c&gt;=100,1,$B$20+(1-$B$20-$B$21)*_xlpm.c/100)*MIN(1,_xlpm.c/100)*(1-$B$22))</f>
        <v>0.12920000000000004</v>
      </c>
      <c r="G83" s="86">
        <f>_xlfn.LET(_xlpm.d,G$56,_xlpm.cert,Simulator!$H34,_xlpm.regd,Simulator!$I34,_xlpm.compl,IF(_xlpm.regd="",EDATE($B$26,$B$25+_xlpm.d),IF(_xlpm.regd&lt;$B$26,EDATE($B$26,$B$24+_xlpm.d),EDATE(_xlpm.regd,_xlpm.d))),_xlpm.n,MAX(1,(YEAR(_xlpm.compl)-YEAR($B$26))*12+MONTH(_xlpm.compl)-MONTH($B$26)),_xlpm.pace,MIN($B$23,(100-_xlpm.cert)/_xlpm.n),_xlpm.c,MIN(100,_xlpm.cert+_xlpm.pace*$B$27),IF(_xlpm.c&gt;=100,1,$B$20+(1-$B$20-$B$21)*_xlpm.c/100)*MIN(1,_xlpm.c/100)*(1-$B$22))</f>
        <v>9.5000000000000015E-2</v>
      </c>
      <c r="H83" s="86">
        <f>_xlfn.LET(_xlpm.d,H$56,_xlpm.cert,Simulator!$H34,_xlpm.regd,Simulator!$I34,_xlpm.compl,IF(_xlpm.regd="",EDATE($B$26,$B$25+_xlpm.d),IF(_xlpm.regd&lt;$B$26,EDATE($B$26,$B$24+_xlpm.d),EDATE(_xlpm.regd,_xlpm.d))),_xlpm.n,MAX(1,(YEAR(_xlpm.compl)-YEAR($B$26))*12+MONTH(_xlpm.compl)-MONTH($B$26)),_xlpm.pace,MIN($B$23,(100-_xlpm.cert)/_xlpm.n),_xlpm.c,MIN(100,_xlpm.cert+_xlpm.pace*$B$27),IF(_xlpm.c&gt;=100,1,$B$20+(1-$B$20-$B$21)*_xlpm.c/100)*MIN(1,_xlpm.c/100)*(1-$B$22))</f>
        <v>5.9374999999999997E-2</v>
      </c>
      <c r="I83" s="86">
        <f>_xlfn.LET(_xlpm.d,I$56,_xlpm.cert,Simulator!$H34,_xlpm.regd,Simulator!$I34,_xlpm.compl,IF(_xlpm.regd="",EDATE($B$26,$B$25+_xlpm.d),IF(_xlpm.regd&lt;$B$26,EDATE($B$26,$B$24+_xlpm.d),EDATE(_xlpm.regd,_xlpm.d))),_xlpm.n,MAX(1,(YEAR(_xlpm.compl)-YEAR($B$26))*12+MONTH(_xlpm.compl)-MONTH($B$26)),_xlpm.pace,MIN($B$23,(100-_xlpm.cert)/_xlpm.n),_xlpm.c,MIN(100,_xlpm.cert+_xlpm.pace*$B$27),IF(_xlpm.c&gt;=100,1,$B$20+(1-$B$20-$B$21)*_xlpm.c/100)*MIN(1,_xlpm.c/100)*(1-$B$22))</f>
        <v>4.1800000000000011E-2</v>
      </c>
      <c r="J83" s="86">
        <f>_xlfn.LET(_xlpm.d,J$56,_xlpm.cert,Simulator!$H34,_xlpm.regd,Simulator!$I34,_xlpm.compl,IF(_xlpm.regd="",EDATE($B$26,$B$25+_xlpm.d),IF(_xlpm.regd&lt;$B$26,EDATE($B$26,$B$24+_xlpm.d),EDATE(_xlpm.regd,_xlpm.d))),_xlpm.n,MAX(1,(YEAR(_xlpm.compl)-YEAR($B$26))*12+MONTH(_xlpm.compl)-MONTH($B$26)),_xlpm.pace,MIN($B$23,(100-_xlpm.cert)/_xlpm.n),_xlpm.c,MIN(100,_xlpm.cert+_xlpm.pace*$B$27),IF(_xlpm.c&gt;=100,1,$B$20+(1-$B$20-$B$21)*_xlpm.c/100)*MIN(1,_xlpm.c/100)*(1-$B$22))</f>
        <v>3.1666666666666669E-2</v>
      </c>
      <c r="K83" s="86">
        <f>_xlfn.LET(_xlpm.d,K$56,_xlpm.cert,Simulator!$H34,_xlpm.regd,Simulator!$I34,_xlpm.compl,IF(_xlpm.regd="",EDATE($B$26,$B$25+_xlpm.d),IF(_xlpm.regd&lt;$B$26,EDATE($B$26,$B$24+_xlpm.d),EDATE(_xlpm.regd,_xlpm.d))),_xlpm.n,MAX(1,(YEAR(_xlpm.compl)-YEAR($B$26))*12+MONTH(_xlpm.compl)-MONTH($B$26)),_xlpm.pace,MIN($B$23,(100-_xlpm.cert)/_xlpm.n),_xlpm.c,MIN(100,_xlpm.cert+_xlpm.pace*$B$27),IF(_xlpm.c&gt;=100,1,$B$20+(1-$B$20-$B$21)*_xlpm.c/100)*MIN(1,_xlpm.c/100)*(1-$B$22))</f>
        <v>2.5204081632653065E-2</v>
      </c>
      <c r="L83" s="86">
        <f>_xlfn.LET(_xlpm.d,L$56,_xlpm.cert,Simulator!$H34,_xlpm.regd,Simulator!$I34,_xlpm.compl,IF(_xlpm.regd="",EDATE($B$26,$B$25+_xlpm.d),IF(_xlpm.regd&lt;$B$26,EDATE($B$26,$B$24+_xlpm.d),EDATE(_xlpm.regd,_xlpm.d))),_xlpm.n,MAX(1,(YEAR(_xlpm.compl)-YEAR($B$26))*12+MONTH(_xlpm.compl)-MONTH($B$26)),_xlpm.pace,MIN($B$23,(100-_xlpm.cert)/_xlpm.n),_xlpm.c,MIN(100,_xlpm.cert+_xlpm.pace*$B$27),IF(_xlpm.c&gt;=100,1,$B$20+(1-$B$20-$B$21)*_xlpm.c/100)*MIN(1,_xlpm.c/100)*(1-$B$22))</f>
        <v>2.0781250000000001E-2</v>
      </c>
    </row>
    <row r="84" spans="1:12" ht="17.25" customHeight="1" outlineLevel="1" x14ac:dyDescent="0.2">
      <c r="A84" s="35" t="str">
        <f>Simulator!A35</f>
        <v>3725</v>
      </c>
      <c r="B84" s="35" t="str">
        <f>Simulator!B35</f>
        <v>Binghatti Skyblade</v>
      </c>
      <c r="C84" s="85">
        <f>Simulator!J35</f>
        <v>1612.0307519999999</v>
      </c>
      <c r="D84" s="85">
        <f>Simulator!K35*Simulator!G35/1000000*$B$18*(1+$B$19)</f>
        <v>109.20208319999999</v>
      </c>
      <c r="E84" s="85">
        <f>Simulator!$J35*IF(Simulator!$H35&gt;=100,1,$B$20+(1-$B$20-$B$21)*Simulator!$H35/100)*MIN(1,Simulator!$H35/100)*(1-$B$22)</f>
        <v>12.549180308780505</v>
      </c>
      <c r="F84" s="86">
        <f>_xlfn.LET(_xlpm.d,F$56,_xlpm.cert,Simulator!$H35,_xlpm.regd,Simulator!$I35,_xlpm.compl,IF(_xlpm.regd="",EDATE($B$26,$B$25+_xlpm.d),IF(_xlpm.regd&lt;$B$26,EDATE($B$26,$B$24+_xlpm.d),EDATE(_xlpm.regd,_xlpm.d))),_xlpm.n,MAX(1,(YEAR(_xlpm.compl)-YEAR($B$26))*12+MONTH(_xlpm.compl)-MONTH($B$26)),_xlpm.pace,MIN($B$23,(100-_xlpm.cert)/_xlpm.n),_xlpm.c,MIN(100,_xlpm.cert+_xlpm.pace*$B$27),IF(_xlpm.c&gt;=100,1,$B$20+(1-$B$20-$B$21)*_xlpm.c/100)*MIN(1,_xlpm.c/100)*(1-$B$22))</f>
        <v>0.12691926493265304</v>
      </c>
      <c r="G84" s="86">
        <f>_xlfn.LET(_xlpm.d,G$56,_xlpm.cert,Simulator!$H35,_xlpm.regd,Simulator!$I35,_xlpm.compl,IF(_xlpm.regd="",EDATE($B$26,$B$25+_xlpm.d),IF(_xlpm.regd&lt;$B$26,EDATE($B$26,$B$24+_xlpm.d),EDATE(_xlpm.regd,_xlpm.d))),_xlpm.n,MAX(1,(YEAR(_xlpm.compl)-YEAR($B$26))*12+MONTH(_xlpm.compl)-MONTH($B$26)),_xlpm.pace,MIN($B$23,(100-_xlpm.cert)/_xlpm.n),_xlpm.c,MIN(100,_xlpm.cert+_xlpm.pace*$B$27),IF(_xlpm.c&gt;=100,1,$B$20+(1-$B$20-$B$21)*_xlpm.c/100)*MIN(1,_xlpm.c/100)*(1-$B$22))</f>
        <v>8.3116597642105258E-2</v>
      </c>
      <c r="H84" s="86">
        <f>_xlfn.LET(_xlpm.d,H$56,_xlpm.cert,Simulator!$H35,_xlpm.regd,Simulator!$I35,_xlpm.compl,IF(_xlpm.regd="",EDATE($B$26,$B$25+_xlpm.d),IF(_xlpm.regd&lt;$B$26,EDATE($B$26,$B$24+_xlpm.d),EDATE(_xlpm.regd,_xlpm.d))),_xlpm.n,MAX(1,(YEAR(_xlpm.compl)-YEAR($B$26))*12+MONTH(_xlpm.compl)-MONTH($B$26)),_xlpm.pace,MIN($B$23,(100-_xlpm.cert)/_xlpm.n),_xlpm.c,MIN(100,_xlpm.cert+_xlpm.pace*$B$27),IF(_xlpm.c&gt;=100,1,$B$20+(1-$B$20-$B$21)*_xlpm.c/100)*MIN(1,_xlpm.c/100)*(1-$B$22))</f>
        <v>6.1672296372916671E-2</v>
      </c>
      <c r="I84" s="86">
        <f>_xlfn.LET(_xlpm.d,I$56,_xlpm.cert,Simulator!$H35,_xlpm.regd,Simulator!$I35,_xlpm.compl,IF(_xlpm.regd="",EDATE($B$26,$B$25+_xlpm.d),IF(_xlpm.regd&lt;$B$26,EDATE($B$26,$B$24+_xlpm.d),EDATE(_xlpm.regd,_xlpm.d))),_xlpm.n,MAX(1,(YEAR(_xlpm.compl)-YEAR($B$26))*12+MONTH(_xlpm.compl)-MONTH($B$26)),_xlpm.pace,MIN($B$23,(100-_xlpm.cert)/_xlpm.n),_xlpm.c,MIN(100,_xlpm.cert+_xlpm.pace*$B$27),IF(_xlpm.c&gt;=100,1,$B$20+(1-$B$20-$B$21)*_xlpm.c/100)*MIN(1,_xlpm.c/100)*(1-$B$22))</f>
        <v>4.9263530098454224E-2</v>
      </c>
      <c r="J84" s="86">
        <f>_xlfn.LET(_xlpm.d,J$56,_xlpm.cert,Simulator!$H35,_xlpm.regd,Simulator!$I35,_xlpm.compl,IF(_xlpm.regd="",EDATE($B$26,$B$25+_xlpm.d),IF(_xlpm.regd&lt;$B$26,EDATE($B$26,$B$24+_xlpm.d),EDATE(_xlpm.regd,_xlpm.d))),_xlpm.n,MAX(1,(YEAR(_xlpm.compl)-YEAR($B$26))*12+MONTH(_xlpm.compl)-MONTH($B$26)),_xlpm.pace,MIN($B$23,(100-_xlpm.cert)/_xlpm.n),_xlpm.c,MIN(100,_xlpm.cert+_xlpm.pace*$B$27),IF(_xlpm.c&gt;=100,1,$B$20+(1-$B$20-$B$21)*_xlpm.c/100)*MIN(1,_xlpm.c/100)*(1-$B$22))</f>
        <v>4.1286548490311423E-2</v>
      </c>
      <c r="K84" s="86">
        <f>_xlfn.LET(_xlpm.d,K$56,_xlpm.cert,Simulator!$H35,_xlpm.regd,Simulator!$I35,_xlpm.compl,IF(_xlpm.regd="",EDATE($B$26,$B$25+_xlpm.d),IF(_xlpm.regd&lt;$B$26,EDATE($B$26,$B$24+_xlpm.d),EDATE(_xlpm.regd,_xlpm.d))),_xlpm.n,MAX(1,(YEAR(_xlpm.compl)-YEAR($B$26))*12+MONTH(_xlpm.compl)-MONTH($B$26)),_xlpm.pace,MIN($B$23,(100-_xlpm.cert)/_xlpm.n),_xlpm.c,MIN(100,_xlpm.cert+_xlpm.pace*$B$27),IF(_xlpm.c&gt;=100,1,$B$20+(1-$B$20-$B$21)*_xlpm.c/100)*MIN(1,_xlpm.c/100)*(1-$B$22))</f>
        <v>3.5774560444970412E-2</v>
      </c>
      <c r="L84" s="86">
        <f>_xlfn.LET(_xlpm.d,L$56,_xlpm.cert,Simulator!$H35,_xlpm.regd,Simulator!$I35,_xlpm.compl,IF(_xlpm.regd="",EDATE($B$26,$B$25+_xlpm.d),IF(_xlpm.regd&lt;$B$26,EDATE($B$26,$B$24+_xlpm.d),EDATE(_xlpm.regd,_xlpm.d))),_xlpm.n,MAX(1,(YEAR(_xlpm.compl)-YEAR($B$26))*12+MONTH(_xlpm.compl)-MONTH($B$26)),_xlpm.pace,MIN($B$23,(100-_xlpm.cert)/_xlpm.n),_xlpm.c,MIN(100,_xlpm.cert+_xlpm.pace*$B$27),IF(_xlpm.c&gt;=100,1,$B$20+(1-$B$20-$B$21)*_xlpm.c/100)*MIN(1,_xlpm.c/100)*(1-$B$22))</f>
        <v>3.176043282995869E-2</v>
      </c>
    </row>
    <row r="85" spans="1:12" ht="17.25" customHeight="1" outlineLevel="1" x14ac:dyDescent="0.2">
      <c r="A85" s="35" t="str">
        <f>Simulator!A36</f>
        <v>3053</v>
      </c>
      <c r="B85" s="35" t="str">
        <f>Simulator!B36</f>
        <v>Binghatti Hills</v>
      </c>
      <c r="C85" s="85">
        <f>Simulator!J36</f>
        <v>2155.1340650000002</v>
      </c>
      <c r="D85" s="85">
        <f>Simulator!K36*Simulator!G36/1000000*$B$18*(1+$B$19)</f>
        <v>0</v>
      </c>
      <c r="E85" s="85">
        <f>Simulator!$J36*IF(Simulator!$H36&gt;=100,1,$B$20+(1-$B$20-$B$21)*Simulator!$H36/100)*MIN(1,Simulator!$H36/100)*(1-$B$22)</f>
        <v>128.20688095116259</v>
      </c>
      <c r="F85" s="86">
        <f>_xlfn.LET(_xlpm.d,F$56,_xlpm.cert,Simulator!$H36,_xlpm.regd,Simulator!$I36,_xlpm.compl,IF(_xlpm.regd="",EDATE($B$26,$B$25+_xlpm.d),IF(_xlpm.regd&lt;$B$26,EDATE($B$26,$B$24+_xlpm.d),EDATE(_xlpm.regd,_xlpm.d))),_xlpm.n,MAX(1,(YEAR(_xlpm.compl)-YEAR($B$26))*12+MONTH(_xlpm.compl)-MONTH($B$26)),_xlpm.pace,MIN($B$23,(100-_xlpm.cert)/_xlpm.n),_xlpm.c,MIN(100,_xlpm.cert+_xlpm.pace*$B$27),IF(_xlpm.c&gt;=100,1,$B$20+(1-$B$20-$B$21)*_xlpm.c/100)*MIN(1,_xlpm.c/100)*(1-$B$22))</f>
        <v>0.1327986024640625</v>
      </c>
      <c r="G85" s="86">
        <f>_xlfn.LET(_xlpm.d,G$56,_xlpm.cert,Simulator!$H36,_xlpm.regd,Simulator!$I36,_xlpm.compl,IF(_xlpm.regd="",EDATE($B$26,$B$25+_xlpm.d),IF(_xlpm.regd&lt;$B$26,EDATE($B$26,$B$24+_xlpm.d),EDATE(_xlpm.regd,_xlpm.d))),_xlpm.n,MAX(1,(YEAR(_xlpm.compl)-YEAR($B$26))*12+MONTH(_xlpm.compl)-MONTH($B$26)),_xlpm.pace,MIN($B$23,(100-_xlpm.cert)/_xlpm.n),_xlpm.c,MIN(100,_xlpm.cert+_xlpm.pace*$B$27),IF(_xlpm.c&gt;=100,1,$B$20+(1-$B$20-$B$21)*_xlpm.c/100)*MIN(1,_xlpm.c/100)*(1-$B$22))</f>
        <v>0.11817497449322235</v>
      </c>
      <c r="H85" s="86">
        <f>_xlfn.LET(_xlpm.d,H$56,_xlpm.cert,Simulator!$H36,_xlpm.regd,Simulator!$I36,_xlpm.compl,IF(_xlpm.regd="",EDATE($B$26,$B$25+_xlpm.d),IF(_xlpm.regd&lt;$B$26,EDATE($B$26,$B$24+_xlpm.d),EDATE(_xlpm.regd,_xlpm.d))),_xlpm.n,MAX(1,(YEAR(_xlpm.compl)-YEAR($B$26))*12+MONTH(_xlpm.compl)-MONTH($B$26)),_xlpm.pace,MIN($B$23,(100-_xlpm.cert)/_xlpm.n),_xlpm.c,MIN(100,_xlpm.cert+_xlpm.pace*$B$27),IF(_xlpm.c&gt;=100,1,$B$20+(1-$B$20-$B$21)*_xlpm.c/100)*MIN(1,_xlpm.c/100)*(1-$B$22))</f>
        <v>0.10835014242499999</v>
      </c>
      <c r="I85" s="86">
        <f>_xlfn.LET(_xlpm.d,I$56,_xlpm.cert,Simulator!$H36,_xlpm.regd,Simulator!$I36,_xlpm.compl,IF(_xlpm.regd="",EDATE($B$26,$B$25+_xlpm.d),IF(_xlpm.regd&lt;$B$26,EDATE($B$26,$B$24+_xlpm.d),EDATE(_xlpm.regd,_xlpm.d))),_xlpm.n,MAX(1,(YEAR(_xlpm.compl)-YEAR($B$26))*12+MONTH(_xlpm.compl)-MONTH($B$26)),_xlpm.pace,MIN($B$23,(100-_xlpm.cert)/_xlpm.n),_xlpm.c,MIN(100,_xlpm.cert+_xlpm.pace*$B$27),IF(_xlpm.c&gt;=100,1,$B$20+(1-$B$20-$B$21)*_xlpm.c/100)*MIN(1,_xlpm.c/100)*(1-$B$22))</f>
        <v>0.10131152419644969</v>
      </c>
      <c r="J85" s="86">
        <f>_xlfn.LET(_xlpm.d,J$56,_xlpm.cert,Simulator!$H36,_xlpm.regd,Simulator!$I36,_xlpm.compl,IF(_xlpm.regd="",EDATE($B$26,$B$25+_xlpm.d),IF(_xlpm.regd&lt;$B$26,EDATE($B$26,$B$24+_xlpm.d),EDATE(_xlpm.regd,_xlpm.d))),_xlpm.n,MAX(1,(YEAR(_xlpm.compl)-YEAR($B$26))*12+MONTH(_xlpm.compl)-MONTH($B$26)),_xlpm.pace,MIN($B$23,(100-_xlpm.cert)/_xlpm.n),_xlpm.c,MIN(100,_xlpm.cert+_xlpm.pace*$B$27),IF(_xlpm.c&gt;=100,1,$B$20+(1-$B$20-$B$21)*_xlpm.c/100)*MIN(1,_xlpm.c/100)*(1-$B$22))</f>
        <v>9.6028587049225192E-2</v>
      </c>
      <c r="K85" s="86">
        <f>_xlfn.LET(_xlpm.d,K$56,_xlpm.cert,Simulator!$H36,_xlpm.regd,Simulator!$I36,_xlpm.compl,IF(_xlpm.regd="",EDATE($B$26,$B$25+_xlpm.d),IF(_xlpm.regd&lt;$B$26,EDATE($B$26,$B$24+_xlpm.d),EDATE(_xlpm.regd,_xlpm.d))),_xlpm.n,MAX(1,(YEAR(_xlpm.compl)-YEAR($B$26))*12+MONTH(_xlpm.compl)-MONTH($B$26)),_xlpm.pace,MIN($B$23,(100-_xlpm.cert)/_xlpm.n),_xlpm.c,MIN(100,_xlpm.cert+_xlpm.pace*$B$27),IF(_xlpm.c&gt;=100,1,$B$20+(1-$B$20-$B$21)*_xlpm.c/100)*MIN(1,_xlpm.c/100)*(1-$B$22))</f>
        <v>9.1920996800000002E-2</v>
      </c>
      <c r="L85" s="86">
        <f>_xlfn.LET(_xlpm.d,L$56,_xlpm.cert,Simulator!$H36,_xlpm.regd,Simulator!$I36,_xlpm.compl,IF(_xlpm.regd="",EDATE($B$26,$B$25+_xlpm.d),IF(_xlpm.regd&lt;$B$26,EDATE($B$26,$B$24+_xlpm.d),EDATE(_xlpm.regd,_xlpm.d))),_xlpm.n,MAX(1,(YEAR(_xlpm.compl)-YEAR($B$26))*12+MONTH(_xlpm.compl)-MONTH($B$26)),_xlpm.pace,MIN($B$23,(100-_xlpm.cert)/_xlpm.n),_xlpm.c,MIN(100,_xlpm.cert+_xlpm.pace*$B$27),IF(_xlpm.c&gt;=100,1,$B$20+(1-$B$20-$B$21)*_xlpm.c/100)*MIN(1,_xlpm.c/100)*(1-$B$22))</f>
        <v>8.8637769091666666E-2</v>
      </c>
    </row>
    <row r="86" spans="1:12" ht="17.25" customHeight="1" outlineLevel="1" x14ac:dyDescent="0.2">
      <c r="A86" s="35" t="str">
        <f>Simulator!A37</f>
        <v>2958</v>
      </c>
      <c r="B86" s="35" t="str">
        <f>Simulator!B37</f>
        <v>Binghatti Phantom</v>
      </c>
      <c r="C86" s="85">
        <f>Simulator!J37</f>
        <v>525.81835799999999</v>
      </c>
      <c r="D86" s="85">
        <f>Simulator!K37*Simulator!G37/1000000*$B$18*(1+$B$19)</f>
        <v>0</v>
      </c>
      <c r="E86" s="85">
        <f>Simulator!$J37*IF(Simulator!$H37&gt;=100,1,$B$20+(1-$B$20-$B$21)*Simulator!$H37/100)*MIN(1,Simulator!$H37/100)*(1-$B$22)</f>
        <v>49.62025854586944</v>
      </c>
      <c r="F86" s="86">
        <f>_xlfn.LET(_xlpm.d,F$56,_xlpm.cert,Simulator!$H37,_xlpm.regd,Simulator!$I37,_xlpm.compl,IF(_xlpm.regd="",EDATE($B$26,$B$25+_xlpm.d),IF(_xlpm.regd&lt;$B$26,EDATE($B$26,$B$24+_xlpm.d),EDATE(_xlpm.regd,_xlpm.d))),_xlpm.n,MAX(1,(YEAR(_xlpm.compl)-YEAR($B$26))*12+MONTH(_xlpm.compl)-MONTH($B$26)),_xlpm.pace,MIN($B$23,(100-_xlpm.cert)/_xlpm.n),_xlpm.c,MIN(100,_xlpm.cert+_xlpm.pace*$B$27),IF(_xlpm.c&gt;=100,1,$B$20+(1-$B$20-$B$21)*_xlpm.c/100)*MIN(1,_xlpm.c/100)*(1-$B$22))</f>
        <v>0.17129970916666667</v>
      </c>
      <c r="G86" s="86">
        <f>_xlfn.LET(_xlpm.d,G$56,_xlpm.cert,Simulator!$H37,_xlpm.regd,Simulator!$I37,_xlpm.compl,IF(_xlpm.regd="",EDATE($B$26,$B$25+_xlpm.d),IF(_xlpm.regd&lt;$B$26,EDATE($B$26,$B$24+_xlpm.d),EDATE(_xlpm.regd,_xlpm.d))),_xlpm.n,MAX(1,(YEAR(_xlpm.compl)-YEAR($B$26))*12+MONTH(_xlpm.compl)-MONTH($B$26)),_xlpm.pace,MIN($B$23,(100-_xlpm.cert)/_xlpm.n),_xlpm.c,MIN(100,_xlpm.cert+_xlpm.pace*$B$27),IF(_xlpm.c&gt;=100,1,$B$20+(1-$B$20-$B$21)*_xlpm.c/100)*MIN(1,_xlpm.c/100)*(1-$B$22))</f>
        <v>0.15646038487514866</v>
      </c>
      <c r="H86" s="86">
        <f>_xlfn.LET(_xlpm.d,H$56,_xlpm.cert,Simulator!$H37,_xlpm.regd,Simulator!$I37,_xlpm.compl,IF(_xlpm.regd="",EDATE($B$26,$B$25+_xlpm.d),IF(_xlpm.regd&lt;$B$26,EDATE($B$26,$B$24+_xlpm.d),EDATE(_xlpm.regd,_xlpm.d))),_xlpm.n,MAX(1,(YEAR(_xlpm.compl)-YEAR($B$26))*12+MONTH(_xlpm.compl)-MONTH($B$26)),_xlpm.pace,MIN($B$23,(100-_xlpm.cert)/_xlpm.n),_xlpm.c,MIN(100,_xlpm.cert+_xlpm.pace*$B$27),IF(_xlpm.c&gt;=100,1,$B$20+(1-$B$20-$B$21)*_xlpm.c/100)*MIN(1,_xlpm.c/100)*(1-$B$22))</f>
        <v>0.1463807256747405</v>
      </c>
      <c r="I86" s="86">
        <f>_xlfn.LET(_xlpm.d,I$56,_xlpm.cert,Simulator!$H37,_xlpm.regd,Simulator!$I37,_xlpm.compl,IF(_xlpm.regd="",EDATE($B$26,$B$25+_xlpm.d),IF(_xlpm.regd&lt;$B$26,EDATE($B$26,$B$24+_xlpm.d),EDATE(_xlpm.regd,_xlpm.d))),_xlpm.n,MAX(1,(YEAR(_xlpm.compl)-YEAR($B$26))*12+MONTH(_xlpm.compl)-MONTH($B$26)),_xlpm.pace,MIN($B$23,(100-_xlpm.cert)/_xlpm.n),_xlpm.c,MIN(100,_xlpm.cert+_xlpm.pace*$B$27),IF(_xlpm.c&gt;=100,1,$B$20+(1-$B$20-$B$21)*_xlpm.c/100)*MIN(1,_xlpm.c/100)*(1-$B$22))</f>
        <v>0.1390975924260355</v>
      </c>
      <c r="J86" s="86">
        <f>_xlfn.LET(_xlpm.d,J$56,_xlpm.cert,Simulator!$H37,_xlpm.regd,Simulator!$I37,_xlpm.compl,IF(_xlpm.regd="",EDATE($B$26,$B$25+_xlpm.d),IF(_xlpm.regd&lt;$B$26,EDATE($B$26,$B$24+_xlpm.d),EDATE(_xlpm.regd,_xlpm.d))),_xlpm.n,MAX(1,(YEAR(_xlpm.compl)-YEAR($B$26))*12+MONTH(_xlpm.compl)-MONTH($B$26)),_xlpm.pace,MIN($B$23,(100-_xlpm.cert)/_xlpm.n),_xlpm.c,MIN(100,_xlpm.cert+_xlpm.pace*$B$27),IF(_xlpm.c&gt;=100,1,$B$20+(1-$B$20-$B$21)*_xlpm.c/100)*MIN(1,_xlpm.c/100)*(1-$B$22))</f>
        <v>0.13359356471074382</v>
      </c>
      <c r="K86" s="86">
        <f>_xlfn.LET(_xlpm.d,K$56,_xlpm.cert,Simulator!$H37,_xlpm.regd,Simulator!$I37,_xlpm.compl,IF(_xlpm.regd="",EDATE($B$26,$B$25+_xlpm.d),IF(_xlpm.regd&lt;$B$26,EDATE($B$26,$B$24+_xlpm.d),EDATE(_xlpm.regd,_xlpm.d))),_xlpm.n,MAX(1,(YEAR(_xlpm.compl)-YEAR($B$26))*12+MONTH(_xlpm.compl)-MONTH($B$26)),_xlpm.pace,MIN($B$23,(100-_xlpm.cert)/_xlpm.n),_xlpm.c,MIN(100,_xlpm.cert+_xlpm.pace*$B$27),IF(_xlpm.c&gt;=100,1,$B$20+(1-$B$20-$B$21)*_xlpm.c/100)*MIN(1,_xlpm.c/100)*(1-$B$22))</f>
        <v>0.1292899743773428</v>
      </c>
      <c r="L86" s="86">
        <f>_xlfn.LET(_xlpm.d,L$56,_xlpm.cert,Simulator!$H37,_xlpm.regd,Simulator!$I37,_xlpm.compl,IF(_xlpm.regd="",EDATE($B$26,$B$25+_xlpm.d),IF(_xlpm.regd&lt;$B$26,EDATE($B$26,$B$24+_xlpm.d),EDATE(_xlpm.regd,_xlpm.d))),_xlpm.n,MAX(1,(YEAR(_xlpm.compl)-YEAR($B$26))*12+MONTH(_xlpm.compl)-MONTH($B$26)),_xlpm.pace,MIN($B$23,(100-_xlpm.cert)/_xlpm.n),_xlpm.c,MIN(100,_xlpm.cert+_xlpm.pace*$B$27),IF(_xlpm.c&gt;=100,1,$B$20+(1-$B$20-$B$21)*_xlpm.c/100)*MIN(1,_xlpm.c/100)*(1-$B$22))</f>
        <v>0.12583391621399176</v>
      </c>
    </row>
    <row r="87" spans="1:12" ht="17.25" customHeight="1" outlineLevel="1" x14ac:dyDescent="0.2">
      <c r="A87" s="35" t="str">
        <f>Simulator!A38</f>
        <v>3009</v>
      </c>
      <c r="B87" s="35" t="str">
        <f>Simulator!B38</f>
        <v>Binghatti Phoenix</v>
      </c>
      <c r="C87" s="85">
        <f>Simulator!J38</f>
        <v>492.19495999999998</v>
      </c>
      <c r="D87" s="85">
        <f>Simulator!K38*Simulator!G38/1000000*$B$18*(1+$B$19)</f>
        <v>0</v>
      </c>
      <c r="E87" s="85">
        <f>Simulator!$J38*IF(Simulator!$H38&gt;=100,1,$B$20+(1-$B$20-$B$21)*Simulator!$H38/100)*MIN(1,Simulator!$H38/100)*(1-$B$22)</f>
        <v>41.943003247516444</v>
      </c>
      <c r="F87" s="86">
        <f>_xlfn.LET(_xlpm.d,F$56,_xlpm.cert,Simulator!$H38,_xlpm.regd,Simulator!$I38,_xlpm.compl,IF(_xlpm.regd="",EDATE($B$26,$B$25+_xlpm.d),IF(_xlpm.regd&lt;$B$26,EDATE($B$26,$B$24+_xlpm.d),EDATE(_xlpm.regd,_xlpm.d))),_xlpm.n,MAX(1,(YEAR(_xlpm.compl)-YEAR($B$26))*12+MONTH(_xlpm.compl)-MONTH($B$26)),_xlpm.pace,MIN($B$23,(100-_xlpm.cert)/_xlpm.n),_xlpm.c,MIN(100,_xlpm.cert+_xlpm.pace*$B$27),IF(_xlpm.c&gt;=100,1,$B$20+(1-$B$20-$B$21)*_xlpm.c/100)*MIN(1,_xlpm.c/100)*(1-$B$22))</f>
        <v>0.16153112362291666</v>
      </c>
      <c r="G87" s="86">
        <f>_xlfn.LET(_xlpm.d,G$56,_xlpm.cert,Simulator!$H38,_xlpm.regd,Simulator!$I38,_xlpm.compl,IF(_xlpm.regd="",EDATE($B$26,$B$25+_xlpm.d),IF(_xlpm.regd&lt;$B$26,EDATE($B$26,$B$24+_xlpm.d),EDATE(_xlpm.regd,_xlpm.d))),_xlpm.n,MAX(1,(YEAR(_xlpm.compl)-YEAR($B$26))*12+MONTH(_xlpm.compl)-MONTH($B$26)),_xlpm.pace,MIN($B$23,(100-_xlpm.cert)/_xlpm.n),_xlpm.c,MIN(100,_xlpm.cert+_xlpm.pace*$B$27),IF(_xlpm.c&gt;=100,1,$B$20+(1-$B$20-$B$21)*_xlpm.c/100)*MIN(1,_xlpm.c/100)*(1-$B$22))</f>
        <v>0.14670344060499405</v>
      </c>
      <c r="H87" s="86">
        <f>_xlfn.LET(_xlpm.d,H$56,_xlpm.cert,Simulator!$H38,_xlpm.regd,Simulator!$I38,_xlpm.compl,IF(_xlpm.regd="",EDATE($B$26,$B$25+_xlpm.d),IF(_xlpm.regd&lt;$B$26,EDATE($B$26,$B$24+_xlpm.d),EDATE(_xlpm.regd,_xlpm.d))),_xlpm.n,MAX(1,(YEAR(_xlpm.compl)-YEAR($B$26))*12+MONTH(_xlpm.compl)-MONTH($B$26)),_xlpm.pace,MIN($B$23,(100-_xlpm.cert)/_xlpm.n),_xlpm.c,MIN(100,_xlpm.cert+_xlpm.pace*$B$27),IF(_xlpm.c&gt;=100,1,$B$20+(1-$B$20-$B$21)*_xlpm.c/100)*MIN(1,_xlpm.c/100)*(1-$B$22))</f>
        <v>0.13665577147993083</v>
      </c>
      <c r="I87" s="86">
        <f>_xlfn.LET(_xlpm.d,I$56,_xlpm.cert,Simulator!$H38,_xlpm.regd,Simulator!$I38,_xlpm.compl,IF(_xlpm.regd="",EDATE($B$26,$B$25+_xlpm.d),IF(_xlpm.regd&lt;$B$26,EDATE($B$26,$B$24+_xlpm.d),EDATE(_xlpm.regd,_xlpm.d))),_xlpm.n,MAX(1,(YEAR(_xlpm.compl)-YEAR($B$26))*12+MONTH(_xlpm.compl)-MONTH($B$26)),_xlpm.pace,MIN($B$23,(100-_xlpm.cert)/_xlpm.n),_xlpm.c,MIN(100,_xlpm.cert+_xlpm.pace*$B$27),IF(_xlpm.c&gt;=100,1,$B$20+(1-$B$20-$B$21)*_xlpm.c/100)*MIN(1,_xlpm.c/100)*(1-$B$22))</f>
        <v>0.12940917952189349</v>
      </c>
      <c r="J87" s="86">
        <f>_xlfn.LET(_xlpm.d,J$56,_xlpm.cert,Simulator!$H38,_xlpm.regd,Simulator!$I38,_xlpm.compl,IF(_xlpm.regd="",EDATE($B$26,$B$25+_xlpm.d),IF(_xlpm.regd&lt;$B$26,EDATE($B$26,$B$24+_xlpm.d),EDATE(_xlpm.regd,_xlpm.d))),_xlpm.n,MAX(1,(YEAR(_xlpm.compl)-YEAR($B$26))*12+MONTH(_xlpm.compl)-MONTH($B$26)),_xlpm.pace,MIN($B$23,(100-_xlpm.cert)/_xlpm.n),_xlpm.c,MIN(100,_xlpm.cert+_xlpm.pace*$B$27),IF(_xlpm.c&gt;=100,1,$B$20+(1-$B$20-$B$21)*_xlpm.c/100)*MIN(1,_xlpm.c/100)*(1-$B$22))</f>
        <v>0.1239408389539256</v>
      </c>
      <c r="K87" s="86">
        <f>_xlfn.LET(_xlpm.d,K$56,_xlpm.cert,Simulator!$H38,_xlpm.regd,Simulator!$I38,_xlpm.compl,IF(_xlpm.regd="",EDATE($B$26,$B$25+_xlpm.d),IF(_xlpm.regd&lt;$B$26,EDATE($B$26,$B$24+_xlpm.d),EDATE(_xlpm.regd,_xlpm.d))),_xlpm.n,MAX(1,(YEAR(_xlpm.compl)-YEAR($B$26))*12+MONTH(_xlpm.compl)-MONTH($B$26)),_xlpm.pace,MIN($B$23,(100-_xlpm.cert)/_xlpm.n),_xlpm.c,MIN(100,_xlpm.cert+_xlpm.pace*$B$27),IF(_xlpm.c&gt;=100,1,$B$20+(1-$B$20-$B$21)*_xlpm.c/100)*MIN(1,_xlpm.c/100)*(1-$B$22))</f>
        <v>0.11967029500907955</v>
      </c>
      <c r="L87" s="86">
        <f>_xlfn.LET(_xlpm.d,L$56,_xlpm.cert,Simulator!$H38,_xlpm.regd,Simulator!$I38,_xlpm.compl,IF(_xlpm.regd="",EDATE($B$26,$B$25+_xlpm.d),IF(_xlpm.regd&lt;$B$26,EDATE($B$26,$B$24+_xlpm.d),EDATE(_xlpm.regd,_xlpm.d))),_xlpm.n,MAX(1,(YEAR(_xlpm.compl)-YEAR($B$26))*12+MONTH(_xlpm.compl)-MONTH($B$26)),_xlpm.pace,MIN($B$23,(100-_xlpm.cert)/_xlpm.n),_xlpm.c,MIN(100,_xlpm.cert+_xlpm.pace*$B$27),IF(_xlpm.c&gt;=100,1,$B$20+(1-$B$20-$B$21)*_xlpm.c/100)*MIN(1,_xlpm.c/100)*(1-$B$22))</f>
        <v>0.11624420588436216</v>
      </c>
    </row>
    <row r="88" spans="1:12" ht="17.25" customHeight="1" outlineLevel="1" x14ac:dyDescent="0.2">
      <c r="A88" s="35" t="str">
        <f>Simulator!A39</f>
        <v>2961</v>
      </c>
      <c r="B88" s="35" t="str">
        <f>Simulator!B39</f>
        <v>Binghatti Royale</v>
      </c>
      <c r="C88" s="85">
        <f>Simulator!J39</f>
        <v>460.30925500000001</v>
      </c>
      <c r="D88" s="85">
        <f>Simulator!K39*Simulator!G39/1000000*$B$18*(1+$B$19)</f>
        <v>79.872476999999989</v>
      </c>
      <c r="E88" s="85">
        <f>Simulator!$J39*IF(Simulator!$H39&gt;=100,1,$B$20+(1-$B$20-$B$21)*Simulator!$H39/100)*MIN(1,Simulator!$H39/100)*(1-$B$22)</f>
        <v>40.628234208139283</v>
      </c>
      <c r="F88" s="86">
        <f>_xlfn.LET(_xlpm.d,F$56,_xlpm.cert,Simulator!$H39,_xlpm.regd,Simulator!$I39,_xlpm.compl,IF(_xlpm.regd="",EDATE($B$26,$B$25+_xlpm.d),IF(_xlpm.regd&lt;$B$26,EDATE($B$26,$B$24+_xlpm.d),EDATE(_xlpm.regd,_xlpm.d))),_xlpm.n,MAX(1,(YEAR(_xlpm.compl)-YEAR($B$26))*12+MONTH(_xlpm.compl)-MONTH($B$26)),_xlpm.pace,MIN($B$23,(100-_xlpm.cert)/_xlpm.n),_xlpm.c,MIN(100,_xlpm.cert+_xlpm.pace*$B$27),IF(_xlpm.c&gt;=100,1,$B$20+(1-$B$20-$B$21)*_xlpm.c/100)*MIN(1,_xlpm.c/100)*(1-$B$22))</f>
        <v>0.16480530017656247</v>
      </c>
      <c r="G88" s="86">
        <f>_xlfn.LET(_xlpm.d,G$56,_xlpm.cert,Simulator!$H39,_xlpm.regd,Simulator!$I39,_xlpm.compl,IF(_xlpm.regd="",EDATE($B$26,$B$25+_xlpm.d),IF(_xlpm.regd&lt;$B$26,EDATE($B$26,$B$24+_xlpm.d),EDATE(_xlpm.regd,_xlpm.d))),_xlpm.n,MAX(1,(YEAR(_xlpm.compl)-YEAR($B$26))*12+MONTH(_xlpm.compl)-MONTH($B$26)),_xlpm.pace,MIN($B$23,(100-_xlpm.cert)/_xlpm.n),_xlpm.c,MIN(100,_xlpm.cert+_xlpm.pace*$B$27),IF(_xlpm.c&gt;=100,1,$B$20+(1-$B$20-$B$21)*_xlpm.c/100)*MIN(1,_xlpm.c/100)*(1-$B$22))</f>
        <v>0.14997076811795479</v>
      </c>
      <c r="H88" s="86">
        <f>_xlfn.LET(_xlpm.d,H$56,_xlpm.cert,Simulator!$H39,_xlpm.regd,Simulator!$I39,_xlpm.compl,IF(_xlpm.regd="",EDATE($B$26,$B$25+_xlpm.d),IF(_xlpm.regd&lt;$B$26,EDATE($B$26,$B$24+_xlpm.d),EDATE(_xlpm.regd,_xlpm.d))),_xlpm.n,MAX(1,(YEAR(_xlpm.compl)-YEAR($B$26))*12+MONTH(_xlpm.compl)-MONTH($B$26)),_xlpm.pace,MIN($B$23,(100-_xlpm.cert)/_xlpm.n),_xlpm.c,MIN(100,_xlpm.cert+_xlpm.pace*$B$27),IF(_xlpm.c&gt;=100,1,$B$20+(1-$B$20-$B$21)*_xlpm.c/100)*MIN(1,_xlpm.c/100)*(1-$B$22))</f>
        <v>0.13991014235095159</v>
      </c>
      <c r="I88" s="86">
        <f>_xlfn.LET(_xlpm.d,I$56,_xlpm.cert,Simulator!$H39,_xlpm.regd,Simulator!$I39,_xlpm.compl,IF(_xlpm.regd="",EDATE($B$26,$B$25+_xlpm.d),IF(_xlpm.regd&lt;$B$26,EDATE($B$26,$B$24+_xlpm.d),EDATE(_xlpm.regd,_xlpm.d))),_xlpm.n,MAX(1,(YEAR(_xlpm.compl)-YEAR($B$26))*12+MONTH(_xlpm.compl)-MONTH($B$26)),_xlpm.pace,MIN($B$23,(100-_xlpm.cert)/_xlpm.n),_xlpm.c,MIN(100,_xlpm.cert+_xlpm.pace*$B$27),IF(_xlpm.c&gt;=100,1,$B$20+(1-$B$20-$B$21)*_xlpm.c/100)*MIN(1,_xlpm.c/100)*(1-$B$22))</f>
        <v>0.13264955858856017</v>
      </c>
      <c r="J88" s="86">
        <f>_xlfn.LET(_xlpm.d,J$56,_xlpm.cert,Simulator!$H39,_xlpm.regd,Simulator!$I39,_xlpm.compl,IF(_xlpm.regd="",EDATE($B$26,$B$25+_xlpm.d),IF(_xlpm.regd&lt;$B$26,EDATE($B$26,$B$24+_xlpm.d),EDATE(_xlpm.regd,_xlpm.d))),_xlpm.n,MAX(1,(YEAR(_xlpm.compl)-YEAR($B$26))*12+MONTH(_xlpm.compl)-MONTH($B$26)),_xlpm.pace,MIN($B$23,(100-_xlpm.cert)/_xlpm.n),_xlpm.c,MIN(100,_xlpm.cert+_xlpm.pace*$B$27),IF(_xlpm.c&gt;=100,1,$B$20+(1-$B$20-$B$21)*_xlpm.c/100)*MIN(1,_xlpm.c/100)*(1-$B$22))</f>
        <v>0.12716786061658059</v>
      </c>
      <c r="K88" s="86">
        <f>_xlfn.LET(_xlpm.d,K$56,_xlpm.cert,Simulator!$H39,_xlpm.regd,Simulator!$I39,_xlpm.compl,IF(_xlpm.regd="",EDATE($B$26,$B$25+_xlpm.d),IF(_xlpm.regd&lt;$B$26,EDATE($B$26,$B$24+_xlpm.d),EDATE(_xlpm.regd,_xlpm.d))),_xlpm.n,MAX(1,(YEAR(_xlpm.compl)-YEAR($B$26))*12+MONTH(_xlpm.compl)-MONTH($B$26)),_xlpm.pace,MIN($B$23,(100-_xlpm.cert)/_xlpm.n),_xlpm.c,MIN(100,_xlpm.cert+_xlpm.pace*$B$27),IF(_xlpm.c&gt;=100,1,$B$20+(1-$B$20-$B$21)*_xlpm.c/100)*MIN(1,_xlpm.c/100)*(1-$B$22))</f>
        <v>0.12288509920000001</v>
      </c>
      <c r="L88" s="86">
        <f>_xlfn.LET(_xlpm.d,L$56,_xlpm.cert,Simulator!$H39,_xlpm.regd,Simulator!$I39,_xlpm.compl,IF(_xlpm.regd="",EDATE($B$26,$B$25+_xlpm.d),IF(_xlpm.regd&lt;$B$26,EDATE($B$26,$B$24+_xlpm.d),EDATE(_xlpm.regd,_xlpm.d))),_xlpm.n,MAX(1,(YEAR(_xlpm.compl)-YEAR($B$26))*12+MONTH(_xlpm.compl)-MONTH($B$26)),_xlpm.pace,MIN($B$23,(100-_xlpm.cert)/_xlpm.n),_xlpm.c,MIN(100,_xlpm.cert+_xlpm.pace*$B$27),IF(_xlpm.c&gt;=100,1,$B$20+(1-$B$20-$B$21)*_xlpm.c/100)*MIN(1,_xlpm.c/100)*(1-$B$22))</f>
        <v>0.11944801566862141</v>
      </c>
    </row>
    <row r="89" spans="1:12" ht="17.25" customHeight="1" outlineLevel="1" x14ac:dyDescent="0.2">
      <c r="A89" s="35"/>
      <c r="B89" s="87" t="s">
        <v>673</v>
      </c>
      <c r="C89" s="88">
        <f>SUM(C57:C88)</f>
        <v>37362.292240999996</v>
      </c>
      <c r="D89" s="88">
        <f>SUM(D57:D88)</f>
        <v>3626.5162745999996</v>
      </c>
      <c r="E89" s="88">
        <f>SUM(E57:E88)</f>
        <v>4153.2761834554267</v>
      </c>
      <c r="F89" s="35"/>
      <c r="G89" s="35"/>
      <c r="H89" s="35"/>
      <c r="I89" s="35"/>
      <c r="J89" s="35"/>
      <c r="K89" s="35"/>
      <c r="L89" s="35"/>
    </row>
    <row r="90" spans="1:12" x14ac:dyDescent="0.2">
      <c r="A90" s="35"/>
      <c r="B90" s="35"/>
      <c r="C90" s="35"/>
      <c r="D90" s="35"/>
      <c r="E90" s="35"/>
      <c r="F90" s="35"/>
      <c r="G90" s="35"/>
      <c r="H90" s="35"/>
      <c r="I90" s="35"/>
      <c r="J90" s="35"/>
      <c r="K90" s="35"/>
      <c r="L90" s="35"/>
    </row>
  </sheetData>
  <mergeCells count="18">
    <mergeCell ref="A1:I1"/>
    <mergeCell ref="A53:I53"/>
    <mergeCell ref="A54:I54"/>
    <mergeCell ref="A55:I55"/>
    <mergeCell ref="A7:I7"/>
    <mergeCell ref="A8:I8"/>
    <mergeCell ref="C9:I9"/>
    <mergeCell ref="C10:I10"/>
    <mergeCell ref="C11:I11"/>
    <mergeCell ref="C12:I12"/>
    <mergeCell ref="C13:I13"/>
    <mergeCell ref="C51:I51"/>
    <mergeCell ref="A2:I2"/>
    <mergeCell ref="A5:I5"/>
    <mergeCell ref="A6:I6"/>
    <mergeCell ref="A32:I32"/>
    <mergeCell ref="A33:I33"/>
    <mergeCell ref="C14:I14"/>
  </mergeCells>
  <conditionalFormatting sqref="C36:I42">
    <cfRule type="cellIs" dxfId="9" priority="1" operator="lessThanOrEqual">
      <formula>1</formula>
    </cfRule>
  </conditionalFormatting>
  <conditionalFormatting sqref="C36:I42">
    <cfRule type="cellIs" dxfId="8" priority="2" operator="between">
      <formula>1</formula>
      <formula>1.5</formula>
    </cfRule>
  </conditionalFormatting>
  <conditionalFormatting sqref="C36:I42">
    <cfRule type="cellIs" dxfId="7" priority="3" operator="greaterThan">
      <formula>1.5</formula>
    </cfRule>
  </conditionalFormatting>
  <printOptions horizontalCentered="1"/>
  <pageMargins left="0.7" right="0.7" top="0.75" bottom="0.75" header="0.3" footer="0.3"/>
  <pageSetup paperSize="0" scale="53" fitToHeight="0" orientation="landscape"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33B47-1C3F-544C-BF34-60C704003F6E}">
  <sheetPr>
    <tabColor rgb="FFE36C0A"/>
    <pageSetUpPr fitToPage="1"/>
  </sheetPr>
  <dimension ref="A1:BO140"/>
  <sheetViews>
    <sheetView showGridLines="0" workbookViewId="0">
      <pane xSplit="2" topLeftCell="C1" activePane="topRight" state="frozen"/>
      <selection pane="topRight" sqref="A1:I1"/>
    </sheetView>
  </sheetViews>
  <sheetFormatPr baseColWidth="10" defaultRowHeight="15" outlineLevelCol="1" x14ac:dyDescent="0.2"/>
  <cols>
    <col min="1" max="1" width="50" customWidth="1"/>
    <col min="2" max="2" width="17.5" customWidth="1"/>
    <col min="3" max="9" width="14.6640625" customWidth="1"/>
    <col min="10" max="66" width="12" hidden="1" customWidth="1" outlineLevel="1"/>
    <col min="67" max="67" width="10.83203125" collapsed="1"/>
  </cols>
  <sheetData>
    <row r="1" spans="1:66" ht="28" customHeight="1" x14ac:dyDescent="0.2">
      <c r="A1" s="339" t="s">
        <v>718</v>
      </c>
      <c r="B1" s="339"/>
      <c r="C1" s="339"/>
      <c r="D1" s="339"/>
      <c r="E1" s="339"/>
      <c r="F1" s="339"/>
      <c r="G1" s="339"/>
      <c r="H1" s="339"/>
      <c r="I1" s="33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row>
    <row r="2" spans="1:66" ht="18.25" customHeight="1" x14ac:dyDescent="0.2">
      <c r="A2" s="116" t="s">
        <v>719</v>
      </c>
      <c r="B2" s="116"/>
      <c r="C2" s="116"/>
      <c r="D2" s="116"/>
      <c r="E2" s="116"/>
      <c r="F2" s="116"/>
      <c r="G2" s="116"/>
      <c r="H2" s="116"/>
      <c r="I2" s="116"/>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row>
    <row r="3" spans="1:66" x14ac:dyDescent="0.2">
      <c r="A3" s="29"/>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row>
    <row r="4" spans="1:66" ht="18.5" customHeight="1" x14ac:dyDescent="0.2">
      <c r="A4" s="345" t="s">
        <v>720</v>
      </c>
      <c r="B4" s="345"/>
      <c r="C4" s="345"/>
      <c r="D4" s="345"/>
      <c r="E4" s="345"/>
      <c r="F4" s="345"/>
      <c r="G4" s="345"/>
      <c r="H4" s="345"/>
      <c r="I4" s="345"/>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row>
    <row r="5" spans="1:66" ht="44.5" customHeight="1" x14ac:dyDescent="0.2">
      <c r="A5" s="102" t="s">
        <v>721</v>
      </c>
      <c r="B5" s="102"/>
      <c r="C5" s="102"/>
      <c r="D5" s="102"/>
      <c r="E5" s="102"/>
      <c r="F5" s="102"/>
      <c r="G5" s="102"/>
      <c r="H5" s="102"/>
      <c r="I5" s="102"/>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row>
    <row r="6" spans="1:66" ht="31.5" customHeight="1" x14ac:dyDescent="0.2">
      <c r="A6" s="102" t="s">
        <v>722</v>
      </c>
      <c r="B6" s="102"/>
      <c r="C6" s="102"/>
      <c r="D6" s="102"/>
      <c r="E6" s="102"/>
      <c r="F6" s="102"/>
      <c r="G6" s="102"/>
      <c r="H6" s="102"/>
      <c r="I6" s="102"/>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row>
    <row r="7" spans="1:66" ht="31.5" customHeight="1" x14ac:dyDescent="0.2">
      <c r="A7" s="102" t="s">
        <v>723</v>
      </c>
      <c r="B7" s="102"/>
      <c r="C7" s="102"/>
      <c r="D7" s="102"/>
      <c r="E7" s="102"/>
      <c r="F7" s="102"/>
      <c r="G7" s="102"/>
      <c r="H7" s="102"/>
      <c r="I7" s="102"/>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row>
    <row r="8" spans="1:66" ht="20" customHeight="1" x14ac:dyDescent="0.2">
      <c r="A8" s="353" t="s">
        <v>771</v>
      </c>
      <c r="B8" s="353"/>
      <c r="C8" s="353"/>
      <c r="D8" s="353"/>
      <c r="E8" s="353"/>
      <c r="F8" s="353"/>
      <c r="G8" s="353"/>
      <c r="H8" s="353"/>
      <c r="I8" s="353"/>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row>
    <row r="9" spans="1:66" ht="44.5" customHeight="1" x14ac:dyDescent="0.2">
      <c r="A9" s="260" t="str" cm="1">
        <f t="array" ref="A9">_xlfn.LET(_xlpm.n,COUNTIF($F$94:$F$101,"&lt;1"),_xlpm.k,COUNTIF($F$94:$F$101,"&gt;=1"),_xlpm.g,SUMIF($F$94:$F$101,"&lt;1",$G$94:$G$101),_xlpm.lastd,MAX(($G$94:$G$101&gt;0)*$B$94:$B$101),IF(_xlpm.n=0,"All eight maturities to 2031 are met from modelled cash. Conditional on the three derived assumptions listed on the Cover.","On the register as it stands, "&amp;_xlpm.n&amp;IF(_xlpm.n=1," of"," of")&amp;" the eight maturities to 2031 "&amp;IF(_xlpm.n=1,"is","are")&amp;" not met from modelled cash and "&amp;_xlpm.k&amp;IF(_xlpm.k=1," is"," are")&amp;". The shortfall totals AED "&amp;TEXT(_xlpm.g,"#,##0")&amp;" m and falls on the earliest maturities, the last of them "&amp;TEXT(_xlpm.lastd,"mmm yyyy")&amp;". This is conditional: cost to complete, the bank rate and the register's progress readings are all derived rather than disclosed, and each reverses the result on its own."))</f>
        <v>On the register as it stands, 2 of the eight maturities to 2031 are not met from modelled cash and 6 are. The shortfall totals AED 551 m and falls on the earliest maturities, the last of them Feb 2027. This is conditional: cost to complete, the bank rate and the register's progress readings are all derived rather than disclosed, and each reverses the result on its own.</v>
      </c>
      <c r="B9" s="260"/>
      <c r="C9" s="260"/>
      <c r="D9" s="260"/>
      <c r="E9" s="260"/>
      <c r="F9" s="260"/>
      <c r="G9" s="260"/>
      <c r="H9" s="260"/>
      <c r="I9" s="260"/>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row>
    <row r="10" spans="1:66" x14ac:dyDescent="0.2">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row>
    <row r="11" spans="1:66" ht="17.25" customHeight="1" x14ac:dyDescent="0.2">
      <c r="A11" s="32" t="s">
        <v>772</v>
      </c>
      <c r="B11" s="252">
        <f>MIN($C$71:$BN$71)</f>
        <v>-362.54874739735908</v>
      </c>
      <c r="C11" s="3" t="s">
        <v>773</v>
      </c>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row>
    <row r="12" spans="1:66" ht="17.25" customHeight="1" x14ac:dyDescent="0.2">
      <c r="A12" s="32" t="s">
        <v>774</v>
      </c>
      <c r="B12" s="283">
        <f>INDEX($C$58:$BN$58,1,MATCH(MIN($C$71:$BN$71),$C$71:$BN$71,0))</f>
        <v>46419</v>
      </c>
      <c r="C12" s="3" t="s">
        <v>775</v>
      </c>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row>
    <row r="13" spans="1:66" ht="17.25" customHeight="1" x14ac:dyDescent="0.2">
      <c r="A13" s="32" t="s">
        <v>776</v>
      </c>
      <c r="B13" s="252">
        <f>D86</f>
        <v>13112.827582219596</v>
      </c>
      <c r="C13" s="3" t="str">
        <f>"AED m at end 2027, after "&amp;TEXT(D89,"0")&amp;" towers complete in the year"</f>
        <v>AED m at end 2027, after 24 towers complete in the year</v>
      </c>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row>
    <row r="14" spans="1:66" ht="44.5" customHeight="1" x14ac:dyDescent="0.2">
      <c r="A14" s="245" t="str">
        <f>"Why this differs from the escrow headroom measure in Dashboard section 1, which reads "&amp;TEXT(Dashboard!$F$17,"0.00")&amp;_xlfn._LONGTEXT("x on the same sukuk: that ratio credits the full escrow release against debt and deducts neither construction cost nor profit payments. Escrow money is released to build. Once cost to complete and debt service are taken out, the near-term picture reverses",". The Dashboard verdict band, the Cover table and this sheet all now report the cash test and agree.")</f>
        <v>Why this differs from the escrow headroom measure in Dashboard section 1, which reads 3.79x on the same sukuk: that ratio credits the full escrow release against debt and deducts neither construction cost nor profit payments. Escrow money is released to build. Once cost to complete and debt service are taken out, the near-term picture reverses. The Dashboard verdict band, the Cover table and this sheet all now report the cash test and agree.</v>
      </c>
      <c r="B14" s="245"/>
      <c r="C14" s="245"/>
      <c r="D14" s="245"/>
      <c r="E14" s="245"/>
      <c r="F14" s="245"/>
      <c r="G14" s="245"/>
      <c r="H14" s="245"/>
      <c r="I14" s="245"/>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row>
    <row r="15" spans="1:66" x14ac:dyDescent="0.2">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row>
    <row r="16" spans="1:66" ht="18.5" customHeight="1" x14ac:dyDescent="0.2">
      <c r="A16" s="345" t="s">
        <v>724</v>
      </c>
      <c r="B16" s="345"/>
      <c r="C16" s="345"/>
      <c r="D16" s="345"/>
      <c r="E16" s="345"/>
      <c r="F16" s="345"/>
      <c r="G16" s="345"/>
      <c r="H16" s="345"/>
      <c r="I16" s="345"/>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row>
    <row r="17" spans="1:66" ht="17.25" customHeight="1" x14ac:dyDescent="0.2">
      <c r="A17" s="275" t="s">
        <v>61</v>
      </c>
      <c r="B17" s="230" t="s">
        <v>654</v>
      </c>
      <c r="C17" s="337" t="s">
        <v>655</v>
      </c>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row>
    <row r="18" spans="1:66" ht="17.25" customHeight="1" x14ac:dyDescent="0.2">
      <c r="A18" s="238" t="s">
        <v>725</v>
      </c>
      <c r="B18" s="290">
        <f>Simulator!$C$3</f>
        <v>46275</v>
      </c>
      <c r="C18" s="157" t="s">
        <v>726</v>
      </c>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row>
    <row r="19" spans="1:66" ht="64.5" customHeight="1" x14ac:dyDescent="0.2">
      <c r="A19" s="238" t="s">
        <v>727</v>
      </c>
      <c r="B19" s="291">
        <f>Dashboard!$C$17</f>
        <v>686.5758979755999</v>
      </c>
      <c r="C19" s="163" t="s">
        <v>947</v>
      </c>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row>
    <row r="20" spans="1:66" ht="17.25" customHeight="1" x14ac:dyDescent="0.2">
      <c r="A20" s="238" t="s">
        <v>707</v>
      </c>
      <c r="B20" s="292">
        <f>Scenarios!$F$15</f>
        <v>0.55000000000000004</v>
      </c>
      <c r="C20" s="157" t="s">
        <v>728</v>
      </c>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row>
    <row r="21" spans="1:66" ht="17.25" customHeight="1" x14ac:dyDescent="0.2">
      <c r="A21" s="238" t="s">
        <v>849</v>
      </c>
      <c r="B21" s="295">
        <f>Scenarios!$F$16+Scenarios!$F$17</f>
        <v>6.5799999999999997E-2</v>
      </c>
      <c r="C21" s="157" t="s">
        <v>728</v>
      </c>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row>
    <row r="22" spans="1:66" ht="123.75" customHeight="1" x14ac:dyDescent="0.2">
      <c r="A22" s="238" t="s">
        <v>850</v>
      </c>
      <c r="B22" s="293" t="s">
        <v>851</v>
      </c>
      <c r="C22" s="297" t="s">
        <v>852</v>
      </c>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row>
    <row r="23" spans="1:66" ht="17.25" customHeight="1" x14ac:dyDescent="0.2">
      <c r="A23" s="238" t="s">
        <v>729</v>
      </c>
      <c r="B23" s="294" t="str">
        <f>Scenarios!$F$18</f>
        <v>No</v>
      </c>
      <c r="C23" s="157" t="s">
        <v>728</v>
      </c>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row>
    <row r="24" spans="1:66" ht="17.25" customHeight="1" x14ac:dyDescent="0.2">
      <c r="A24" s="238" t="s">
        <v>730</v>
      </c>
      <c r="B24" s="295">
        <f>Scenarios!$F$19</f>
        <v>0.02</v>
      </c>
      <c r="C24" s="157" t="s">
        <v>728</v>
      </c>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row>
    <row r="25" spans="1:66" ht="17.25" customHeight="1" x14ac:dyDescent="0.2">
      <c r="A25" s="238" t="s">
        <v>731</v>
      </c>
      <c r="B25" s="292">
        <f>Scenarios!$F$13</f>
        <v>0.05</v>
      </c>
      <c r="C25" s="157" t="s">
        <v>728</v>
      </c>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row>
    <row r="26" spans="1:66" ht="17.25" customHeight="1" x14ac:dyDescent="0.2">
      <c r="A26" s="238" t="s">
        <v>732</v>
      </c>
      <c r="B26" s="296">
        <v>12</v>
      </c>
      <c r="C26" s="157" t="s">
        <v>733</v>
      </c>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row>
    <row r="27" spans="1:66" ht="17.25" customHeight="1" x14ac:dyDescent="0.2">
      <c r="A27" s="238" t="s">
        <v>734</v>
      </c>
      <c r="B27" s="296">
        <v>64</v>
      </c>
      <c r="C27" s="157" t="s">
        <v>735</v>
      </c>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row>
    <row r="28" spans="1:66" x14ac:dyDescent="0.2">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row>
    <row r="29" spans="1:66" ht="18.5" customHeight="1" x14ac:dyDescent="0.2">
      <c r="A29" s="345" t="s">
        <v>736</v>
      </c>
      <c r="B29" s="345"/>
      <c r="C29" s="345"/>
      <c r="D29" s="345"/>
      <c r="E29" s="345"/>
      <c r="F29" s="345"/>
      <c r="G29" s="345"/>
      <c r="H29" s="345"/>
      <c r="I29" s="345"/>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row>
    <row r="30" spans="1:66" ht="31.5" customHeight="1" x14ac:dyDescent="0.2">
      <c r="A30" s="102" t="s">
        <v>737</v>
      </c>
      <c r="B30" s="102"/>
      <c r="C30" s="102"/>
      <c r="D30" s="102"/>
      <c r="E30" s="102"/>
      <c r="F30" s="102"/>
      <c r="G30" s="102"/>
      <c r="H30" s="1"/>
      <c r="I30" s="102"/>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row>
    <row r="31" spans="1:66" ht="17.25" customHeight="1" x14ac:dyDescent="0.2">
      <c r="A31" s="275" t="s">
        <v>189</v>
      </c>
      <c r="B31" s="230" t="s">
        <v>191</v>
      </c>
      <c r="C31" s="230" t="s">
        <v>738</v>
      </c>
      <c r="D31" s="230" t="s">
        <v>739</v>
      </c>
      <c r="E31" s="230" t="s">
        <v>196</v>
      </c>
      <c r="F31" s="230" t="s">
        <v>740</v>
      </c>
      <c r="G31" s="230" t="s">
        <v>741</v>
      </c>
      <c r="H31" s="333" t="s">
        <v>854</v>
      </c>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row>
    <row r="32" spans="1:66" ht="17.25" customHeight="1" x14ac:dyDescent="0.2">
      <c r="A32" s="238" t="str">
        <f>Debt!A6</f>
        <v>9.625% sukuk due 28 Feb 2027</v>
      </c>
      <c r="B32" s="238" t="str">
        <f>Debt!C6</f>
        <v>Sukuk</v>
      </c>
      <c r="C32" s="233">
        <f>Debt!E6</f>
        <v>1836.25</v>
      </c>
      <c r="D32" s="298">
        <f>IF(Debt!F6="",$B$21,Debt!F6)</f>
        <v>9.6250000000000002E-2</v>
      </c>
      <c r="E32" s="299">
        <f>Debt!H6</f>
        <v>46446</v>
      </c>
      <c r="F32" s="233">
        <f>C32*D32</f>
        <v>176.73906250000002</v>
      </c>
      <c r="G32" s="300">
        <f>(YEAR(E32)-YEAR($B$18))*12+MONTH(E32)-MONTH($B$18)</f>
        <v>5</v>
      </c>
      <c r="H32" s="157" t="str">
        <f>IF(Debt!F6="","derived, section 3b","actual coupon, offering circular")</f>
        <v>actual coupon, offering circular</v>
      </c>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row>
    <row r="33" spans="1:66" ht="17.25" customHeight="1" x14ac:dyDescent="0.2">
      <c r="A33" s="238" t="str">
        <f>Debt!A7</f>
        <v>7.75% green sukuk due 2 Jul 2029</v>
      </c>
      <c r="B33" s="238" t="str">
        <f>Debt!C7</f>
        <v>Sukuk</v>
      </c>
      <c r="C33" s="233">
        <f>Debt!E7</f>
        <v>1836.25</v>
      </c>
      <c r="D33" s="298">
        <f>IF(Debt!F7="",$B$21,Debt!F7)</f>
        <v>7.7499999999999999E-2</v>
      </c>
      <c r="E33" s="299">
        <f>Debt!H7</f>
        <v>47301</v>
      </c>
      <c r="F33" s="233">
        <f t="shared" ref="F33:F39" si="0">C33*D33</f>
        <v>142.30937499999999</v>
      </c>
      <c r="G33" s="300">
        <f t="shared" ref="G33:G39" si="1">(YEAR(E33)-YEAR($B$18))*12+MONTH(E33)-MONTH($B$18)</f>
        <v>34</v>
      </c>
      <c r="H33" s="157" t="str">
        <f>IF(Debt!F7="","derived, section 3b","actual coupon, offering circular")</f>
        <v>actual coupon, offering circular</v>
      </c>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row>
    <row r="34" spans="1:66" ht="17.25" customHeight="1" x14ac:dyDescent="0.2">
      <c r="A34" s="238" t="str">
        <f>Debt!A8</f>
        <v>8.125% sukuk due 7 Aug 2030</v>
      </c>
      <c r="B34" s="238" t="str">
        <f>Debt!C8</f>
        <v>Sukuk</v>
      </c>
      <c r="C34" s="233">
        <f>Debt!E8</f>
        <v>1836.25</v>
      </c>
      <c r="D34" s="298">
        <f>IF(Debt!F8="",$B$21,Debt!F8)</f>
        <v>8.1250000000000003E-2</v>
      </c>
      <c r="E34" s="299">
        <f>Debt!H8</f>
        <v>47702</v>
      </c>
      <c r="F34" s="233">
        <f t="shared" si="0"/>
        <v>149.1953125</v>
      </c>
      <c r="G34" s="300">
        <f t="shared" si="1"/>
        <v>47</v>
      </c>
      <c r="H34" s="157" t="str">
        <f>IF(Debt!F8="","derived, section 3b","actual coupon, offering circular")</f>
        <v>actual coupon, offering circular</v>
      </c>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row>
    <row r="35" spans="1:66" ht="17.25" customHeight="1" x14ac:dyDescent="0.2">
      <c r="A35" s="238" t="str">
        <f>Debt!A9</f>
        <v>8.375% sukuk due 12 Aug 2031</v>
      </c>
      <c r="B35" s="238" t="str">
        <f>Debt!C9</f>
        <v>Sukuk</v>
      </c>
      <c r="C35" s="233">
        <f>Debt!E9</f>
        <v>1836.25</v>
      </c>
      <c r="D35" s="298">
        <f>IF(Debt!F9="",$B$51,Debt!F9)</f>
        <v>8.3750000000000005E-2</v>
      </c>
      <c r="E35" s="299">
        <f>Debt!H9</f>
        <v>48072</v>
      </c>
      <c r="F35" s="233">
        <f t="shared" si="0"/>
        <v>153.78593750000002</v>
      </c>
      <c r="G35" s="300">
        <f t="shared" si="1"/>
        <v>59</v>
      </c>
      <c r="H35" s="157" t="str">
        <f>IF(Debt!F9="","derived, section 3b","actual coupon, offering circular")</f>
        <v>actual coupon, offering circular</v>
      </c>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row>
    <row r="36" spans="1:66" ht="17.25" customHeight="1" x14ac:dyDescent="0.2">
      <c r="A36" s="238" t="str">
        <f>Debt!A10</f>
        <v>Secured bank debt — due H2 2026</v>
      </c>
      <c r="B36" s="238" t="str">
        <f>Debt!C10</f>
        <v>Bank</v>
      </c>
      <c r="C36" s="233">
        <f>Debt!E10</f>
        <v>1031.9724999999999</v>
      </c>
      <c r="D36" s="298">
        <f>IF(Debt!F10="",$B$51,Debt!F10)</f>
        <v>9.7691708762201374E-2</v>
      </c>
      <c r="E36" s="299">
        <f>Debt!H10</f>
        <v>46387</v>
      </c>
      <c r="F36" s="233">
        <f t="shared" si="0"/>
        <v>100.81515692060084</v>
      </c>
      <c r="G36" s="300">
        <f t="shared" si="1"/>
        <v>3</v>
      </c>
      <c r="H36" s="157" t="str">
        <f>IF(Debt!F10="","derived, section 3b","actual coupon, offering circular")</f>
        <v>derived, section 3b</v>
      </c>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row>
    <row r="37" spans="1:66" ht="17.25" customHeight="1" x14ac:dyDescent="0.2">
      <c r="A37" s="238" t="str">
        <f>Debt!A11</f>
        <v>Secured bank debt — due H1 2027</v>
      </c>
      <c r="B37" s="238" t="str">
        <f>Debt!C11</f>
        <v>Bank</v>
      </c>
      <c r="C37" s="233">
        <f>Debt!E11</f>
        <v>690.43</v>
      </c>
      <c r="D37" s="298">
        <f>IF(Debt!F11="",$B$51,Debt!F11)</f>
        <v>9.7691708762201374E-2</v>
      </c>
      <c r="E37" s="299">
        <f>Debt!H11</f>
        <v>46568</v>
      </c>
      <c r="F37" s="233">
        <f t="shared" si="0"/>
        <v>67.449286480686695</v>
      </c>
      <c r="G37" s="300">
        <f t="shared" si="1"/>
        <v>9</v>
      </c>
      <c r="H37" s="157" t="str">
        <f>IF(Debt!F11="","derived, section 3b","actual coupon, offering circular")</f>
        <v>derived, section 3b</v>
      </c>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row>
    <row r="38" spans="1:66" ht="17.25" customHeight="1" x14ac:dyDescent="0.2">
      <c r="A38" s="238" t="str">
        <f>Debt!A12</f>
        <v>Secured bank debt — due H2 2027</v>
      </c>
      <c r="B38" s="238" t="str">
        <f>Debt!C12</f>
        <v>Bank</v>
      </c>
      <c r="C38" s="233">
        <f>Debt!E12</f>
        <v>1182.5450000000001</v>
      </c>
      <c r="D38" s="298">
        <f>IF(Debt!F12="",$B$51,Debt!F12)</f>
        <v>9.7691708762201374E-2</v>
      </c>
      <c r="E38" s="299">
        <f>Debt!H12</f>
        <v>46752</v>
      </c>
      <c r="F38" s="233">
        <f t="shared" si="0"/>
        <v>115.52484173819742</v>
      </c>
      <c r="G38" s="300">
        <f t="shared" si="1"/>
        <v>15</v>
      </c>
      <c r="H38" s="157" t="str">
        <f>IF(Debt!F12="","derived, section 3b","actual coupon, offering circular")</f>
        <v>derived, section 3b</v>
      </c>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row>
    <row r="39" spans="1:66" ht="17.25" customHeight="1" x14ac:dyDescent="0.2">
      <c r="A39" s="238" t="str">
        <f>Debt!A13</f>
        <v>Secured bank debt — due 2028</v>
      </c>
      <c r="B39" s="238" t="str">
        <f>Debt!C13</f>
        <v>Bank</v>
      </c>
      <c r="C39" s="233">
        <f>Debt!E13</f>
        <v>1373.5149999999999</v>
      </c>
      <c r="D39" s="298">
        <f>IF(Debt!F13="",$B$51,Debt!F13)</f>
        <v>9.7691708762201374E-2</v>
      </c>
      <c r="E39" s="299">
        <f>Debt!H13</f>
        <v>46934</v>
      </c>
      <c r="F39" s="233">
        <f t="shared" si="0"/>
        <v>134.181027360515</v>
      </c>
      <c r="G39" s="300">
        <f t="shared" si="1"/>
        <v>21</v>
      </c>
      <c r="H39" s="157" t="str">
        <f>IF(Debt!F13="","derived, section 3b","actual coupon, offering circular")</f>
        <v>derived, section 3b</v>
      </c>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row>
    <row r="40" spans="1:66" ht="17.25" customHeight="1" x14ac:dyDescent="0.2">
      <c r="A40" s="301" t="s">
        <v>233</v>
      </c>
      <c r="B40" s="238"/>
      <c r="C40" s="236">
        <f>SUM(C32:C39)</f>
        <v>11623.4625</v>
      </c>
      <c r="D40" s="238"/>
      <c r="E40" s="238"/>
      <c r="F40" s="236">
        <f>SUM(F32:F39)</f>
        <v>1040</v>
      </c>
      <c r="G40" s="238"/>
      <c r="H40" s="302">
        <f>C40-Debt!$E$14</f>
        <v>0</v>
      </c>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row>
    <row r="41" spans="1:66" ht="17.25" customHeight="1" x14ac:dyDescent="0.2">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row>
    <row r="42" spans="1:66" ht="18.5" customHeight="1" x14ac:dyDescent="0.2">
      <c r="A42" s="345" t="s">
        <v>835</v>
      </c>
      <c r="B42" s="345"/>
      <c r="C42" s="345"/>
      <c r="D42" s="345"/>
      <c r="E42" s="345"/>
      <c r="F42" s="345"/>
      <c r="G42" s="345"/>
      <c r="H42" s="345"/>
      <c r="I42" s="345"/>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row>
    <row r="43" spans="1:66" ht="44.5" customHeight="1" x14ac:dyDescent="0.2">
      <c r="A43" s="102" t="s">
        <v>836</v>
      </c>
      <c r="B43" s="102"/>
      <c r="C43" s="102"/>
      <c r="D43" s="102"/>
      <c r="E43" s="102"/>
      <c r="F43" s="102"/>
      <c r="G43" s="102"/>
      <c r="H43" s="102"/>
      <c r="I43" s="102"/>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row>
    <row r="44" spans="1:66" ht="31.5" customHeight="1" x14ac:dyDescent="0.2">
      <c r="A44" s="275" t="s">
        <v>528</v>
      </c>
      <c r="B44" s="305" t="s">
        <v>837</v>
      </c>
      <c r="C44" s="337" t="s">
        <v>251</v>
      </c>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row>
    <row r="45" spans="1:66" ht="17.25" customHeight="1" x14ac:dyDescent="0.2">
      <c r="A45" s="238" t="s">
        <v>838</v>
      </c>
      <c r="B45" s="291">
        <f>Financials!$D$22</f>
        <v>1040</v>
      </c>
      <c r="C45" s="279" t="s">
        <v>839</v>
      </c>
      <c r="D45" s="280"/>
      <c r="E45" s="280"/>
      <c r="F45" s="280"/>
      <c r="G45" s="280"/>
      <c r="H45" s="280"/>
      <c r="I45" s="280"/>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row>
    <row r="46" spans="1:66" ht="28.75" customHeight="1" x14ac:dyDescent="0.2">
      <c r="A46" s="238" t="s">
        <v>840</v>
      </c>
      <c r="B46" s="233" cm="1">
        <f t="array" ref="B46">-SUMPRODUCT(($B$32:$B$35="Sukuk")*$C$32:$C$35*$D$32:$D$35)</f>
        <v>-622.02968750000002</v>
      </c>
      <c r="C46" s="279" t="s">
        <v>853</v>
      </c>
      <c r="D46" s="280"/>
      <c r="E46" s="280"/>
      <c r="F46" s="280"/>
      <c r="G46" s="280"/>
      <c r="H46" s="280"/>
      <c r="I46" s="280"/>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row>
    <row r="47" spans="1:66" ht="17.25" customHeight="1" x14ac:dyDescent="0.2">
      <c r="A47" s="306" t="s">
        <v>841</v>
      </c>
      <c r="B47" s="236">
        <f>B45+B46</f>
        <v>417.97031249999998</v>
      </c>
      <c r="C47" s="425"/>
      <c r="D47" s="426"/>
      <c r="E47" s="426"/>
      <c r="F47" s="426"/>
      <c r="G47" s="426"/>
      <c r="H47" s="426"/>
      <c r="I47" s="426"/>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row>
    <row r="48" spans="1:66" ht="17.25" customHeight="1" x14ac:dyDescent="0.2">
      <c r="A48" s="238" t="s">
        <v>842</v>
      </c>
      <c r="B48" s="233" cm="1">
        <f t="array" ref="B48">SUMPRODUCT(($B$32:$B$39="Bank")*$C$32:$C$39)</f>
        <v>4278.4624999999996</v>
      </c>
      <c r="C48" s="425"/>
      <c r="D48" s="426"/>
      <c r="E48" s="426"/>
      <c r="F48" s="426"/>
      <c r="G48" s="426"/>
      <c r="H48" s="426"/>
      <c r="I48" s="426"/>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row>
    <row r="49" spans="1:66" ht="28.75" customHeight="1" x14ac:dyDescent="0.2">
      <c r="A49" s="307" t="s">
        <v>843</v>
      </c>
      <c r="B49" s="303">
        <f>IF(B48&gt;0,B47/B48,"")</f>
        <v>9.7691708762201374E-2</v>
      </c>
      <c r="C49" s="279" t="s">
        <v>844</v>
      </c>
      <c r="D49" s="280"/>
      <c r="E49" s="280"/>
      <c r="F49" s="280"/>
      <c r="G49" s="280"/>
      <c r="H49" s="280"/>
      <c r="I49" s="280"/>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row>
    <row r="50" spans="1:66" ht="17.25" customHeight="1" x14ac:dyDescent="0.2">
      <c r="A50" s="238" t="s">
        <v>845</v>
      </c>
      <c r="B50" s="304">
        <f>Scenarios!$F$16+Scenarios!$F$17</f>
        <v>6.5799999999999997E-2</v>
      </c>
      <c r="C50" s="279" t="s">
        <v>846</v>
      </c>
      <c r="D50" s="280"/>
      <c r="E50" s="280"/>
      <c r="F50" s="280"/>
      <c r="G50" s="280"/>
      <c r="H50" s="280"/>
      <c r="I50" s="280"/>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row>
    <row r="51" spans="1:66" ht="18.25" customHeight="1" x14ac:dyDescent="0.2">
      <c r="A51" s="354" t="s">
        <v>847</v>
      </c>
      <c r="B51" s="355">
        <f>IF($B$22="Implied",$B$49,$B$50)</f>
        <v>9.7691708762201374E-2</v>
      </c>
      <c r="C51" s="378" t="s">
        <v>848</v>
      </c>
      <c r="D51" s="379"/>
      <c r="E51" s="379"/>
      <c r="F51" s="379"/>
      <c r="G51" s="379"/>
      <c r="H51" s="379"/>
      <c r="I51" s="37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row>
    <row r="52" spans="1:66" x14ac:dyDescent="0.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row>
    <row r="53" spans="1:66" x14ac:dyDescent="0.2">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row>
    <row r="54" spans="1:66" ht="18.5" customHeight="1" x14ac:dyDescent="0.2">
      <c r="A54" s="345" t="s">
        <v>742</v>
      </c>
      <c r="B54" s="345"/>
      <c r="C54" s="345"/>
      <c r="D54" s="345"/>
      <c r="E54" s="345"/>
      <c r="F54" s="345"/>
      <c r="G54" s="345"/>
      <c r="H54" s="345"/>
      <c r="I54" s="345"/>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row>
    <row r="55" spans="1:66" ht="44.5" customHeight="1" x14ac:dyDescent="0.2">
      <c r="A55" s="102" t="s">
        <v>787</v>
      </c>
      <c r="B55" s="102"/>
      <c r="C55" s="102"/>
      <c r="D55" s="102"/>
      <c r="E55" s="102"/>
      <c r="F55" s="102"/>
      <c r="G55" s="102"/>
      <c r="H55" s="102"/>
      <c r="I55" s="102"/>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row>
    <row r="56" spans="1:66" x14ac:dyDescent="0.2">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row>
    <row r="57" spans="1:66" ht="17.25" customHeight="1" x14ac:dyDescent="0.2">
      <c r="A57" s="317" t="s">
        <v>743</v>
      </c>
      <c r="B57" s="318"/>
      <c r="C57" s="319">
        <v>1</v>
      </c>
      <c r="D57" s="319">
        <f>C57+1</f>
        <v>2</v>
      </c>
      <c r="E57" s="319">
        <f t="shared" ref="E57:BN57" si="2">D57+1</f>
        <v>3</v>
      </c>
      <c r="F57" s="319">
        <f t="shared" si="2"/>
        <v>4</v>
      </c>
      <c r="G57" s="319">
        <f t="shared" si="2"/>
        <v>5</v>
      </c>
      <c r="H57" s="319">
        <f t="shared" si="2"/>
        <v>6</v>
      </c>
      <c r="I57" s="319">
        <f t="shared" si="2"/>
        <v>7</v>
      </c>
      <c r="J57" s="319">
        <f t="shared" si="2"/>
        <v>8</v>
      </c>
      <c r="K57" s="319">
        <f t="shared" si="2"/>
        <v>9</v>
      </c>
      <c r="L57" s="319">
        <f t="shared" si="2"/>
        <v>10</v>
      </c>
      <c r="M57" s="319">
        <f t="shared" si="2"/>
        <v>11</v>
      </c>
      <c r="N57" s="319">
        <f t="shared" si="2"/>
        <v>12</v>
      </c>
      <c r="O57" s="319">
        <f t="shared" si="2"/>
        <v>13</v>
      </c>
      <c r="P57" s="319">
        <f t="shared" si="2"/>
        <v>14</v>
      </c>
      <c r="Q57" s="319">
        <f t="shared" si="2"/>
        <v>15</v>
      </c>
      <c r="R57" s="319">
        <f t="shared" si="2"/>
        <v>16</v>
      </c>
      <c r="S57" s="319">
        <f t="shared" si="2"/>
        <v>17</v>
      </c>
      <c r="T57" s="319">
        <f t="shared" si="2"/>
        <v>18</v>
      </c>
      <c r="U57" s="319">
        <f t="shared" si="2"/>
        <v>19</v>
      </c>
      <c r="V57" s="319">
        <f t="shared" si="2"/>
        <v>20</v>
      </c>
      <c r="W57" s="319">
        <f t="shared" si="2"/>
        <v>21</v>
      </c>
      <c r="X57" s="319">
        <f t="shared" si="2"/>
        <v>22</v>
      </c>
      <c r="Y57" s="319">
        <f t="shared" si="2"/>
        <v>23</v>
      </c>
      <c r="Z57" s="319">
        <f t="shared" si="2"/>
        <v>24</v>
      </c>
      <c r="AA57" s="319">
        <f t="shared" si="2"/>
        <v>25</v>
      </c>
      <c r="AB57" s="319">
        <f t="shared" si="2"/>
        <v>26</v>
      </c>
      <c r="AC57" s="319">
        <f t="shared" si="2"/>
        <v>27</v>
      </c>
      <c r="AD57" s="319">
        <f t="shared" si="2"/>
        <v>28</v>
      </c>
      <c r="AE57" s="319">
        <f t="shared" si="2"/>
        <v>29</v>
      </c>
      <c r="AF57" s="319">
        <f t="shared" si="2"/>
        <v>30</v>
      </c>
      <c r="AG57" s="319">
        <f t="shared" si="2"/>
        <v>31</v>
      </c>
      <c r="AH57" s="319">
        <f t="shared" si="2"/>
        <v>32</v>
      </c>
      <c r="AI57" s="319">
        <f t="shared" si="2"/>
        <v>33</v>
      </c>
      <c r="AJ57" s="319">
        <f t="shared" si="2"/>
        <v>34</v>
      </c>
      <c r="AK57" s="319">
        <f t="shared" si="2"/>
        <v>35</v>
      </c>
      <c r="AL57" s="319">
        <f t="shared" si="2"/>
        <v>36</v>
      </c>
      <c r="AM57" s="319">
        <f t="shared" si="2"/>
        <v>37</v>
      </c>
      <c r="AN57" s="319">
        <f t="shared" si="2"/>
        <v>38</v>
      </c>
      <c r="AO57" s="319">
        <f t="shared" si="2"/>
        <v>39</v>
      </c>
      <c r="AP57" s="319">
        <f t="shared" si="2"/>
        <v>40</v>
      </c>
      <c r="AQ57" s="319">
        <f t="shared" si="2"/>
        <v>41</v>
      </c>
      <c r="AR57" s="319">
        <f t="shared" si="2"/>
        <v>42</v>
      </c>
      <c r="AS57" s="319">
        <f t="shared" si="2"/>
        <v>43</v>
      </c>
      <c r="AT57" s="319">
        <f t="shared" si="2"/>
        <v>44</v>
      </c>
      <c r="AU57" s="319">
        <f t="shared" si="2"/>
        <v>45</v>
      </c>
      <c r="AV57" s="319">
        <f t="shared" si="2"/>
        <v>46</v>
      </c>
      <c r="AW57" s="319">
        <f t="shared" si="2"/>
        <v>47</v>
      </c>
      <c r="AX57" s="319">
        <f t="shared" si="2"/>
        <v>48</v>
      </c>
      <c r="AY57" s="319">
        <f t="shared" si="2"/>
        <v>49</v>
      </c>
      <c r="AZ57" s="319">
        <f t="shared" si="2"/>
        <v>50</v>
      </c>
      <c r="BA57" s="319">
        <f t="shared" si="2"/>
        <v>51</v>
      </c>
      <c r="BB57" s="319">
        <f t="shared" si="2"/>
        <v>52</v>
      </c>
      <c r="BC57" s="319">
        <f t="shared" si="2"/>
        <v>53</v>
      </c>
      <c r="BD57" s="319">
        <f t="shared" si="2"/>
        <v>54</v>
      </c>
      <c r="BE57" s="319">
        <f t="shared" si="2"/>
        <v>55</v>
      </c>
      <c r="BF57" s="319">
        <f t="shared" si="2"/>
        <v>56</v>
      </c>
      <c r="BG57" s="319">
        <f t="shared" si="2"/>
        <v>57</v>
      </c>
      <c r="BH57" s="319">
        <f t="shared" si="2"/>
        <v>58</v>
      </c>
      <c r="BI57" s="319">
        <f t="shared" si="2"/>
        <v>59</v>
      </c>
      <c r="BJ57" s="319">
        <f t="shared" si="2"/>
        <v>60</v>
      </c>
      <c r="BK57" s="319">
        <f t="shared" si="2"/>
        <v>61</v>
      </c>
      <c r="BL57" s="319">
        <f t="shared" si="2"/>
        <v>62</v>
      </c>
      <c r="BM57" s="319">
        <f t="shared" si="2"/>
        <v>63</v>
      </c>
      <c r="BN57" s="319">
        <f t="shared" si="2"/>
        <v>64</v>
      </c>
    </row>
    <row r="58" spans="1:66" ht="17.25" customHeight="1" x14ac:dyDescent="0.2">
      <c r="A58" s="320" t="s">
        <v>23</v>
      </c>
      <c r="B58" s="321"/>
      <c r="C58" s="322">
        <f>EOMONTH($B$18,C57-1)+1</f>
        <v>46296</v>
      </c>
      <c r="D58" s="322">
        <f>EOMONTH($B$18,D57-1)+1</f>
        <v>46327</v>
      </c>
      <c r="E58" s="322">
        <f t="shared" ref="E58:BN58" si="3">EOMONTH($B$18,E57-1)+1</f>
        <v>46357</v>
      </c>
      <c r="F58" s="322">
        <f t="shared" si="3"/>
        <v>46388</v>
      </c>
      <c r="G58" s="322">
        <f t="shared" si="3"/>
        <v>46419</v>
      </c>
      <c r="H58" s="322">
        <f t="shared" si="3"/>
        <v>46447</v>
      </c>
      <c r="I58" s="322">
        <f t="shared" si="3"/>
        <v>46478</v>
      </c>
      <c r="J58" s="322">
        <f t="shared" si="3"/>
        <v>46508</v>
      </c>
      <c r="K58" s="322">
        <f t="shared" si="3"/>
        <v>46539</v>
      </c>
      <c r="L58" s="322">
        <f t="shared" si="3"/>
        <v>46569</v>
      </c>
      <c r="M58" s="322">
        <f t="shared" si="3"/>
        <v>46600</v>
      </c>
      <c r="N58" s="322">
        <f t="shared" si="3"/>
        <v>46631</v>
      </c>
      <c r="O58" s="322">
        <f t="shared" si="3"/>
        <v>46661</v>
      </c>
      <c r="P58" s="322">
        <f t="shared" si="3"/>
        <v>46692</v>
      </c>
      <c r="Q58" s="322">
        <f t="shared" si="3"/>
        <v>46722</v>
      </c>
      <c r="R58" s="322">
        <f t="shared" si="3"/>
        <v>46753</v>
      </c>
      <c r="S58" s="322">
        <f t="shared" si="3"/>
        <v>46784</v>
      </c>
      <c r="T58" s="322">
        <f t="shared" si="3"/>
        <v>46813</v>
      </c>
      <c r="U58" s="322">
        <f t="shared" si="3"/>
        <v>46844</v>
      </c>
      <c r="V58" s="322">
        <f t="shared" si="3"/>
        <v>46874</v>
      </c>
      <c r="W58" s="322">
        <f t="shared" si="3"/>
        <v>46905</v>
      </c>
      <c r="X58" s="322">
        <f t="shared" si="3"/>
        <v>46935</v>
      </c>
      <c r="Y58" s="322">
        <f t="shared" si="3"/>
        <v>46966</v>
      </c>
      <c r="Z58" s="322">
        <f t="shared" si="3"/>
        <v>46997</v>
      </c>
      <c r="AA58" s="322">
        <f t="shared" si="3"/>
        <v>47027</v>
      </c>
      <c r="AB58" s="322">
        <f t="shared" si="3"/>
        <v>47058</v>
      </c>
      <c r="AC58" s="322">
        <f t="shared" si="3"/>
        <v>47088</v>
      </c>
      <c r="AD58" s="322">
        <f t="shared" si="3"/>
        <v>47119</v>
      </c>
      <c r="AE58" s="322">
        <f t="shared" si="3"/>
        <v>47150</v>
      </c>
      <c r="AF58" s="322">
        <f t="shared" si="3"/>
        <v>47178</v>
      </c>
      <c r="AG58" s="322">
        <f t="shared" si="3"/>
        <v>47209</v>
      </c>
      <c r="AH58" s="322">
        <f t="shared" si="3"/>
        <v>47239</v>
      </c>
      <c r="AI58" s="322">
        <f t="shared" si="3"/>
        <v>47270</v>
      </c>
      <c r="AJ58" s="322">
        <f t="shared" si="3"/>
        <v>47300</v>
      </c>
      <c r="AK58" s="322">
        <f t="shared" si="3"/>
        <v>47331</v>
      </c>
      <c r="AL58" s="322">
        <f t="shared" si="3"/>
        <v>47362</v>
      </c>
      <c r="AM58" s="322">
        <f t="shared" si="3"/>
        <v>47392</v>
      </c>
      <c r="AN58" s="322">
        <f t="shared" si="3"/>
        <v>47423</v>
      </c>
      <c r="AO58" s="322">
        <f t="shared" si="3"/>
        <v>47453</v>
      </c>
      <c r="AP58" s="322">
        <f t="shared" si="3"/>
        <v>47484</v>
      </c>
      <c r="AQ58" s="322">
        <f t="shared" si="3"/>
        <v>47515</v>
      </c>
      <c r="AR58" s="322">
        <f t="shared" si="3"/>
        <v>47543</v>
      </c>
      <c r="AS58" s="322">
        <f t="shared" si="3"/>
        <v>47574</v>
      </c>
      <c r="AT58" s="322">
        <f t="shared" si="3"/>
        <v>47604</v>
      </c>
      <c r="AU58" s="322">
        <f t="shared" si="3"/>
        <v>47635</v>
      </c>
      <c r="AV58" s="322">
        <f t="shared" si="3"/>
        <v>47665</v>
      </c>
      <c r="AW58" s="322">
        <f t="shared" si="3"/>
        <v>47696</v>
      </c>
      <c r="AX58" s="322">
        <f t="shared" si="3"/>
        <v>47727</v>
      </c>
      <c r="AY58" s="322">
        <f t="shared" si="3"/>
        <v>47757</v>
      </c>
      <c r="AZ58" s="322">
        <f t="shared" si="3"/>
        <v>47788</v>
      </c>
      <c r="BA58" s="322">
        <f t="shared" si="3"/>
        <v>47818</v>
      </c>
      <c r="BB58" s="322">
        <f t="shared" si="3"/>
        <v>47849</v>
      </c>
      <c r="BC58" s="322">
        <f t="shared" si="3"/>
        <v>47880</v>
      </c>
      <c r="BD58" s="322">
        <f t="shared" si="3"/>
        <v>47908</v>
      </c>
      <c r="BE58" s="322">
        <f t="shared" si="3"/>
        <v>47939</v>
      </c>
      <c r="BF58" s="322">
        <f t="shared" si="3"/>
        <v>47969</v>
      </c>
      <c r="BG58" s="322">
        <f t="shared" si="3"/>
        <v>48000</v>
      </c>
      <c r="BH58" s="322">
        <f t="shared" si="3"/>
        <v>48030</v>
      </c>
      <c r="BI58" s="322">
        <f t="shared" si="3"/>
        <v>48061</v>
      </c>
      <c r="BJ58" s="322">
        <f t="shared" si="3"/>
        <v>48092</v>
      </c>
      <c r="BK58" s="322">
        <f t="shared" si="3"/>
        <v>48122</v>
      </c>
      <c r="BL58" s="322">
        <f t="shared" si="3"/>
        <v>48153</v>
      </c>
      <c r="BM58" s="322">
        <f t="shared" si="3"/>
        <v>48183</v>
      </c>
      <c r="BN58" s="322">
        <f t="shared" si="3"/>
        <v>48214</v>
      </c>
    </row>
    <row r="59" spans="1:66" ht="17.25" customHeight="1" x14ac:dyDescent="0.2">
      <c r="A59" s="321" t="s">
        <v>744</v>
      </c>
      <c r="B59" s="321"/>
      <c r="C59" s="323" cm="1">
        <f t="array" ref="C59">_xlfn.LET(_xlpm.m,C$57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1771.9373297878003</v>
      </c>
      <c r="D59" s="323" cm="1">
        <f t="array" ref="D59">_xlfn.LET(_xlpm.m,D$57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3371.8109471030052</v>
      </c>
      <c r="E59" s="323" cm="1">
        <f t="array" ref="E59">_xlfn.LET(_xlpm.m,E$57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5225.5363295741836</v>
      </c>
      <c r="F59" s="323" cm="1">
        <f t="array" ref="F59">_xlfn.LET(_xlpm.m,F$57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7333.1134772013365</v>
      </c>
      <c r="G59" s="323" cm="1">
        <f t="array" ref="G59">_xlfn.LET(_xlpm.m,G$57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10188.656573016493</v>
      </c>
      <c r="H59" s="323" cm="1">
        <f t="array" ref="H59">_xlfn.LET(_xlpm.m,H$57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13785.521626421218</v>
      </c>
      <c r="I59" s="323" cm="1">
        <f t="array" ref="I59">_xlfn.LET(_xlpm.m,I$57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16841.512071570876</v>
      </c>
      <c r="J59" s="323" cm="1">
        <f t="array" ref="J59">_xlfn.LET(_xlpm.m,J$57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19403.154337957854</v>
      </c>
      <c r="K59" s="323" cm="1">
        <f t="array" ref="K59">_xlfn.LET(_xlpm.m,K$57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23171.799284881974</v>
      </c>
      <c r="L59" s="323" cm="1">
        <f t="array" ref="L59">_xlfn.LET(_xlpm.m,L$57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28729.543765725419</v>
      </c>
      <c r="M59" s="323" cm="1">
        <f t="array" ref="M59">_xlfn.LET(_xlpm.m,M$57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29440.23790557577</v>
      </c>
      <c r="N59" s="323" cm="1">
        <f t="array" ref="N59">_xlfn.LET(_xlpm.m,N$57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30069.003664833253</v>
      </c>
      <c r="O59" s="323" cm="1">
        <f t="array" ref="O59">_xlfn.LET(_xlpm.m,O$57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31816.730648109246</v>
      </c>
      <c r="P59" s="323" cm="1">
        <f t="array" ref="P59">_xlfn.LET(_xlpm.m,P$57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32543.031901255123</v>
      </c>
      <c r="Q59" s="323" cm="1">
        <f t="array" ref="Q59">_xlfn.LET(_xlpm.m,Q$57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32644.324686533957</v>
      </c>
      <c r="R59" s="323" cm="1">
        <f t="array" ref="R59">_xlfn.LET(_xlpm.m,R$57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32749.435990802711</v>
      </c>
      <c r="S59" s="323" cm="1">
        <f t="array" ref="S59">_xlfn.LET(_xlpm.m,S$57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32858.36581406137</v>
      </c>
      <c r="T59" s="323" cm="1">
        <f t="array" ref="T59">_xlfn.LET(_xlpm.m,T$57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32971.114156309952</v>
      </c>
      <c r="U59" s="323" cm="1">
        <f t="array" ref="U59">_xlfn.LET(_xlpm.m,U$57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33087.681017548435</v>
      </c>
      <c r="V59" s="323" cm="1">
        <f t="array" ref="V59">_xlfn.LET(_xlpm.m,V$57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33208.066397776842</v>
      </c>
      <c r="W59" s="323" cm="1">
        <f t="array" ref="W59">_xlfn.LET(_xlpm.m,W$57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33332.27029699515</v>
      </c>
      <c r="X59" s="323" cm="1">
        <f t="array" ref="X59">_xlfn.LET(_xlpm.m,X$57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33460.292715203381</v>
      </c>
      <c r="Y59" s="323" cm="1">
        <f t="array" ref="Y59">_xlfn.LET(_xlpm.m,Y$57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33592.133652401528</v>
      </c>
      <c r="Z59" s="323" cm="1">
        <f t="array" ref="Z59">_xlfn.LET(_xlpm.m,Z$57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A59" s="323" cm="1">
        <f t="array" ref="AA59">_xlfn.LET(_xlpm.m,AA$57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B59" s="323" cm="1">
        <f t="array" ref="AB59">_xlfn.LET(_xlpm.m,AB$57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C59" s="323" cm="1">
        <f t="array" ref="AC59">_xlfn.LET(_xlpm.m,AC$57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D59" s="323" cm="1">
        <f t="array" ref="AD59">_xlfn.LET(_xlpm.m,AD$57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E59" s="323" cm="1">
        <f t="array" ref="AE59">_xlfn.LET(_xlpm.m,AE$57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F59" s="323" cm="1">
        <f t="array" ref="AF59">_xlfn.LET(_xlpm.m,AF$57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G59" s="323" cm="1">
        <f t="array" ref="AG59">_xlfn.LET(_xlpm.m,AG$57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H59" s="323" cm="1">
        <f t="array" ref="AH59">_xlfn.LET(_xlpm.m,AH$57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I59" s="323" cm="1">
        <f t="array" ref="AI59">_xlfn.LET(_xlpm.m,AI$57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J59" s="323" cm="1">
        <f t="array" ref="AJ59">_xlfn.LET(_xlpm.m,AJ$57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K59" s="323" cm="1">
        <f t="array" ref="AK59">_xlfn.LET(_xlpm.m,AK$57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L59" s="323" cm="1">
        <f t="array" ref="AL59">_xlfn.LET(_xlpm.m,AL$57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M59" s="323" cm="1">
        <f t="array" ref="AM59">_xlfn.LET(_xlpm.m,AM$57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N59" s="323" cm="1">
        <f t="array" ref="AN59">_xlfn.LET(_xlpm.m,AN$57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O59" s="323" cm="1">
        <f t="array" ref="AO59">_xlfn.LET(_xlpm.m,AO$57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P59" s="323" cm="1">
        <f t="array" ref="AP59">_xlfn.LET(_xlpm.m,AP$57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Q59" s="323" cm="1">
        <f t="array" ref="AQ59">_xlfn.LET(_xlpm.m,AQ$57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R59" s="323" cm="1">
        <f t="array" ref="AR59">_xlfn.LET(_xlpm.m,AR$57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S59" s="323" cm="1">
        <f t="array" ref="AS59">_xlfn.LET(_xlpm.m,AS$57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T59" s="323" cm="1">
        <f t="array" ref="AT59">_xlfn.LET(_xlpm.m,AT$57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U59" s="323" cm="1">
        <f t="array" ref="AU59">_xlfn.LET(_xlpm.m,AU$57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V59" s="323" cm="1">
        <f t="array" ref="AV59">_xlfn.LET(_xlpm.m,AV$57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W59" s="323" cm="1">
        <f t="array" ref="AW59">_xlfn.LET(_xlpm.m,AW$57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X59" s="323" cm="1">
        <f t="array" ref="AX59">_xlfn.LET(_xlpm.m,AX$57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Y59" s="323" cm="1">
        <f t="array" ref="AY59">_xlfn.LET(_xlpm.m,AY$57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AZ59" s="323" cm="1">
        <f t="array" ref="AZ59">_xlfn.LET(_xlpm.m,AZ$57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A59" s="323" cm="1">
        <f t="array" ref="BA59">_xlfn.LET(_xlpm.m,BA$57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B59" s="323" cm="1">
        <f t="array" ref="BB59">_xlfn.LET(_xlpm.m,BB$57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C59" s="323" cm="1">
        <f t="array" ref="BC59">_xlfn.LET(_xlpm.m,BC$57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D59" s="323" cm="1">
        <f t="array" ref="BD59">_xlfn.LET(_xlpm.m,BD$57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E59" s="323" cm="1">
        <f t="array" ref="BE59">_xlfn.LET(_xlpm.m,BE$57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F59" s="323" cm="1">
        <f t="array" ref="BF59">_xlfn.LET(_xlpm.m,BF$57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G59" s="323" cm="1">
        <f t="array" ref="BG59">_xlfn.LET(_xlpm.m,BG$57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H59" s="323" cm="1">
        <f t="array" ref="BH59">_xlfn.LET(_xlpm.m,BH$57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I59" s="323" cm="1">
        <f t="array" ref="BI59">_xlfn.LET(_xlpm.m,BI$57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J59" s="323" cm="1">
        <f t="array" ref="BJ59">_xlfn.LET(_xlpm.m,BJ$57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K59" s="323" cm="1">
        <f t="array" ref="BK59">_xlfn.LET(_xlpm.m,BK$57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L59" s="323" cm="1">
        <f t="array" ref="BL59">_xlfn.LET(_xlpm.m,BL$57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M59" s="323" cm="1">
        <f t="array" ref="BM59">_xlfn.LET(_xlpm.m,BM$57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c r="BN59" s="323" cm="1">
        <f t="array" ref="BN59">_xlfn.LET(_xlpm.m,BN$57,_xlpm.cert,IF(Simulator!$H$8:$H$39+Simulator!$O$8:$O$39*_xlpm.m&gt;100,100,Simulator!$H$8:$H$39+Simulator!$O$8:$O$39*_xlpm.m),_xlpm.cf,IF(_xlpm.cert&gt;=100,1,Scenarios!$F$11+(1-Scenarios!$F$11-Scenarios!$F$12)*_xlpm.cert/100),_xlpm.prog,IF(_xlpm.cert/100&gt;1,1,_xlpm.cert/100),_xlpm.rf,_xlpm.cf*_xlpm.prog*(1-Scenarios!$F$13),_xlpm.x,Simulator!$P$8:$P$39*_xlpm.rf-Simulator!$Q$8:$Q$39,SUMPRODUCT(_xlpm.x*(_xlpm.x&gt;0)))</f>
        <v>34786.091906364578</v>
      </c>
    </row>
    <row r="60" spans="1:66" ht="17.25" customHeight="1" x14ac:dyDescent="0.2">
      <c r="A60" s="324" t="s">
        <v>745</v>
      </c>
      <c r="B60" s="321"/>
      <c r="C60" s="325">
        <f>C59</f>
        <v>1771.9373297878003</v>
      </c>
      <c r="D60" s="325">
        <f>D59-C59</f>
        <v>1599.8736173152049</v>
      </c>
      <c r="E60" s="325">
        <f t="shared" ref="E60:BN60" si="4">E59-D59</f>
        <v>1853.7253824711784</v>
      </c>
      <c r="F60" s="325">
        <f t="shared" si="4"/>
        <v>2107.577147627153</v>
      </c>
      <c r="G60" s="325">
        <f t="shared" si="4"/>
        <v>2855.5430958151564</v>
      </c>
      <c r="H60" s="325">
        <f t="shared" si="4"/>
        <v>3596.8650534047247</v>
      </c>
      <c r="I60" s="325">
        <f t="shared" si="4"/>
        <v>3055.9904451496586</v>
      </c>
      <c r="J60" s="325">
        <f t="shared" si="4"/>
        <v>2561.642266386978</v>
      </c>
      <c r="K60" s="325">
        <f t="shared" si="4"/>
        <v>3768.6449469241197</v>
      </c>
      <c r="L60" s="325">
        <f t="shared" si="4"/>
        <v>5557.7444808434448</v>
      </c>
      <c r="M60" s="325">
        <f t="shared" si="4"/>
        <v>710.69413985035135</v>
      </c>
      <c r="N60" s="325">
        <f t="shared" si="4"/>
        <v>628.7657592574833</v>
      </c>
      <c r="O60" s="325">
        <f t="shared" si="4"/>
        <v>1747.7269832759921</v>
      </c>
      <c r="P60" s="325">
        <f t="shared" si="4"/>
        <v>726.30125314587713</v>
      </c>
      <c r="Q60" s="325">
        <f t="shared" si="4"/>
        <v>101.29278527883434</v>
      </c>
      <c r="R60" s="325">
        <f t="shared" si="4"/>
        <v>105.11130426875388</v>
      </c>
      <c r="S60" s="325">
        <f t="shared" si="4"/>
        <v>108.92982325865887</v>
      </c>
      <c r="T60" s="325">
        <f t="shared" si="4"/>
        <v>112.74834224858205</v>
      </c>
      <c r="U60" s="325">
        <f t="shared" si="4"/>
        <v>116.5668612384834</v>
      </c>
      <c r="V60" s="325">
        <f t="shared" si="4"/>
        <v>120.38538022840658</v>
      </c>
      <c r="W60" s="325">
        <f t="shared" si="4"/>
        <v>124.20389921830792</v>
      </c>
      <c r="X60" s="325">
        <f t="shared" si="4"/>
        <v>128.0224182082311</v>
      </c>
      <c r="Y60" s="325">
        <f t="shared" si="4"/>
        <v>131.840937198147</v>
      </c>
      <c r="Z60" s="325">
        <f t="shared" si="4"/>
        <v>1193.9582539630501</v>
      </c>
      <c r="AA60" s="325">
        <f t="shared" si="4"/>
        <v>0</v>
      </c>
      <c r="AB60" s="325">
        <f t="shared" si="4"/>
        <v>0</v>
      </c>
      <c r="AC60" s="325">
        <f t="shared" si="4"/>
        <v>0</v>
      </c>
      <c r="AD60" s="325">
        <f t="shared" si="4"/>
        <v>0</v>
      </c>
      <c r="AE60" s="325">
        <f t="shared" si="4"/>
        <v>0</v>
      </c>
      <c r="AF60" s="325">
        <f t="shared" si="4"/>
        <v>0</v>
      </c>
      <c r="AG60" s="325">
        <f t="shared" si="4"/>
        <v>0</v>
      </c>
      <c r="AH60" s="325">
        <f t="shared" si="4"/>
        <v>0</v>
      </c>
      <c r="AI60" s="325">
        <f t="shared" si="4"/>
        <v>0</v>
      </c>
      <c r="AJ60" s="325">
        <f t="shared" si="4"/>
        <v>0</v>
      </c>
      <c r="AK60" s="325">
        <f t="shared" si="4"/>
        <v>0</v>
      </c>
      <c r="AL60" s="325">
        <f t="shared" si="4"/>
        <v>0</v>
      </c>
      <c r="AM60" s="325">
        <f t="shared" si="4"/>
        <v>0</v>
      </c>
      <c r="AN60" s="325">
        <f t="shared" si="4"/>
        <v>0</v>
      </c>
      <c r="AO60" s="325">
        <f t="shared" si="4"/>
        <v>0</v>
      </c>
      <c r="AP60" s="325">
        <f t="shared" si="4"/>
        <v>0</v>
      </c>
      <c r="AQ60" s="325">
        <f t="shared" si="4"/>
        <v>0</v>
      </c>
      <c r="AR60" s="325">
        <f t="shared" si="4"/>
        <v>0</v>
      </c>
      <c r="AS60" s="325">
        <f t="shared" si="4"/>
        <v>0</v>
      </c>
      <c r="AT60" s="325">
        <f t="shared" si="4"/>
        <v>0</v>
      </c>
      <c r="AU60" s="325">
        <f t="shared" si="4"/>
        <v>0</v>
      </c>
      <c r="AV60" s="325">
        <f t="shared" si="4"/>
        <v>0</v>
      </c>
      <c r="AW60" s="325">
        <f t="shared" si="4"/>
        <v>0</v>
      </c>
      <c r="AX60" s="325">
        <f t="shared" si="4"/>
        <v>0</v>
      </c>
      <c r="AY60" s="325">
        <f t="shared" si="4"/>
        <v>0</v>
      </c>
      <c r="AZ60" s="325">
        <f t="shared" si="4"/>
        <v>0</v>
      </c>
      <c r="BA60" s="325">
        <f t="shared" si="4"/>
        <v>0</v>
      </c>
      <c r="BB60" s="325">
        <f t="shared" si="4"/>
        <v>0</v>
      </c>
      <c r="BC60" s="325">
        <f t="shared" si="4"/>
        <v>0</v>
      </c>
      <c r="BD60" s="325">
        <f t="shared" si="4"/>
        <v>0</v>
      </c>
      <c r="BE60" s="325">
        <f t="shared" si="4"/>
        <v>0</v>
      </c>
      <c r="BF60" s="325">
        <f t="shared" si="4"/>
        <v>0</v>
      </c>
      <c r="BG60" s="325">
        <f t="shared" si="4"/>
        <v>0</v>
      </c>
      <c r="BH60" s="325">
        <f t="shared" si="4"/>
        <v>0</v>
      </c>
      <c r="BI60" s="325">
        <f t="shared" si="4"/>
        <v>0</v>
      </c>
      <c r="BJ60" s="325">
        <f t="shared" si="4"/>
        <v>0</v>
      </c>
      <c r="BK60" s="325">
        <f t="shared" si="4"/>
        <v>0</v>
      </c>
      <c r="BL60" s="325">
        <f t="shared" si="4"/>
        <v>0</v>
      </c>
      <c r="BM60" s="325">
        <f t="shared" si="4"/>
        <v>0</v>
      </c>
      <c r="BN60" s="325">
        <f t="shared" si="4"/>
        <v>0</v>
      </c>
    </row>
    <row r="61" spans="1:66" ht="17.25" customHeight="1" x14ac:dyDescent="0.2">
      <c r="A61" s="321" t="s">
        <v>746</v>
      </c>
      <c r="B61" s="321"/>
      <c r="C61" s="323" cm="1">
        <f t="array" ref="C61">SUMPRODUCT((Simulator!$N$8:$N$39+$B$26&lt;=C$57)*Simulator!$P$8:$P$39)*$B$25</f>
        <v>0</v>
      </c>
      <c r="D61" s="323" cm="1">
        <f t="array" ref="D61">SUMPRODUCT((Simulator!$N$8:$N$39+$B$26&lt;=D$57)*Simulator!$P$8:$P$39)*$B$25</f>
        <v>0</v>
      </c>
      <c r="E61" s="323" cm="1">
        <f t="array" ref="E61">SUMPRODUCT((Simulator!$N$8:$N$39+$B$26&lt;=E$57)*Simulator!$P$8:$P$39)*$B$25</f>
        <v>0</v>
      </c>
      <c r="F61" s="323" cm="1">
        <f t="array" ref="F61">SUMPRODUCT((Simulator!$N$8:$N$39+$B$26&lt;=F$57)*Simulator!$P$8:$P$39)*$B$25</f>
        <v>0</v>
      </c>
      <c r="G61" s="323" cm="1">
        <f t="array" ref="G61">SUMPRODUCT((Simulator!$N$8:$N$39+$B$26&lt;=G$57)*Simulator!$P$8:$P$39)*$B$25</f>
        <v>0</v>
      </c>
      <c r="H61" s="323" cm="1">
        <f t="array" ref="H61">SUMPRODUCT((Simulator!$N$8:$N$39+$B$26&lt;=H$57)*Simulator!$P$8:$P$39)*$B$25</f>
        <v>0</v>
      </c>
      <c r="I61" s="323" cm="1">
        <f t="array" ref="I61">SUMPRODUCT((Simulator!$N$8:$N$39+$B$26&lt;=I$57)*Simulator!$P$8:$P$39)*$B$25</f>
        <v>0</v>
      </c>
      <c r="J61" s="323" cm="1">
        <f t="array" ref="J61">SUMPRODUCT((Simulator!$N$8:$N$39+$B$26&lt;=J$57)*Simulator!$P$8:$P$39)*$B$25</f>
        <v>0</v>
      </c>
      <c r="K61" s="323" cm="1">
        <f t="array" ref="K61">SUMPRODUCT((Simulator!$N$8:$N$39+$B$26&lt;=K$57)*Simulator!$P$8:$P$39)*$B$25</f>
        <v>0</v>
      </c>
      <c r="L61" s="323" cm="1">
        <f t="array" ref="L61">SUMPRODUCT((Simulator!$N$8:$N$39+$B$26&lt;=L$57)*Simulator!$P$8:$P$39)*$B$25</f>
        <v>0</v>
      </c>
      <c r="M61" s="323" cm="1">
        <f t="array" ref="M61">SUMPRODUCT((Simulator!$N$8:$N$39+$B$26&lt;=M$57)*Simulator!$P$8:$P$39)*$B$25</f>
        <v>0</v>
      </c>
      <c r="N61" s="323" cm="1">
        <f t="array" ref="N61">SUMPRODUCT((Simulator!$N$8:$N$39+$B$26&lt;=N$57)*Simulator!$P$8:$P$39)*$B$25</f>
        <v>0</v>
      </c>
      <c r="O61" s="323" cm="1">
        <f t="array" ref="O61">SUMPRODUCT((Simulator!$N$8:$N$39+$B$26&lt;=O$57)*Simulator!$P$8:$P$39)*$B$25</f>
        <v>150.91560312000001</v>
      </c>
      <c r="P61" s="323" cm="1">
        <f t="array" ref="P61">SUMPRODUCT((Simulator!$N$8:$N$39+$B$26&lt;=P$57)*Simulator!$P$8:$P$39)*$B$25</f>
        <v>150.91560312000001</v>
      </c>
      <c r="Q61" s="323" cm="1">
        <f t="array" ref="Q61">SUMPRODUCT((Simulator!$N$8:$N$39+$B$26&lt;=Q$57)*Simulator!$P$8:$P$39)*$B$25</f>
        <v>545.04099681000014</v>
      </c>
      <c r="R61" s="323" cm="1">
        <f t="array" ref="R61">SUMPRODUCT((Simulator!$N$8:$N$39+$B$26&lt;=R$57)*Simulator!$P$8:$P$39)*$B$25</f>
        <v>545.04099681000014</v>
      </c>
      <c r="S61" s="323" cm="1">
        <f t="array" ref="S61">SUMPRODUCT((Simulator!$N$8:$N$39+$B$26&lt;=S$57)*Simulator!$P$8:$P$39)*$B$25</f>
        <v>575.57186206000006</v>
      </c>
      <c r="T61" s="323" cm="1">
        <f t="array" ref="T61">SUMPRODUCT((Simulator!$N$8:$N$39+$B$26&lt;=T$57)*Simulator!$P$8:$P$39)*$B$25</f>
        <v>1638.7703912300003</v>
      </c>
      <c r="U61" s="323" cm="1">
        <f t="array" ref="U61">SUMPRODUCT((Simulator!$N$8:$N$39+$B$26&lt;=U$57)*Simulator!$P$8:$P$39)*$B$25</f>
        <v>1638.7703912300003</v>
      </c>
      <c r="V61" s="323" cm="1">
        <f t="array" ref="V61">SUMPRODUCT((Simulator!$N$8:$N$39+$B$26&lt;=V$57)*Simulator!$P$8:$P$39)*$B$25</f>
        <v>1684.0539767900002</v>
      </c>
      <c r="W61" s="323" cm="1">
        <f t="array" ref="W61">SUMPRODUCT((Simulator!$N$8:$N$39+$B$26&lt;=W$57)*Simulator!$P$8:$P$39)*$B$25</f>
        <v>1723.7828007900005</v>
      </c>
      <c r="X61" s="323" cm="1">
        <f t="array" ref="X61">SUMPRODUCT((Simulator!$N$8:$N$39+$B$26&lt;=X$57)*Simulator!$P$8:$P$39)*$B$25</f>
        <v>1777.7123282700004</v>
      </c>
      <c r="Y61" s="323" cm="1">
        <f t="array" ref="Y61">SUMPRODUCT((Simulator!$N$8:$N$39+$B$26&lt;=Y$57)*Simulator!$P$8:$P$39)*$B$25</f>
        <v>1777.7123282700004</v>
      </c>
      <c r="Z61" s="323" cm="1">
        <f t="array" ref="Z61">SUMPRODUCT((Simulator!$N$8:$N$39+$B$26&lt;=Z$57)*Simulator!$P$8:$P$39)*$B$25</f>
        <v>1777.7123282700004</v>
      </c>
      <c r="AA61" s="323" cm="1">
        <f t="array" ref="AA61">SUMPRODUCT((Simulator!$N$8:$N$39+$B$26&lt;=AA$57)*Simulator!$P$8:$P$39)*$B$25</f>
        <v>1777.7123282700004</v>
      </c>
      <c r="AB61" s="323" cm="1">
        <f t="array" ref="AB61">SUMPRODUCT((Simulator!$N$8:$N$39+$B$26&lt;=AB$57)*Simulator!$P$8:$P$39)*$B$25</f>
        <v>1863.7739700300001</v>
      </c>
      <c r="AC61" s="323" cm="1">
        <f t="array" ref="AC61">SUMPRODUCT((Simulator!$N$8:$N$39+$B$26&lt;=AC$57)*Simulator!$P$8:$P$39)*$B$25</f>
        <v>1863.7739700300001</v>
      </c>
      <c r="AD61" s="323" cm="1">
        <f t="array" ref="AD61">SUMPRODUCT((Simulator!$N$8:$N$39+$B$26&lt;=AD$57)*Simulator!$P$8:$P$39)*$B$25</f>
        <v>1863.7739700300001</v>
      </c>
      <c r="AE61" s="323" cm="1">
        <f t="array" ref="AE61">SUMPRODUCT((Simulator!$N$8:$N$39+$B$26&lt;=AE$57)*Simulator!$P$8:$P$39)*$B$25</f>
        <v>1863.7739700300001</v>
      </c>
      <c r="AF61" s="323" cm="1">
        <f t="array" ref="AF61">SUMPRODUCT((Simulator!$N$8:$N$39+$B$26&lt;=AF$57)*Simulator!$P$8:$P$39)*$B$25</f>
        <v>1863.7739700300001</v>
      </c>
      <c r="AG61" s="323" cm="1">
        <f t="array" ref="AG61">SUMPRODUCT((Simulator!$N$8:$N$39+$B$26&lt;=AG$57)*Simulator!$P$8:$P$39)*$B$25</f>
        <v>1863.7739700300001</v>
      </c>
      <c r="AH61" s="323" cm="1">
        <f t="array" ref="AH61">SUMPRODUCT((Simulator!$N$8:$N$39+$B$26&lt;=AH$57)*Simulator!$P$8:$P$39)*$B$25</f>
        <v>1863.7739700300001</v>
      </c>
      <c r="AI61" s="323" cm="1">
        <f t="array" ref="AI61">SUMPRODUCT((Simulator!$N$8:$N$39+$B$26&lt;=AI$57)*Simulator!$P$8:$P$39)*$B$25</f>
        <v>1863.7739700300001</v>
      </c>
      <c r="AJ61" s="323" cm="1">
        <f t="array" ref="AJ61">SUMPRODUCT((Simulator!$N$8:$N$39+$B$26&lt;=AJ$57)*Simulator!$P$8:$P$39)*$B$25</f>
        <v>1863.7739700300001</v>
      </c>
      <c r="AK61" s="323" cm="1">
        <f t="array" ref="AK61">SUMPRODUCT((Simulator!$N$8:$N$39+$B$26&lt;=AK$57)*Simulator!$P$8:$P$39)*$B$25</f>
        <v>1863.7739700300001</v>
      </c>
      <c r="AL61" s="323" cm="1">
        <f t="array" ref="AL61">SUMPRODUCT((Simulator!$N$8:$N$39+$B$26&lt;=AL$57)*Simulator!$P$8:$P$39)*$B$25</f>
        <v>2049.4404257799997</v>
      </c>
      <c r="AM61" s="323" cm="1">
        <f t="array" ref="AM61">SUMPRODUCT((Simulator!$N$8:$N$39+$B$26&lt;=AM$57)*Simulator!$P$8:$P$39)*$B$25</f>
        <v>2049.4404257799997</v>
      </c>
      <c r="AN61" s="323" cm="1">
        <f t="array" ref="AN61">SUMPRODUCT((Simulator!$N$8:$N$39+$B$26&lt;=AN$57)*Simulator!$P$8:$P$39)*$B$25</f>
        <v>2049.4404257799997</v>
      </c>
      <c r="AO61" s="323" cm="1">
        <f t="array" ref="AO61">SUMPRODUCT((Simulator!$N$8:$N$39+$B$26&lt;=AO$57)*Simulator!$P$8:$P$39)*$B$25</f>
        <v>2049.4404257799997</v>
      </c>
      <c r="AP61" s="323" cm="1">
        <f t="array" ref="AP61">SUMPRODUCT((Simulator!$N$8:$N$39+$B$26&lt;=AP$57)*Simulator!$P$8:$P$39)*$B$25</f>
        <v>2049.4404257799997</v>
      </c>
      <c r="AQ61" s="323" cm="1">
        <f t="array" ref="AQ61">SUMPRODUCT((Simulator!$N$8:$N$39+$B$26&lt;=AQ$57)*Simulator!$P$8:$P$39)*$B$25</f>
        <v>2049.4404257799997</v>
      </c>
      <c r="AR61" s="323" cm="1">
        <f t="array" ref="AR61">SUMPRODUCT((Simulator!$N$8:$N$39+$B$26&lt;=AR$57)*Simulator!$P$8:$P$39)*$B$25</f>
        <v>2049.4404257799997</v>
      </c>
      <c r="AS61" s="323" cm="1">
        <f t="array" ref="AS61">SUMPRODUCT((Simulator!$N$8:$N$39+$B$26&lt;=AS$57)*Simulator!$P$8:$P$39)*$B$25</f>
        <v>2049.4404257799997</v>
      </c>
      <c r="AT61" s="323" cm="1">
        <f t="array" ref="AT61">SUMPRODUCT((Simulator!$N$8:$N$39+$B$26&lt;=AT$57)*Simulator!$P$8:$P$39)*$B$25</f>
        <v>2049.4404257799997</v>
      </c>
      <c r="AU61" s="323" cm="1">
        <f t="array" ref="AU61">SUMPRODUCT((Simulator!$N$8:$N$39+$B$26&lt;=AU$57)*Simulator!$P$8:$P$39)*$B$25</f>
        <v>2049.4404257799997</v>
      </c>
      <c r="AV61" s="323" cm="1">
        <f t="array" ref="AV61">SUMPRODUCT((Simulator!$N$8:$N$39+$B$26&lt;=AV$57)*Simulator!$P$8:$P$39)*$B$25</f>
        <v>2049.4404257799997</v>
      </c>
      <c r="AW61" s="323" cm="1">
        <f t="array" ref="AW61">SUMPRODUCT((Simulator!$N$8:$N$39+$B$26&lt;=AW$57)*Simulator!$P$8:$P$39)*$B$25</f>
        <v>2049.4404257799997</v>
      </c>
      <c r="AX61" s="323" cm="1">
        <f t="array" ref="AX61">SUMPRODUCT((Simulator!$N$8:$N$39+$B$26&lt;=AX$57)*Simulator!$P$8:$P$39)*$B$25</f>
        <v>2049.4404257799997</v>
      </c>
      <c r="AY61" s="323" cm="1">
        <f t="array" ref="AY61">SUMPRODUCT((Simulator!$N$8:$N$39+$B$26&lt;=AY$57)*Simulator!$P$8:$P$39)*$B$25</f>
        <v>2049.4404257799997</v>
      </c>
      <c r="AZ61" s="323" cm="1">
        <f t="array" ref="AZ61">SUMPRODUCT((Simulator!$N$8:$N$39+$B$26&lt;=AZ$57)*Simulator!$P$8:$P$39)*$B$25</f>
        <v>2049.4404257799997</v>
      </c>
      <c r="BA61" s="323" cm="1">
        <f t="array" ref="BA61">SUMPRODUCT((Simulator!$N$8:$N$39+$B$26&lt;=BA$57)*Simulator!$P$8:$P$39)*$B$25</f>
        <v>2049.4404257799997</v>
      </c>
      <c r="BB61" s="323" cm="1">
        <f t="array" ref="BB61">SUMPRODUCT((Simulator!$N$8:$N$39+$B$26&lt;=BB$57)*Simulator!$P$8:$P$39)*$B$25</f>
        <v>2049.4404257799997</v>
      </c>
      <c r="BC61" s="323" cm="1">
        <f t="array" ref="BC61">SUMPRODUCT((Simulator!$N$8:$N$39+$B$26&lt;=BC$57)*Simulator!$P$8:$P$39)*$B$25</f>
        <v>2049.4404257799997</v>
      </c>
      <c r="BD61" s="323" cm="1">
        <f t="array" ref="BD61">SUMPRODUCT((Simulator!$N$8:$N$39+$B$26&lt;=BD$57)*Simulator!$P$8:$P$39)*$B$25</f>
        <v>2049.4404257799997</v>
      </c>
      <c r="BE61" s="323" cm="1">
        <f t="array" ref="BE61">SUMPRODUCT((Simulator!$N$8:$N$39+$B$26&lt;=BE$57)*Simulator!$P$8:$P$39)*$B$25</f>
        <v>2049.4404257799997</v>
      </c>
      <c r="BF61" s="323" cm="1">
        <f t="array" ref="BF61">SUMPRODUCT((Simulator!$N$8:$N$39+$B$26&lt;=BF$57)*Simulator!$P$8:$P$39)*$B$25</f>
        <v>2049.4404257799997</v>
      </c>
      <c r="BG61" s="323" cm="1">
        <f t="array" ref="BG61">SUMPRODUCT((Simulator!$N$8:$N$39+$B$26&lt;=BG$57)*Simulator!$P$8:$P$39)*$B$25</f>
        <v>2049.4404257799997</v>
      </c>
      <c r="BH61" s="323" cm="1">
        <f t="array" ref="BH61">SUMPRODUCT((Simulator!$N$8:$N$39+$B$26&lt;=BH$57)*Simulator!$P$8:$P$39)*$B$25</f>
        <v>2049.4404257799997</v>
      </c>
      <c r="BI61" s="323" cm="1">
        <f t="array" ref="BI61">SUMPRODUCT((Simulator!$N$8:$N$39+$B$26&lt;=BI$57)*Simulator!$P$8:$P$39)*$B$25</f>
        <v>2049.4404257799997</v>
      </c>
      <c r="BJ61" s="323" cm="1">
        <f t="array" ref="BJ61">SUMPRODUCT((Simulator!$N$8:$N$39+$B$26&lt;=BJ$57)*Simulator!$P$8:$P$39)*$B$25</f>
        <v>2049.4404257799997</v>
      </c>
      <c r="BK61" s="323" cm="1">
        <f t="array" ref="BK61">SUMPRODUCT((Simulator!$N$8:$N$39+$B$26&lt;=BK$57)*Simulator!$P$8:$P$39)*$B$25</f>
        <v>2049.4404257799997</v>
      </c>
      <c r="BL61" s="323" cm="1">
        <f t="array" ref="BL61">SUMPRODUCT((Simulator!$N$8:$N$39+$B$26&lt;=BL$57)*Simulator!$P$8:$P$39)*$B$25</f>
        <v>2049.4404257799997</v>
      </c>
      <c r="BM61" s="323" cm="1">
        <f t="array" ref="BM61">SUMPRODUCT((Simulator!$N$8:$N$39+$B$26&lt;=BM$57)*Simulator!$P$8:$P$39)*$B$25</f>
        <v>2049.4404257799997</v>
      </c>
      <c r="BN61" s="323" cm="1">
        <f t="array" ref="BN61">SUMPRODUCT((Simulator!$N$8:$N$39+$B$26&lt;=BN$57)*Simulator!$P$8:$P$39)*$B$25</f>
        <v>2049.4404257799997</v>
      </c>
    </row>
    <row r="62" spans="1:66" ht="17.25" customHeight="1" x14ac:dyDescent="0.2">
      <c r="A62" s="324" t="s">
        <v>747</v>
      </c>
      <c r="B62" s="321"/>
      <c r="C62" s="325">
        <f>C61</f>
        <v>0</v>
      </c>
      <c r="D62" s="325">
        <f>D61-C61</f>
        <v>0</v>
      </c>
      <c r="E62" s="325">
        <f t="shared" ref="E62:BN62" si="5">E61-D61</f>
        <v>0</v>
      </c>
      <c r="F62" s="325">
        <f t="shared" si="5"/>
        <v>0</v>
      </c>
      <c r="G62" s="325">
        <f t="shared" si="5"/>
        <v>0</v>
      </c>
      <c r="H62" s="325">
        <f t="shared" si="5"/>
        <v>0</v>
      </c>
      <c r="I62" s="325">
        <f t="shared" si="5"/>
        <v>0</v>
      </c>
      <c r="J62" s="325">
        <f t="shared" si="5"/>
        <v>0</v>
      </c>
      <c r="K62" s="325">
        <f t="shared" si="5"/>
        <v>0</v>
      </c>
      <c r="L62" s="325">
        <f t="shared" si="5"/>
        <v>0</v>
      </c>
      <c r="M62" s="325">
        <f t="shared" si="5"/>
        <v>0</v>
      </c>
      <c r="N62" s="325">
        <f t="shared" si="5"/>
        <v>0</v>
      </c>
      <c r="O62" s="325">
        <f t="shared" si="5"/>
        <v>150.91560312000001</v>
      </c>
      <c r="P62" s="325">
        <f t="shared" si="5"/>
        <v>0</v>
      </c>
      <c r="Q62" s="325">
        <f t="shared" si="5"/>
        <v>394.12539369000012</v>
      </c>
      <c r="R62" s="325">
        <f t="shared" si="5"/>
        <v>0</v>
      </c>
      <c r="S62" s="325">
        <f t="shared" si="5"/>
        <v>30.53086524999992</v>
      </c>
      <c r="T62" s="325">
        <f t="shared" si="5"/>
        <v>1063.1985291700003</v>
      </c>
      <c r="U62" s="325">
        <f t="shared" si="5"/>
        <v>0</v>
      </c>
      <c r="V62" s="325">
        <f t="shared" si="5"/>
        <v>45.283585559999892</v>
      </c>
      <c r="W62" s="325">
        <f t="shared" si="5"/>
        <v>39.728824000000259</v>
      </c>
      <c r="X62" s="325">
        <f t="shared" si="5"/>
        <v>53.929527479999933</v>
      </c>
      <c r="Y62" s="325">
        <f t="shared" si="5"/>
        <v>0</v>
      </c>
      <c r="Z62" s="325">
        <f t="shared" si="5"/>
        <v>0</v>
      </c>
      <c r="AA62" s="325">
        <f t="shared" si="5"/>
        <v>0</v>
      </c>
      <c r="AB62" s="325">
        <f t="shared" si="5"/>
        <v>86.061641759999702</v>
      </c>
      <c r="AC62" s="325">
        <f t="shared" si="5"/>
        <v>0</v>
      </c>
      <c r="AD62" s="325">
        <f t="shared" si="5"/>
        <v>0</v>
      </c>
      <c r="AE62" s="325">
        <f t="shared" si="5"/>
        <v>0</v>
      </c>
      <c r="AF62" s="325">
        <f t="shared" si="5"/>
        <v>0</v>
      </c>
      <c r="AG62" s="325">
        <f t="shared" si="5"/>
        <v>0</v>
      </c>
      <c r="AH62" s="325">
        <f t="shared" si="5"/>
        <v>0</v>
      </c>
      <c r="AI62" s="325">
        <f t="shared" si="5"/>
        <v>0</v>
      </c>
      <c r="AJ62" s="325">
        <f t="shared" si="5"/>
        <v>0</v>
      </c>
      <c r="AK62" s="325">
        <f t="shared" si="5"/>
        <v>0</v>
      </c>
      <c r="AL62" s="325">
        <f t="shared" si="5"/>
        <v>185.66645574999961</v>
      </c>
      <c r="AM62" s="325">
        <f t="shared" si="5"/>
        <v>0</v>
      </c>
      <c r="AN62" s="325">
        <f t="shared" si="5"/>
        <v>0</v>
      </c>
      <c r="AO62" s="325">
        <f t="shared" si="5"/>
        <v>0</v>
      </c>
      <c r="AP62" s="325">
        <f t="shared" si="5"/>
        <v>0</v>
      </c>
      <c r="AQ62" s="325">
        <f t="shared" si="5"/>
        <v>0</v>
      </c>
      <c r="AR62" s="325">
        <f t="shared" si="5"/>
        <v>0</v>
      </c>
      <c r="AS62" s="325">
        <f t="shared" si="5"/>
        <v>0</v>
      </c>
      <c r="AT62" s="325">
        <f t="shared" si="5"/>
        <v>0</v>
      </c>
      <c r="AU62" s="325">
        <f t="shared" si="5"/>
        <v>0</v>
      </c>
      <c r="AV62" s="325">
        <f t="shared" si="5"/>
        <v>0</v>
      </c>
      <c r="AW62" s="325">
        <f t="shared" si="5"/>
        <v>0</v>
      </c>
      <c r="AX62" s="325">
        <f t="shared" si="5"/>
        <v>0</v>
      </c>
      <c r="AY62" s="325">
        <f t="shared" si="5"/>
        <v>0</v>
      </c>
      <c r="AZ62" s="325">
        <f t="shared" si="5"/>
        <v>0</v>
      </c>
      <c r="BA62" s="325">
        <f t="shared" si="5"/>
        <v>0</v>
      </c>
      <c r="BB62" s="325">
        <f t="shared" si="5"/>
        <v>0</v>
      </c>
      <c r="BC62" s="325">
        <f t="shared" si="5"/>
        <v>0</v>
      </c>
      <c r="BD62" s="325">
        <f t="shared" si="5"/>
        <v>0</v>
      </c>
      <c r="BE62" s="325">
        <f t="shared" si="5"/>
        <v>0</v>
      </c>
      <c r="BF62" s="325">
        <f t="shared" si="5"/>
        <v>0</v>
      </c>
      <c r="BG62" s="325">
        <f t="shared" si="5"/>
        <v>0</v>
      </c>
      <c r="BH62" s="325">
        <f t="shared" si="5"/>
        <v>0</v>
      </c>
      <c r="BI62" s="325">
        <f t="shared" si="5"/>
        <v>0</v>
      </c>
      <c r="BJ62" s="325">
        <f t="shared" si="5"/>
        <v>0</v>
      </c>
      <c r="BK62" s="325">
        <f t="shared" si="5"/>
        <v>0</v>
      </c>
      <c r="BL62" s="325">
        <f t="shared" si="5"/>
        <v>0</v>
      </c>
      <c r="BM62" s="325">
        <f t="shared" si="5"/>
        <v>0</v>
      </c>
      <c r="BN62" s="325">
        <f t="shared" si="5"/>
        <v>0</v>
      </c>
    </row>
    <row r="63" spans="1:66" ht="17.25" customHeight="1" x14ac:dyDescent="0.2">
      <c r="A63" s="321" t="s">
        <v>748</v>
      </c>
      <c r="B63" s="321"/>
      <c r="C63" s="323" cm="1">
        <f t="array" ref="C63">_xlfn.LET(_xlpm.m,C$57,_xlpm.cert,IF(Simulator!$H$8:$H$39+Simulator!$O$8:$O$39*_xlpm.m&gt;100,100,Simulator!$H$8:$H$39+Simulator!$O$8:$O$39*_xlpm.m),SUMPRODUCT(Simulator!$P$8:$P$39*$B$20*(_xlpm.cert-Simulator!$H$8:$H$39)/100))</f>
        <v>1602.8568073368108</v>
      </c>
      <c r="D63" s="323" cm="1">
        <f t="array" ref="D63">_xlfn.LET(_xlpm.m,D$57,_xlpm.cert,IF(Simulator!$H$8:$H$39+Simulator!$O$8:$O$39*_xlpm.m&gt;100,100,Simulator!$H$8:$H$39+Simulator!$O$8:$O$39*_xlpm.m),SUMPRODUCT(Simulator!$P$8:$P$39*$B$20*(_xlpm.cert-Simulator!$H$8:$H$39)/100))</f>
        <v>3205.7136146736216</v>
      </c>
      <c r="E63" s="323" cm="1">
        <f t="array" ref="E63">_xlfn.LET(_xlpm.m,E$57,_xlpm.cert,IF(Simulator!$H$8:$H$39+Simulator!$O$8:$O$39*_xlpm.m&gt;100,100,Simulator!$H$8:$H$39+Simulator!$O$8:$O$39*_xlpm.m),SUMPRODUCT(Simulator!$P$8:$P$39*$B$20*(_xlpm.cert-Simulator!$H$8:$H$39)/100))</f>
        <v>4808.5704220104335</v>
      </c>
      <c r="F63" s="323" cm="1">
        <f t="array" ref="F63">_xlfn.LET(_xlpm.m,F$57,_xlpm.cert,IF(Simulator!$H$8:$H$39+Simulator!$O$8:$O$39*_xlpm.m&gt;100,100,Simulator!$H$8:$H$39+Simulator!$O$8:$O$39*_xlpm.m),SUMPRODUCT(Simulator!$P$8:$P$39*$B$20*(_xlpm.cert-Simulator!$H$8:$H$39)/100))</f>
        <v>6411.4272293472432</v>
      </c>
      <c r="G63" s="323" cm="1">
        <f t="array" ref="G63">_xlfn.LET(_xlpm.m,G$57,_xlpm.cert,IF(Simulator!$H$8:$H$39+Simulator!$O$8:$O$39*_xlpm.m&gt;100,100,Simulator!$H$8:$H$39+Simulator!$O$8:$O$39*_xlpm.m),SUMPRODUCT(Simulator!$P$8:$P$39*$B$20*(_xlpm.cert-Simulator!$H$8:$H$39)/100))</f>
        <v>7953.0279112095523</v>
      </c>
      <c r="H63" s="323" cm="1">
        <f t="array" ref="H63">_xlfn.LET(_xlpm.m,H$57,_xlpm.cert,IF(Simulator!$H$8:$H$39+Simulator!$O$8:$O$39*_xlpm.m&gt;100,100,Simulator!$H$8:$H$39+Simulator!$O$8:$O$39*_xlpm.m),SUMPRODUCT(Simulator!$P$8:$P$39*$B$20*(_xlpm.cert-Simulator!$H$8:$H$39)/100))</f>
        <v>9457.8749177871669</v>
      </c>
      <c r="I63" s="323" cm="1">
        <f t="array" ref="I63">_xlfn.LET(_xlpm.m,I$57,_xlpm.cert,IF(Simulator!$H$8:$H$39+Simulator!$O$8:$O$39*_xlpm.m&gt;100,100,Simulator!$H$8:$H$39+Simulator!$O$8:$O$39*_xlpm.m),SUMPRODUCT(Simulator!$P$8:$P$39*$B$20*(_xlpm.cert-Simulator!$H$8:$H$39)/100))</f>
        <v>10777.418151774575</v>
      </c>
      <c r="J63" s="323" cm="1">
        <f t="array" ref="J63">_xlfn.LET(_xlpm.m,J$57,_xlpm.cert,IF(Simulator!$H$8:$H$39+Simulator!$O$8:$O$39*_xlpm.m&gt;100,100,Simulator!$H$8:$H$39+Simulator!$O$8:$O$39*_xlpm.m),SUMPRODUCT(Simulator!$P$8:$P$39*$B$20*(_xlpm.cert-Simulator!$H$8:$H$39)/100))</f>
        <v>12034.534760928304</v>
      </c>
      <c r="K63" s="323" cm="1">
        <f t="array" ref="K63">_xlfn.LET(_xlpm.m,K$57,_xlpm.cert,IF(Simulator!$H$8:$H$39+Simulator!$O$8:$O$39*_xlpm.m&gt;100,100,Simulator!$H$8:$H$39+Simulator!$O$8:$O$39*_xlpm.m),SUMPRODUCT(Simulator!$P$8:$P$39*$B$20*(_xlpm.cert-Simulator!$H$8:$H$39)/100))</f>
        <v>13074.861835840673</v>
      </c>
      <c r="L63" s="323" cm="1">
        <f t="array" ref="L63">_xlfn.LET(_xlpm.m,L$57,_xlpm.cert,IF(Simulator!$H$8:$H$39+Simulator!$O$8:$O$39*_xlpm.m&gt;100,100,Simulator!$H$8:$H$39+Simulator!$O$8:$O$39*_xlpm.m),SUMPRODUCT(Simulator!$P$8:$P$39*$B$20*(_xlpm.cert-Simulator!$H$8:$H$39)/100))</f>
        <v>13937.951029332795</v>
      </c>
      <c r="M63" s="323" cm="1">
        <f t="array" ref="M63">_xlfn.LET(_xlpm.m,M$57,_xlpm.cert,IF(Simulator!$H$8:$H$39+Simulator!$O$8:$O$39*_xlpm.m&gt;100,100,Simulator!$H$8:$H$39+Simulator!$O$8:$O$39*_xlpm.m),SUMPRODUCT(Simulator!$P$8:$P$39*$B$20*(_xlpm.cert-Simulator!$H$8:$H$39)/100))</f>
        <v>14266.291459379408</v>
      </c>
      <c r="N63" s="323" cm="1">
        <f t="array" ref="N63">_xlfn.LET(_xlpm.m,N$57,_xlpm.cert,IF(Simulator!$H$8:$H$39+Simulator!$O$8:$O$39*_xlpm.m&gt;100,100,Simulator!$H$8:$H$39+Simulator!$O$8:$O$39*_xlpm.m),SUMPRODUCT(Simulator!$P$8:$P$39*$B$20*(_xlpm.cert-Simulator!$H$8:$H$39)/100))</f>
        <v>14592.264875062023</v>
      </c>
      <c r="O63" s="323" cm="1">
        <f t="array" ref="O63">_xlfn.LET(_xlpm.m,O$57,_xlpm.cert,IF(Simulator!$H$8:$H$39+Simulator!$O$8:$O$39*_xlpm.m&gt;100,100,Simulator!$H$8:$H$39+Simulator!$O$8:$O$39*_xlpm.m),SUMPRODUCT(Simulator!$P$8:$P$39*$B$20*(_xlpm.cert-Simulator!$H$8:$H$39)/100))</f>
        <v>14817.658865737028</v>
      </c>
      <c r="P63" s="323" cm="1">
        <f t="array" ref="P63">_xlfn.LET(_xlpm.m,P$57,_xlpm.cert,IF(Simulator!$H$8:$H$39+Simulator!$O$8:$O$39*_xlpm.m&gt;100,100,Simulator!$H$8:$H$39+Simulator!$O$8:$O$39*_xlpm.m),SUMPRODUCT(Simulator!$P$8:$P$39*$B$20*(_xlpm.cert-Simulator!$H$8:$H$39)/100))</f>
        <v>14942.47343140444</v>
      </c>
      <c r="Q63" s="323" cm="1">
        <f t="array" ref="Q63">_xlfn.LET(_xlpm.m,Q$57,_xlpm.cert,IF(Simulator!$H$8:$H$39+Simulator!$O$8:$O$39*_xlpm.m&gt;100,100,Simulator!$H$8:$H$39+Simulator!$O$8:$O$39*_xlpm.m),SUMPRODUCT(Simulator!$P$8:$P$39*$B$20*(_xlpm.cert-Simulator!$H$8:$H$39)/100))</f>
        <v>15003.738851344238</v>
      </c>
      <c r="R63" s="323" cm="1">
        <f t="array" ref="R63">_xlfn.LET(_xlpm.m,R$57,_xlpm.cert,IF(Simulator!$H$8:$H$39+Simulator!$O$8:$O$39*_xlpm.m&gt;100,100,Simulator!$H$8:$H$39+Simulator!$O$8:$O$39*_xlpm.m),SUMPRODUCT(Simulator!$P$8:$P$39*$B$20*(_xlpm.cert-Simulator!$H$8:$H$39)/100))</f>
        <v>15065.00427128404</v>
      </c>
      <c r="S63" s="323" cm="1">
        <f t="array" ref="S63">_xlfn.LET(_xlpm.m,S$57,_xlpm.cert,IF(Simulator!$H$8:$H$39+Simulator!$O$8:$O$39*_xlpm.m&gt;100,100,Simulator!$H$8:$H$39+Simulator!$O$8:$O$39*_xlpm.m),SUMPRODUCT(Simulator!$P$8:$P$39*$B$20*(_xlpm.cert-Simulator!$H$8:$H$39)/100))</f>
        <v>15126.269691223843</v>
      </c>
      <c r="T63" s="323" cm="1">
        <f t="array" ref="T63">_xlfn.LET(_xlpm.m,T$57,_xlpm.cert,IF(Simulator!$H$8:$H$39+Simulator!$O$8:$O$39*_xlpm.m&gt;100,100,Simulator!$H$8:$H$39+Simulator!$O$8:$O$39*_xlpm.m),SUMPRODUCT(Simulator!$P$8:$P$39*$B$20*(_xlpm.cert-Simulator!$H$8:$H$39)/100))</f>
        <v>15187.535111163645</v>
      </c>
      <c r="U63" s="323" cm="1">
        <f t="array" ref="U63">_xlfn.LET(_xlpm.m,U$57,_xlpm.cert,IF(Simulator!$H$8:$H$39+Simulator!$O$8:$O$39*_xlpm.m&gt;100,100,Simulator!$H$8:$H$39+Simulator!$O$8:$O$39*_xlpm.m),SUMPRODUCT(Simulator!$P$8:$P$39*$B$20*(_xlpm.cert-Simulator!$H$8:$H$39)/100))</f>
        <v>15248.800531103445</v>
      </c>
      <c r="V63" s="323" cm="1">
        <f t="array" ref="V63">_xlfn.LET(_xlpm.m,V$57,_xlpm.cert,IF(Simulator!$H$8:$H$39+Simulator!$O$8:$O$39*_xlpm.m&gt;100,100,Simulator!$H$8:$H$39+Simulator!$O$8:$O$39*_xlpm.m),SUMPRODUCT(Simulator!$P$8:$P$39*$B$20*(_xlpm.cert-Simulator!$H$8:$H$39)/100))</f>
        <v>15310.065951043249</v>
      </c>
      <c r="W63" s="323" cm="1">
        <f t="array" ref="W63">_xlfn.LET(_xlpm.m,W$57,_xlpm.cert,IF(Simulator!$H$8:$H$39+Simulator!$O$8:$O$39*_xlpm.m&gt;100,100,Simulator!$H$8:$H$39+Simulator!$O$8:$O$39*_xlpm.m),SUMPRODUCT(Simulator!$P$8:$P$39*$B$20*(_xlpm.cert-Simulator!$H$8:$H$39)/100))</f>
        <v>15371.331370983049</v>
      </c>
      <c r="X63" s="323" cm="1">
        <f t="array" ref="X63">_xlfn.LET(_xlpm.m,X$57,_xlpm.cert,IF(Simulator!$H$8:$H$39+Simulator!$O$8:$O$39*_xlpm.m&gt;100,100,Simulator!$H$8:$H$39+Simulator!$O$8:$O$39*_xlpm.m),SUMPRODUCT(Simulator!$P$8:$P$39*$B$20*(_xlpm.cert-Simulator!$H$8:$H$39)/100))</f>
        <v>15432.596790922849</v>
      </c>
      <c r="Y63" s="323" cm="1">
        <f t="array" ref="Y63">_xlfn.LET(_xlpm.m,Y$57,_xlpm.cert,IF(Simulator!$H$8:$H$39+Simulator!$O$8:$O$39*_xlpm.m&gt;100,100,Simulator!$H$8:$H$39+Simulator!$O$8:$O$39*_xlpm.m),SUMPRODUCT(Simulator!$P$8:$P$39*$B$20*(_xlpm.cert-Simulator!$H$8:$H$39)/100))</f>
        <v>15493.862210862651</v>
      </c>
      <c r="Z63" s="323" cm="1">
        <f t="array" ref="Z63">_xlfn.LET(_xlpm.m,Z$57,_xlpm.cert,IF(Simulator!$H$8:$H$39+Simulator!$O$8:$O$39*_xlpm.m&gt;100,100,Simulator!$H$8:$H$39+Simulator!$O$8:$O$39*_xlpm.m),SUMPRODUCT(Simulator!$P$8:$P$39*$B$20*(_xlpm.cert-Simulator!$H$8:$H$39)/100))</f>
        <v>15555.127630802453</v>
      </c>
      <c r="AA63" s="323" cm="1">
        <f t="array" ref="AA63">_xlfn.LET(_xlpm.m,AA$57,_xlpm.cert,IF(Simulator!$H$8:$H$39+Simulator!$O$8:$O$39*_xlpm.m&gt;100,100,Simulator!$H$8:$H$39+Simulator!$O$8:$O$39*_xlpm.m),SUMPRODUCT(Simulator!$P$8:$P$39*$B$20*(_xlpm.cert-Simulator!$H$8:$H$39)/100))</f>
        <v>15555.127630802453</v>
      </c>
      <c r="AB63" s="323" cm="1">
        <f t="array" ref="AB63">_xlfn.LET(_xlpm.m,AB$57,_xlpm.cert,IF(Simulator!$H$8:$H$39+Simulator!$O$8:$O$39*_xlpm.m&gt;100,100,Simulator!$H$8:$H$39+Simulator!$O$8:$O$39*_xlpm.m),SUMPRODUCT(Simulator!$P$8:$P$39*$B$20*(_xlpm.cert-Simulator!$H$8:$H$39)/100))</f>
        <v>15555.127630802453</v>
      </c>
      <c r="AC63" s="323" cm="1">
        <f t="array" ref="AC63">_xlfn.LET(_xlpm.m,AC$57,_xlpm.cert,IF(Simulator!$H$8:$H$39+Simulator!$O$8:$O$39*_xlpm.m&gt;100,100,Simulator!$H$8:$H$39+Simulator!$O$8:$O$39*_xlpm.m),SUMPRODUCT(Simulator!$P$8:$P$39*$B$20*(_xlpm.cert-Simulator!$H$8:$H$39)/100))</f>
        <v>15555.127630802453</v>
      </c>
      <c r="AD63" s="323" cm="1">
        <f t="array" ref="AD63">_xlfn.LET(_xlpm.m,AD$57,_xlpm.cert,IF(Simulator!$H$8:$H$39+Simulator!$O$8:$O$39*_xlpm.m&gt;100,100,Simulator!$H$8:$H$39+Simulator!$O$8:$O$39*_xlpm.m),SUMPRODUCT(Simulator!$P$8:$P$39*$B$20*(_xlpm.cert-Simulator!$H$8:$H$39)/100))</f>
        <v>15555.127630802453</v>
      </c>
      <c r="AE63" s="323" cm="1">
        <f t="array" ref="AE63">_xlfn.LET(_xlpm.m,AE$57,_xlpm.cert,IF(Simulator!$H$8:$H$39+Simulator!$O$8:$O$39*_xlpm.m&gt;100,100,Simulator!$H$8:$H$39+Simulator!$O$8:$O$39*_xlpm.m),SUMPRODUCT(Simulator!$P$8:$P$39*$B$20*(_xlpm.cert-Simulator!$H$8:$H$39)/100))</f>
        <v>15555.127630802453</v>
      </c>
      <c r="AF63" s="323" cm="1">
        <f t="array" ref="AF63">_xlfn.LET(_xlpm.m,AF$57,_xlpm.cert,IF(Simulator!$H$8:$H$39+Simulator!$O$8:$O$39*_xlpm.m&gt;100,100,Simulator!$H$8:$H$39+Simulator!$O$8:$O$39*_xlpm.m),SUMPRODUCT(Simulator!$P$8:$P$39*$B$20*(_xlpm.cert-Simulator!$H$8:$H$39)/100))</f>
        <v>15555.127630802453</v>
      </c>
      <c r="AG63" s="323" cm="1">
        <f t="array" ref="AG63">_xlfn.LET(_xlpm.m,AG$57,_xlpm.cert,IF(Simulator!$H$8:$H$39+Simulator!$O$8:$O$39*_xlpm.m&gt;100,100,Simulator!$H$8:$H$39+Simulator!$O$8:$O$39*_xlpm.m),SUMPRODUCT(Simulator!$P$8:$P$39*$B$20*(_xlpm.cert-Simulator!$H$8:$H$39)/100))</f>
        <v>15555.127630802453</v>
      </c>
      <c r="AH63" s="323" cm="1">
        <f t="array" ref="AH63">_xlfn.LET(_xlpm.m,AH$57,_xlpm.cert,IF(Simulator!$H$8:$H$39+Simulator!$O$8:$O$39*_xlpm.m&gt;100,100,Simulator!$H$8:$H$39+Simulator!$O$8:$O$39*_xlpm.m),SUMPRODUCT(Simulator!$P$8:$P$39*$B$20*(_xlpm.cert-Simulator!$H$8:$H$39)/100))</f>
        <v>15555.127630802453</v>
      </c>
      <c r="AI63" s="323" cm="1">
        <f t="array" ref="AI63">_xlfn.LET(_xlpm.m,AI$57,_xlpm.cert,IF(Simulator!$H$8:$H$39+Simulator!$O$8:$O$39*_xlpm.m&gt;100,100,Simulator!$H$8:$H$39+Simulator!$O$8:$O$39*_xlpm.m),SUMPRODUCT(Simulator!$P$8:$P$39*$B$20*(_xlpm.cert-Simulator!$H$8:$H$39)/100))</f>
        <v>15555.127630802453</v>
      </c>
      <c r="AJ63" s="323" cm="1">
        <f t="array" ref="AJ63">_xlfn.LET(_xlpm.m,AJ$57,_xlpm.cert,IF(Simulator!$H$8:$H$39+Simulator!$O$8:$O$39*_xlpm.m&gt;100,100,Simulator!$H$8:$H$39+Simulator!$O$8:$O$39*_xlpm.m),SUMPRODUCT(Simulator!$P$8:$P$39*$B$20*(_xlpm.cert-Simulator!$H$8:$H$39)/100))</f>
        <v>15555.127630802453</v>
      </c>
      <c r="AK63" s="323" cm="1">
        <f t="array" ref="AK63">_xlfn.LET(_xlpm.m,AK$57,_xlpm.cert,IF(Simulator!$H$8:$H$39+Simulator!$O$8:$O$39*_xlpm.m&gt;100,100,Simulator!$H$8:$H$39+Simulator!$O$8:$O$39*_xlpm.m),SUMPRODUCT(Simulator!$P$8:$P$39*$B$20*(_xlpm.cert-Simulator!$H$8:$H$39)/100))</f>
        <v>15555.127630802453</v>
      </c>
      <c r="AL63" s="323" cm="1">
        <f t="array" ref="AL63">_xlfn.LET(_xlpm.m,AL$57,_xlpm.cert,IF(Simulator!$H$8:$H$39+Simulator!$O$8:$O$39*_xlpm.m&gt;100,100,Simulator!$H$8:$H$39+Simulator!$O$8:$O$39*_xlpm.m),SUMPRODUCT(Simulator!$P$8:$P$39*$B$20*(_xlpm.cert-Simulator!$H$8:$H$39)/100))</f>
        <v>15555.127630802453</v>
      </c>
      <c r="AM63" s="323" cm="1">
        <f t="array" ref="AM63">_xlfn.LET(_xlpm.m,AM$57,_xlpm.cert,IF(Simulator!$H$8:$H$39+Simulator!$O$8:$O$39*_xlpm.m&gt;100,100,Simulator!$H$8:$H$39+Simulator!$O$8:$O$39*_xlpm.m),SUMPRODUCT(Simulator!$P$8:$P$39*$B$20*(_xlpm.cert-Simulator!$H$8:$H$39)/100))</f>
        <v>15555.127630802453</v>
      </c>
      <c r="AN63" s="323" cm="1">
        <f t="array" ref="AN63">_xlfn.LET(_xlpm.m,AN$57,_xlpm.cert,IF(Simulator!$H$8:$H$39+Simulator!$O$8:$O$39*_xlpm.m&gt;100,100,Simulator!$H$8:$H$39+Simulator!$O$8:$O$39*_xlpm.m),SUMPRODUCT(Simulator!$P$8:$P$39*$B$20*(_xlpm.cert-Simulator!$H$8:$H$39)/100))</f>
        <v>15555.127630802453</v>
      </c>
      <c r="AO63" s="323" cm="1">
        <f t="array" ref="AO63">_xlfn.LET(_xlpm.m,AO$57,_xlpm.cert,IF(Simulator!$H$8:$H$39+Simulator!$O$8:$O$39*_xlpm.m&gt;100,100,Simulator!$H$8:$H$39+Simulator!$O$8:$O$39*_xlpm.m),SUMPRODUCT(Simulator!$P$8:$P$39*$B$20*(_xlpm.cert-Simulator!$H$8:$H$39)/100))</f>
        <v>15555.127630802453</v>
      </c>
      <c r="AP63" s="323" cm="1">
        <f t="array" ref="AP63">_xlfn.LET(_xlpm.m,AP$57,_xlpm.cert,IF(Simulator!$H$8:$H$39+Simulator!$O$8:$O$39*_xlpm.m&gt;100,100,Simulator!$H$8:$H$39+Simulator!$O$8:$O$39*_xlpm.m),SUMPRODUCT(Simulator!$P$8:$P$39*$B$20*(_xlpm.cert-Simulator!$H$8:$H$39)/100))</f>
        <v>15555.127630802453</v>
      </c>
      <c r="AQ63" s="323" cm="1">
        <f t="array" ref="AQ63">_xlfn.LET(_xlpm.m,AQ$57,_xlpm.cert,IF(Simulator!$H$8:$H$39+Simulator!$O$8:$O$39*_xlpm.m&gt;100,100,Simulator!$H$8:$H$39+Simulator!$O$8:$O$39*_xlpm.m),SUMPRODUCT(Simulator!$P$8:$P$39*$B$20*(_xlpm.cert-Simulator!$H$8:$H$39)/100))</f>
        <v>15555.127630802453</v>
      </c>
      <c r="AR63" s="323" cm="1">
        <f t="array" ref="AR63">_xlfn.LET(_xlpm.m,AR$57,_xlpm.cert,IF(Simulator!$H$8:$H$39+Simulator!$O$8:$O$39*_xlpm.m&gt;100,100,Simulator!$H$8:$H$39+Simulator!$O$8:$O$39*_xlpm.m),SUMPRODUCT(Simulator!$P$8:$P$39*$B$20*(_xlpm.cert-Simulator!$H$8:$H$39)/100))</f>
        <v>15555.127630802453</v>
      </c>
      <c r="AS63" s="323" cm="1">
        <f t="array" ref="AS63">_xlfn.LET(_xlpm.m,AS$57,_xlpm.cert,IF(Simulator!$H$8:$H$39+Simulator!$O$8:$O$39*_xlpm.m&gt;100,100,Simulator!$H$8:$H$39+Simulator!$O$8:$O$39*_xlpm.m),SUMPRODUCT(Simulator!$P$8:$P$39*$B$20*(_xlpm.cert-Simulator!$H$8:$H$39)/100))</f>
        <v>15555.127630802453</v>
      </c>
      <c r="AT63" s="323" cm="1">
        <f t="array" ref="AT63">_xlfn.LET(_xlpm.m,AT$57,_xlpm.cert,IF(Simulator!$H$8:$H$39+Simulator!$O$8:$O$39*_xlpm.m&gt;100,100,Simulator!$H$8:$H$39+Simulator!$O$8:$O$39*_xlpm.m),SUMPRODUCT(Simulator!$P$8:$P$39*$B$20*(_xlpm.cert-Simulator!$H$8:$H$39)/100))</f>
        <v>15555.127630802453</v>
      </c>
      <c r="AU63" s="323" cm="1">
        <f t="array" ref="AU63">_xlfn.LET(_xlpm.m,AU$57,_xlpm.cert,IF(Simulator!$H$8:$H$39+Simulator!$O$8:$O$39*_xlpm.m&gt;100,100,Simulator!$H$8:$H$39+Simulator!$O$8:$O$39*_xlpm.m),SUMPRODUCT(Simulator!$P$8:$P$39*$B$20*(_xlpm.cert-Simulator!$H$8:$H$39)/100))</f>
        <v>15555.127630802453</v>
      </c>
      <c r="AV63" s="323" cm="1">
        <f t="array" ref="AV63">_xlfn.LET(_xlpm.m,AV$57,_xlpm.cert,IF(Simulator!$H$8:$H$39+Simulator!$O$8:$O$39*_xlpm.m&gt;100,100,Simulator!$H$8:$H$39+Simulator!$O$8:$O$39*_xlpm.m),SUMPRODUCT(Simulator!$P$8:$P$39*$B$20*(_xlpm.cert-Simulator!$H$8:$H$39)/100))</f>
        <v>15555.127630802453</v>
      </c>
      <c r="AW63" s="323" cm="1">
        <f t="array" ref="AW63">_xlfn.LET(_xlpm.m,AW$57,_xlpm.cert,IF(Simulator!$H$8:$H$39+Simulator!$O$8:$O$39*_xlpm.m&gt;100,100,Simulator!$H$8:$H$39+Simulator!$O$8:$O$39*_xlpm.m),SUMPRODUCT(Simulator!$P$8:$P$39*$B$20*(_xlpm.cert-Simulator!$H$8:$H$39)/100))</f>
        <v>15555.127630802453</v>
      </c>
      <c r="AX63" s="323" cm="1">
        <f t="array" ref="AX63">_xlfn.LET(_xlpm.m,AX$57,_xlpm.cert,IF(Simulator!$H$8:$H$39+Simulator!$O$8:$O$39*_xlpm.m&gt;100,100,Simulator!$H$8:$H$39+Simulator!$O$8:$O$39*_xlpm.m),SUMPRODUCT(Simulator!$P$8:$P$39*$B$20*(_xlpm.cert-Simulator!$H$8:$H$39)/100))</f>
        <v>15555.127630802453</v>
      </c>
      <c r="AY63" s="323" cm="1">
        <f t="array" ref="AY63">_xlfn.LET(_xlpm.m,AY$57,_xlpm.cert,IF(Simulator!$H$8:$H$39+Simulator!$O$8:$O$39*_xlpm.m&gt;100,100,Simulator!$H$8:$H$39+Simulator!$O$8:$O$39*_xlpm.m),SUMPRODUCT(Simulator!$P$8:$P$39*$B$20*(_xlpm.cert-Simulator!$H$8:$H$39)/100))</f>
        <v>15555.127630802453</v>
      </c>
      <c r="AZ63" s="323" cm="1">
        <f t="array" ref="AZ63">_xlfn.LET(_xlpm.m,AZ$57,_xlpm.cert,IF(Simulator!$H$8:$H$39+Simulator!$O$8:$O$39*_xlpm.m&gt;100,100,Simulator!$H$8:$H$39+Simulator!$O$8:$O$39*_xlpm.m),SUMPRODUCT(Simulator!$P$8:$P$39*$B$20*(_xlpm.cert-Simulator!$H$8:$H$39)/100))</f>
        <v>15555.127630802453</v>
      </c>
      <c r="BA63" s="323" cm="1">
        <f t="array" ref="BA63">_xlfn.LET(_xlpm.m,BA$57,_xlpm.cert,IF(Simulator!$H$8:$H$39+Simulator!$O$8:$O$39*_xlpm.m&gt;100,100,Simulator!$H$8:$H$39+Simulator!$O$8:$O$39*_xlpm.m),SUMPRODUCT(Simulator!$P$8:$P$39*$B$20*(_xlpm.cert-Simulator!$H$8:$H$39)/100))</f>
        <v>15555.127630802453</v>
      </c>
      <c r="BB63" s="323" cm="1">
        <f t="array" ref="BB63">_xlfn.LET(_xlpm.m,BB$57,_xlpm.cert,IF(Simulator!$H$8:$H$39+Simulator!$O$8:$O$39*_xlpm.m&gt;100,100,Simulator!$H$8:$H$39+Simulator!$O$8:$O$39*_xlpm.m),SUMPRODUCT(Simulator!$P$8:$P$39*$B$20*(_xlpm.cert-Simulator!$H$8:$H$39)/100))</f>
        <v>15555.127630802453</v>
      </c>
      <c r="BC63" s="323" cm="1">
        <f t="array" ref="BC63">_xlfn.LET(_xlpm.m,BC$57,_xlpm.cert,IF(Simulator!$H$8:$H$39+Simulator!$O$8:$O$39*_xlpm.m&gt;100,100,Simulator!$H$8:$H$39+Simulator!$O$8:$O$39*_xlpm.m),SUMPRODUCT(Simulator!$P$8:$P$39*$B$20*(_xlpm.cert-Simulator!$H$8:$H$39)/100))</f>
        <v>15555.127630802453</v>
      </c>
      <c r="BD63" s="323" cm="1">
        <f t="array" ref="BD63">_xlfn.LET(_xlpm.m,BD$57,_xlpm.cert,IF(Simulator!$H$8:$H$39+Simulator!$O$8:$O$39*_xlpm.m&gt;100,100,Simulator!$H$8:$H$39+Simulator!$O$8:$O$39*_xlpm.m),SUMPRODUCT(Simulator!$P$8:$P$39*$B$20*(_xlpm.cert-Simulator!$H$8:$H$39)/100))</f>
        <v>15555.127630802453</v>
      </c>
      <c r="BE63" s="323" cm="1">
        <f t="array" ref="BE63">_xlfn.LET(_xlpm.m,BE$57,_xlpm.cert,IF(Simulator!$H$8:$H$39+Simulator!$O$8:$O$39*_xlpm.m&gt;100,100,Simulator!$H$8:$H$39+Simulator!$O$8:$O$39*_xlpm.m),SUMPRODUCT(Simulator!$P$8:$P$39*$B$20*(_xlpm.cert-Simulator!$H$8:$H$39)/100))</f>
        <v>15555.127630802453</v>
      </c>
      <c r="BF63" s="323" cm="1">
        <f t="array" ref="BF63">_xlfn.LET(_xlpm.m,BF$57,_xlpm.cert,IF(Simulator!$H$8:$H$39+Simulator!$O$8:$O$39*_xlpm.m&gt;100,100,Simulator!$H$8:$H$39+Simulator!$O$8:$O$39*_xlpm.m),SUMPRODUCT(Simulator!$P$8:$P$39*$B$20*(_xlpm.cert-Simulator!$H$8:$H$39)/100))</f>
        <v>15555.127630802453</v>
      </c>
      <c r="BG63" s="323" cm="1">
        <f t="array" ref="BG63">_xlfn.LET(_xlpm.m,BG$57,_xlpm.cert,IF(Simulator!$H$8:$H$39+Simulator!$O$8:$O$39*_xlpm.m&gt;100,100,Simulator!$H$8:$H$39+Simulator!$O$8:$O$39*_xlpm.m),SUMPRODUCT(Simulator!$P$8:$P$39*$B$20*(_xlpm.cert-Simulator!$H$8:$H$39)/100))</f>
        <v>15555.127630802453</v>
      </c>
      <c r="BH63" s="323" cm="1">
        <f t="array" ref="BH63">_xlfn.LET(_xlpm.m,BH$57,_xlpm.cert,IF(Simulator!$H$8:$H$39+Simulator!$O$8:$O$39*_xlpm.m&gt;100,100,Simulator!$H$8:$H$39+Simulator!$O$8:$O$39*_xlpm.m),SUMPRODUCT(Simulator!$P$8:$P$39*$B$20*(_xlpm.cert-Simulator!$H$8:$H$39)/100))</f>
        <v>15555.127630802453</v>
      </c>
      <c r="BI63" s="323" cm="1">
        <f t="array" ref="BI63">_xlfn.LET(_xlpm.m,BI$57,_xlpm.cert,IF(Simulator!$H$8:$H$39+Simulator!$O$8:$O$39*_xlpm.m&gt;100,100,Simulator!$H$8:$H$39+Simulator!$O$8:$O$39*_xlpm.m),SUMPRODUCT(Simulator!$P$8:$P$39*$B$20*(_xlpm.cert-Simulator!$H$8:$H$39)/100))</f>
        <v>15555.127630802453</v>
      </c>
      <c r="BJ63" s="323" cm="1">
        <f t="array" ref="BJ63">_xlfn.LET(_xlpm.m,BJ$57,_xlpm.cert,IF(Simulator!$H$8:$H$39+Simulator!$O$8:$O$39*_xlpm.m&gt;100,100,Simulator!$H$8:$H$39+Simulator!$O$8:$O$39*_xlpm.m),SUMPRODUCT(Simulator!$P$8:$P$39*$B$20*(_xlpm.cert-Simulator!$H$8:$H$39)/100))</f>
        <v>15555.127630802453</v>
      </c>
      <c r="BK63" s="323" cm="1">
        <f t="array" ref="BK63">_xlfn.LET(_xlpm.m,BK$57,_xlpm.cert,IF(Simulator!$H$8:$H$39+Simulator!$O$8:$O$39*_xlpm.m&gt;100,100,Simulator!$H$8:$H$39+Simulator!$O$8:$O$39*_xlpm.m),SUMPRODUCT(Simulator!$P$8:$P$39*$B$20*(_xlpm.cert-Simulator!$H$8:$H$39)/100))</f>
        <v>15555.127630802453</v>
      </c>
      <c r="BL63" s="323" cm="1">
        <f t="array" ref="BL63">_xlfn.LET(_xlpm.m,BL$57,_xlpm.cert,IF(Simulator!$H$8:$H$39+Simulator!$O$8:$O$39*_xlpm.m&gt;100,100,Simulator!$H$8:$H$39+Simulator!$O$8:$O$39*_xlpm.m),SUMPRODUCT(Simulator!$P$8:$P$39*$B$20*(_xlpm.cert-Simulator!$H$8:$H$39)/100))</f>
        <v>15555.127630802453</v>
      </c>
      <c r="BM63" s="323" cm="1">
        <f t="array" ref="BM63">_xlfn.LET(_xlpm.m,BM$57,_xlpm.cert,IF(Simulator!$H$8:$H$39+Simulator!$O$8:$O$39*_xlpm.m&gt;100,100,Simulator!$H$8:$H$39+Simulator!$O$8:$O$39*_xlpm.m),SUMPRODUCT(Simulator!$P$8:$P$39*$B$20*(_xlpm.cert-Simulator!$H$8:$H$39)/100))</f>
        <v>15555.127630802453</v>
      </c>
      <c r="BN63" s="323" cm="1">
        <f t="array" ref="BN63">_xlfn.LET(_xlpm.m,BN$57,_xlpm.cert,IF(Simulator!$H$8:$H$39+Simulator!$O$8:$O$39*_xlpm.m&gt;100,100,Simulator!$H$8:$H$39+Simulator!$O$8:$O$39*_xlpm.m),SUMPRODUCT(Simulator!$P$8:$P$39*$B$20*(_xlpm.cert-Simulator!$H$8:$H$39)/100))</f>
        <v>15555.127630802453</v>
      </c>
    </row>
    <row r="64" spans="1:66" ht="17.25" customHeight="1" x14ac:dyDescent="0.2">
      <c r="A64" s="324" t="s">
        <v>749</v>
      </c>
      <c r="B64" s="321"/>
      <c r="C64" s="325">
        <f>C63</f>
        <v>1602.8568073368108</v>
      </c>
      <c r="D64" s="325">
        <f>D63-C63</f>
        <v>1602.8568073368108</v>
      </c>
      <c r="E64" s="325">
        <f t="shared" ref="E64:BN64" si="6">E63-D63</f>
        <v>1602.8568073368119</v>
      </c>
      <c r="F64" s="325">
        <f t="shared" si="6"/>
        <v>1602.8568073368097</v>
      </c>
      <c r="G64" s="325">
        <f t="shared" si="6"/>
        <v>1541.6006818623091</v>
      </c>
      <c r="H64" s="325">
        <f t="shared" si="6"/>
        <v>1504.8470065776146</v>
      </c>
      <c r="I64" s="325">
        <f t="shared" si="6"/>
        <v>1319.5432339874078</v>
      </c>
      <c r="J64" s="325">
        <f t="shared" si="6"/>
        <v>1257.1166091537289</v>
      </c>
      <c r="K64" s="325">
        <f t="shared" si="6"/>
        <v>1040.3270749123694</v>
      </c>
      <c r="L64" s="325">
        <f t="shared" si="6"/>
        <v>863.08919349212192</v>
      </c>
      <c r="M64" s="325">
        <f t="shared" si="6"/>
        <v>328.34043004661362</v>
      </c>
      <c r="N64" s="325">
        <f t="shared" si="6"/>
        <v>325.97341568261436</v>
      </c>
      <c r="O64" s="325">
        <f t="shared" si="6"/>
        <v>225.39399067500563</v>
      </c>
      <c r="P64" s="325">
        <f t="shared" si="6"/>
        <v>124.81456566741144</v>
      </c>
      <c r="Q64" s="325">
        <f t="shared" si="6"/>
        <v>61.265419939798448</v>
      </c>
      <c r="R64" s="325">
        <f t="shared" si="6"/>
        <v>61.265419939802086</v>
      </c>
      <c r="S64" s="325">
        <f t="shared" si="6"/>
        <v>61.265419939802086</v>
      </c>
      <c r="T64" s="325">
        <f t="shared" si="6"/>
        <v>61.265419939802086</v>
      </c>
      <c r="U64" s="325">
        <f t="shared" si="6"/>
        <v>61.265419939800267</v>
      </c>
      <c r="V64" s="325">
        <f t="shared" si="6"/>
        <v>61.265419939803905</v>
      </c>
      <c r="W64" s="325">
        <f t="shared" si="6"/>
        <v>61.265419939800267</v>
      </c>
      <c r="X64" s="325">
        <f t="shared" si="6"/>
        <v>61.265419939800267</v>
      </c>
      <c r="Y64" s="325">
        <f t="shared" si="6"/>
        <v>61.265419939802086</v>
      </c>
      <c r="Z64" s="325">
        <f t="shared" si="6"/>
        <v>61.265419939802086</v>
      </c>
      <c r="AA64" s="325">
        <f t="shared" si="6"/>
        <v>0</v>
      </c>
      <c r="AB64" s="325">
        <f t="shared" si="6"/>
        <v>0</v>
      </c>
      <c r="AC64" s="325">
        <f t="shared" si="6"/>
        <v>0</v>
      </c>
      <c r="AD64" s="325">
        <f t="shared" si="6"/>
        <v>0</v>
      </c>
      <c r="AE64" s="325">
        <f t="shared" si="6"/>
        <v>0</v>
      </c>
      <c r="AF64" s="325">
        <f t="shared" si="6"/>
        <v>0</v>
      </c>
      <c r="AG64" s="325">
        <f t="shared" si="6"/>
        <v>0</v>
      </c>
      <c r="AH64" s="325">
        <f t="shared" si="6"/>
        <v>0</v>
      </c>
      <c r="AI64" s="325">
        <f t="shared" si="6"/>
        <v>0</v>
      </c>
      <c r="AJ64" s="325">
        <f t="shared" si="6"/>
        <v>0</v>
      </c>
      <c r="AK64" s="325">
        <f t="shared" si="6"/>
        <v>0</v>
      </c>
      <c r="AL64" s="325">
        <f t="shared" si="6"/>
        <v>0</v>
      </c>
      <c r="AM64" s="325">
        <f t="shared" si="6"/>
        <v>0</v>
      </c>
      <c r="AN64" s="325">
        <f t="shared" si="6"/>
        <v>0</v>
      </c>
      <c r="AO64" s="325">
        <f t="shared" si="6"/>
        <v>0</v>
      </c>
      <c r="AP64" s="325">
        <f t="shared" si="6"/>
        <v>0</v>
      </c>
      <c r="AQ64" s="325">
        <f t="shared" si="6"/>
        <v>0</v>
      </c>
      <c r="AR64" s="325">
        <f t="shared" si="6"/>
        <v>0</v>
      </c>
      <c r="AS64" s="325">
        <f t="shared" si="6"/>
        <v>0</v>
      </c>
      <c r="AT64" s="325">
        <f t="shared" si="6"/>
        <v>0</v>
      </c>
      <c r="AU64" s="325">
        <f t="shared" si="6"/>
        <v>0</v>
      </c>
      <c r="AV64" s="325">
        <f t="shared" si="6"/>
        <v>0</v>
      </c>
      <c r="AW64" s="325">
        <f t="shared" si="6"/>
        <v>0</v>
      </c>
      <c r="AX64" s="325">
        <f t="shared" si="6"/>
        <v>0</v>
      </c>
      <c r="AY64" s="325">
        <f t="shared" si="6"/>
        <v>0</v>
      </c>
      <c r="AZ64" s="325">
        <f t="shared" si="6"/>
        <v>0</v>
      </c>
      <c r="BA64" s="325">
        <f t="shared" si="6"/>
        <v>0</v>
      </c>
      <c r="BB64" s="325">
        <f t="shared" si="6"/>
        <v>0</v>
      </c>
      <c r="BC64" s="325">
        <f t="shared" si="6"/>
        <v>0</v>
      </c>
      <c r="BD64" s="325">
        <f t="shared" si="6"/>
        <v>0</v>
      </c>
      <c r="BE64" s="325">
        <f t="shared" si="6"/>
        <v>0</v>
      </c>
      <c r="BF64" s="325">
        <f t="shared" si="6"/>
        <v>0</v>
      </c>
      <c r="BG64" s="325">
        <f t="shared" si="6"/>
        <v>0</v>
      </c>
      <c r="BH64" s="325">
        <f t="shared" si="6"/>
        <v>0</v>
      </c>
      <c r="BI64" s="325">
        <f t="shared" si="6"/>
        <v>0</v>
      </c>
      <c r="BJ64" s="325">
        <f t="shared" si="6"/>
        <v>0</v>
      </c>
      <c r="BK64" s="325">
        <f t="shared" si="6"/>
        <v>0</v>
      </c>
      <c r="BL64" s="325">
        <f t="shared" si="6"/>
        <v>0</v>
      </c>
      <c r="BM64" s="325">
        <f t="shared" si="6"/>
        <v>0</v>
      </c>
      <c r="BN64" s="325">
        <f t="shared" si="6"/>
        <v>0</v>
      </c>
    </row>
    <row r="65" spans="1:66" ht="17.25" customHeight="1" x14ac:dyDescent="0.2">
      <c r="A65" s="326" t="s">
        <v>750</v>
      </c>
      <c r="B65" s="321"/>
      <c r="C65" s="327">
        <f>C60+C62-C64</f>
        <v>169.08052245098952</v>
      </c>
      <c r="D65" s="327">
        <f>D60+D62-D64</f>
        <v>-2.9831900216058784</v>
      </c>
      <c r="E65" s="327">
        <f t="shared" ref="E65:BN65" si="7">E60+E62-E64</f>
        <v>250.86857513436644</v>
      </c>
      <c r="F65" s="327">
        <f t="shared" si="7"/>
        <v>504.7203402903433</v>
      </c>
      <c r="G65" s="327">
        <f t="shared" si="7"/>
        <v>1313.9424139528473</v>
      </c>
      <c r="H65" s="327">
        <f t="shared" si="7"/>
        <v>2092.0180468271101</v>
      </c>
      <c r="I65" s="327">
        <f t="shared" si="7"/>
        <v>1736.4472111622508</v>
      </c>
      <c r="J65" s="327">
        <f t="shared" si="7"/>
        <v>1304.5256572332491</v>
      </c>
      <c r="K65" s="327">
        <f t="shared" si="7"/>
        <v>2728.3178720117503</v>
      </c>
      <c r="L65" s="327">
        <f t="shared" si="7"/>
        <v>4694.6552873513228</v>
      </c>
      <c r="M65" s="327">
        <f t="shared" si="7"/>
        <v>382.35370980373773</v>
      </c>
      <c r="N65" s="327">
        <f t="shared" si="7"/>
        <v>302.79234357486894</v>
      </c>
      <c r="O65" s="327">
        <f t="shared" si="7"/>
        <v>1673.2485957209865</v>
      </c>
      <c r="P65" s="327">
        <f t="shared" si="7"/>
        <v>601.48668747846568</v>
      </c>
      <c r="Q65" s="327">
        <f t="shared" si="7"/>
        <v>434.15275902903602</v>
      </c>
      <c r="R65" s="327">
        <f t="shared" si="7"/>
        <v>43.845884328951797</v>
      </c>
      <c r="S65" s="327">
        <f t="shared" si="7"/>
        <v>78.195268568856704</v>
      </c>
      <c r="T65" s="327">
        <f t="shared" si="7"/>
        <v>1114.6814514787802</v>
      </c>
      <c r="U65" s="327">
        <f t="shared" si="7"/>
        <v>55.30144129868313</v>
      </c>
      <c r="V65" s="327">
        <f t="shared" si="7"/>
        <v>104.40354584860256</v>
      </c>
      <c r="W65" s="327">
        <f t="shared" si="7"/>
        <v>102.66730327850792</v>
      </c>
      <c r="X65" s="327">
        <f t="shared" si="7"/>
        <v>120.68652574843077</v>
      </c>
      <c r="Y65" s="327">
        <f t="shared" si="7"/>
        <v>70.575517258344917</v>
      </c>
      <c r="Z65" s="327">
        <f t="shared" si="7"/>
        <v>1132.692834023248</v>
      </c>
      <c r="AA65" s="327">
        <f t="shared" si="7"/>
        <v>0</v>
      </c>
      <c r="AB65" s="327">
        <f t="shared" si="7"/>
        <v>86.061641759999702</v>
      </c>
      <c r="AC65" s="327">
        <f t="shared" si="7"/>
        <v>0</v>
      </c>
      <c r="AD65" s="327">
        <f t="shared" si="7"/>
        <v>0</v>
      </c>
      <c r="AE65" s="327">
        <f t="shared" si="7"/>
        <v>0</v>
      </c>
      <c r="AF65" s="327">
        <f t="shared" si="7"/>
        <v>0</v>
      </c>
      <c r="AG65" s="327">
        <f t="shared" si="7"/>
        <v>0</v>
      </c>
      <c r="AH65" s="327">
        <f t="shared" si="7"/>
        <v>0</v>
      </c>
      <c r="AI65" s="327">
        <f t="shared" si="7"/>
        <v>0</v>
      </c>
      <c r="AJ65" s="327">
        <f t="shared" si="7"/>
        <v>0</v>
      </c>
      <c r="AK65" s="327">
        <f t="shared" si="7"/>
        <v>0</v>
      </c>
      <c r="AL65" s="327">
        <f t="shared" si="7"/>
        <v>185.66645574999961</v>
      </c>
      <c r="AM65" s="327">
        <f t="shared" si="7"/>
        <v>0</v>
      </c>
      <c r="AN65" s="327">
        <f t="shared" si="7"/>
        <v>0</v>
      </c>
      <c r="AO65" s="327">
        <f t="shared" si="7"/>
        <v>0</v>
      </c>
      <c r="AP65" s="327">
        <f t="shared" si="7"/>
        <v>0</v>
      </c>
      <c r="AQ65" s="327">
        <f t="shared" si="7"/>
        <v>0</v>
      </c>
      <c r="AR65" s="327">
        <f t="shared" si="7"/>
        <v>0</v>
      </c>
      <c r="AS65" s="327">
        <f t="shared" si="7"/>
        <v>0</v>
      </c>
      <c r="AT65" s="327">
        <f t="shared" si="7"/>
        <v>0</v>
      </c>
      <c r="AU65" s="327">
        <f t="shared" si="7"/>
        <v>0</v>
      </c>
      <c r="AV65" s="327">
        <f t="shared" si="7"/>
        <v>0</v>
      </c>
      <c r="AW65" s="327">
        <f t="shared" si="7"/>
        <v>0</v>
      </c>
      <c r="AX65" s="327">
        <f t="shared" si="7"/>
        <v>0</v>
      </c>
      <c r="AY65" s="327">
        <f t="shared" si="7"/>
        <v>0</v>
      </c>
      <c r="AZ65" s="327">
        <f t="shared" si="7"/>
        <v>0</v>
      </c>
      <c r="BA65" s="327">
        <f t="shared" si="7"/>
        <v>0</v>
      </c>
      <c r="BB65" s="327">
        <f t="shared" si="7"/>
        <v>0</v>
      </c>
      <c r="BC65" s="327">
        <f t="shared" si="7"/>
        <v>0</v>
      </c>
      <c r="BD65" s="327">
        <f t="shared" si="7"/>
        <v>0</v>
      </c>
      <c r="BE65" s="327">
        <f t="shared" si="7"/>
        <v>0</v>
      </c>
      <c r="BF65" s="327">
        <f t="shared" si="7"/>
        <v>0</v>
      </c>
      <c r="BG65" s="327">
        <f t="shared" si="7"/>
        <v>0</v>
      </c>
      <c r="BH65" s="327">
        <f t="shared" si="7"/>
        <v>0</v>
      </c>
      <c r="BI65" s="327">
        <f t="shared" si="7"/>
        <v>0</v>
      </c>
      <c r="BJ65" s="327">
        <f t="shared" si="7"/>
        <v>0</v>
      </c>
      <c r="BK65" s="327">
        <f t="shared" si="7"/>
        <v>0</v>
      </c>
      <c r="BL65" s="327">
        <f t="shared" si="7"/>
        <v>0</v>
      </c>
      <c r="BM65" s="327">
        <f t="shared" si="7"/>
        <v>0</v>
      </c>
      <c r="BN65" s="327">
        <f t="shared" si="7"/>
        <v>0</v>
      </c>
    </row>
    <row r="66" spans="1:66" ht="17.25" customHeight="1" x14ac:dyDescent="0.2">
      <c r="A66" s="321" t="s">
        <v>751</v>
      </c>
      <c r="B66" s="321"/>
      <c r="C66" s="323" cm="1">
        <f t="array" ref="C66">_xlfn.LET(_xlpm.mo,C$57,_xlpm.isSuk,($B$32:$B$39="Sukuk")*1,_xlpm.live,($G$32:$G$39&gt;=_xlpm.mo)*1,_xlpm.rolled,IF($B$23="Yes",($G$32:$G$39&lt;_xlpm.mo)*1,0),_xlpm.rate,$D$32:$D$39,SUMPRODUCT(_xlpm.isSuk*$C$32:$C$39*(_xlpm.live*_xlpm.rate+_xlpm.rolled*(_xlpm.rate+$B$24)))/12)</f>
        <v>51.835807291666669</v>
      </c>
      <c r="D66" s="323" cm="1">
        <f t="array" ref="D66">_xlfn.LET(_xlpm.mo,D$57,_xlpm.isSuk,($B$32:$B$39="Sukuk")*1,_xlpm.live,($G$32:$G$39&gt;=_xlpm.mo)*1,_xlpm.rolled,IF($B$23="Yes",($G$32:$G$39&lt;_xlpm.mo)*1,0),_xlpm.rate,$D$32:$D$39,SUMPRODUCT(_xlpm.isSuk*$C$32:$C$39*(_xlpm.live*_xlpm.rate+_xlpm.rolled*(_xlpm.rate+$B$24)))/12)</f>
        <v>51.835807291666669</v>
      </c>
      <c r="E66" s="323" cm="1">
        <f t="array" ref="E66">_xlfn.LET(_xlpm.mo,E$57,_xlpm.isSuk,($B$32:$B$39="Sukuk")*1,_xlpm.live,($G$32:$G$39&gt;=_xlpm.mo)*1,_xlpm.rolled,IF($B$23="Yes",($G$32:$G$39&lt;_xlpm.mo)*1,0),_xlpm.rate,$D$32:$D$39,SUMPRODUCT(_xlpm.isSuk*$C$32:$C$39*(_xlpm.live*_xlpm.rate+_xlpm.rolled*(_xlpm.rate+$B$24)))/12)</f>
        <v>51.835807291666669</v>
      </c>
      <c r="F66" s="323" cm="1">
        <f t="array" ref="F66">_xlfn.LET(_xlpm.mo,F$57,_xlpm.isSuk,($B$32:$B$39="Sukuk")*1,_xlpm.live,($G$32:$G$39&gt;=_xlpm.mo)*1,_xlpm.rolled,IF($B$23="Yes",($G$32:$G$39&lt;_xlpm.mo)*1,0),_xlpm.rate,$D$32:$D$39,SUMPRODUCT(_xlpm.isSuk*$C$32:$C$39*(_xlpm.live*_xlpm.rate+_xlpm.rolled*(_xlpm.rate+$B$24)))/12)</f>
        <v>51.835807291666669</v>
      </c>
      <c r="G66" s="323" cm="1">
        <f t="array" ref="G66">_xlfn.LET(_xlpm.mo,G$57,_xlpm.isSuk,($B$32:$B$39="Sukuk")*1,_xlpm.live,($G$32:$G$39&gt;=_xlpm.mo)*1,_xlpm.rolled,IF($B$23="Yes",($G$32:$G$39&lt;_xlpm.mo)*1,0),_xlpm.rate,$D$32:$D$39,SUMPRODUCT(_xlpm.isSuk*$C$32:$C$39*(_xlpm.live*_xlpm.rate+_xlpm.rolled*(_xlpm.rate+$B$24)))/12)</f>
        <v>51.835807291666669</v>
      </c>
      <c r="H66" s="323" cm="1">
        <f t="array" ref="H66">_xlfn.LET(_xlpm.mo,H$57,_xlpm.isSuk,($B$32:$B$39="Sukuk")*1,_xlpm.live,($G$32:$G$39&gt;=_xlpm.mo)*1,_xlpm.rolled,IF($B$23="Yes",($G$32:$G$39&lt;_xlpm.mo)*1,0),_xlpm.rate,$D$32:$D$39,SUMPRODUCT(_xlpm.isSuk*$C$32:$C$39*(_xlpm.live*_xlpm.rate+_xlpm.rolled*(_xlpm.rate+$B$24)))/12)</f>
        <v>37.107552083333331</v>
      </c>
      <c r="I66" s="323" cm="1">
        <f t="array" ref="I66">_xlfn.LET(_xlpm.mo,I$57,_xlpm.isSuk,($B$32:$B$39="Sukuk")*1,_xlpm.live,($G$32:$G$39&gt;=_xlpm.mo)*1,_xlpm.rolled,IF($B$23="Yes",($G$32:$G$39&lt;_xlpm.mo)*1,0),_xlpm.rate,$D$32:$D$39,SUMPRODUCT(_xlpm.isSuk*$C$32:$C$39*(_xlpm.live*_xlpm.rate+_xlpm.rolled*(_xlpm.rate+$B$24)))/12)</f>
        <v>37.107552083333331</v>
      </c>
      <c r="J66" s="323" cm="1">
        <f t="array" ref="J66">_xlfn.LET(_xlpm.mo,J$57,_xlpm.isSuk,($B$32:$B$39="Sukuk")*1,_xlpm.live,($G$32:$G$39&gt;=_xlpm.mo)*1,_xlpm.rolled,IF($B$23="Yes",($G$32:$G$39&lt;_xlpm.mo)*1,0),_xlpm.rate,$D$32:$D$39,SUMPRODUCT(_xlpm.isSuk*$C$32:$C$39*(_xlpm.live*_xlpm.rate+_xlpm.rolled*(_xlpm.rate+$B$24)))/12)</f>
        <v>37.107552083333331</v>
      </c>
      <c r="K66" s="323" cm="1">
        <f t="array" ref="K66">_xlfn.LET(_xlpm.mo,K$57,_xlpm.isSuk,($B$32:$B$39="Sukuk")*1,_xlpm.live,($G$32:$G$39&gt;=_xlpm.mo)*1,_xlpm.rolled,IF($B$23="Yes",($G$32:$G$39&lt;_xlpm.mo)*1,0),_xlpm.rate,$D$32:$D$39,SUMPRODUCT(_xlpm.isSuk*$C$32:$C$39*(_xlpm.live*_xlpm.rate+_xlpm.rolled*(_xlpm.rate+$B$24)))/12)</f>
        <v>37.107552083333331</v>
      </c>
      <c r="L66" s="323" cm="1">
        <f t="array" ref="L66">_xlfn.LET(_xlpm.mo,L$57,_xlpm.isSuk,($B$32:$B$39="Sukuk")*1,_xlpm.live,($G$32:$G$39&gt;=_xlpm.mo)*1,_xlpm.rolled,IF($B$23="Yes",($G$32:$G$39&lt;_xlpm.mo)*1,0),_xlpm.rate,$D$32:$D$39,SUMPRODUCT(_xlpm.isSuk*$C$32:$C$39*(_xlpm.live*_xlpm.rate+_xlpm.rolled*(_xlpm.rate+$B$24)))/12)</f>
        <v>37.107552083333331</v>
      </c>
      <c r="M66" s="323" cm="1">
        <f t="array" ref="M66">_xlfn.LET(_xlpm.mo,M$57,_xlpm.isSuk,($B$32:$B$39="Sukuk")*1,_xlpm.live,($G$32:$G$39&gt;=_xlpm.mo)*1,_xlpm.rolled,IF($B$23="Yes",($G$32:$G$39&lt;_xlpm.mo)*1,0),_xlpm.rate,$D$32:$D$39,SUMPRODUCT(_xlpm.isSuk*$C$32:$C$39*(_xlpm.live*_xlpm.rate+_xlpm.rolled*(_xlpm.rate+$B$24)))/12)</f>
        <v>37.107552083333331</v>
      </c>
      <c r="N66" s="323" cm="1">
        <f t="array" ref="N66">_xlfn.LET(_xlpm.mo,N$57,_xlpm.isSuk,($B$32:$B$39="Sukuk")*1,_xlpm.live,($G$32:$G$39&gt;=_xlpm.mo)*1,_xlpm.rolled,IF($B$23="Yes",($G$32:$G$39&lt;_xlpm.mo)*1,0),_xlpm.rate,$D$32:$D$39,SUMPRODUCT(_xlpm.isSuk*$C$32:$C$39*(_xlpm.live*_xlpm.rate+_xlpm.rolled*(_xlpm.rate+$B$24)))/12)</f>
        <v>37.107552083333331</v>
      </c>
      <c r="O66" s="323" cm="1">
        <f t="array" ref="O66">_xlfn.LET(_xlpm.mo,O$57,_xlpm.isSuk,($B$32:$B$39="Sukuk")*1,_xlpm.live,($G$32:$G$39&gt;=_xlpm.mo)*1,_xlpm.rolled,IF($B$23="Yes",($G$32:$G$39&lt;_xlpm.mo)*1,0),_xlpm.rate,$D$32:$D$39,SUMPRODUCT(_xlpm.isSuk*$C$32:$C$39*(_xlpm.live*_xlpm.rate+_xlpm.rolled*(_xlpm.rate+$B$24)))/12)</f>
        <v>37.107552083333331</v>
      </c>
      <c r="P66" s="323" cm="1">
        <f t="array" ref="P66">_xlfn.LET(_xlpm.mo,P$57,_xlpm.isSuk,($B$32:$B$39="Sukuk")*1,_xlpm.live,($G$32:$G$39&gt;=_xlpm.mo)*1,_xlpm.rolled,IF($B$23="Yes",($G$32:$G$39&lt;_xlpm.mo)*1,0),_xlpm.rate,$D$32:$D$39,SUMPRODUCT(_xlpm.isSuk*$C$32:$C$39*(_xlpm.live*_xlpm.rate+_xlpm.rolled*(_xlpm.rate+$B$24)))/12)</f>
        <v>37.107552083333331</v>
      </c>
      <c r="Q66" s="323" cm="1">
        <f t="array" ref="Q66">_xlfn.LET(_xlpm.mo,Q$57,_xlpm.isSuk,($B$32:$B$39="Sukuk")*1,_xlpm.live,($G$32:$G$39&gt;=_xlpm.mo)*1,_xlpm.rolled,IF($B$23="Yes",($G$32:$G$39&lt;_xlpm.mo)*1,0),_xlpm.rate,$D$32:$D$39,SUMPRODUCT(_xlpm.isSuk*$C$32:$C$39*(_xlpm.live*_xlpm.rate+_xlpm.rolled*(_xlpm.rate+$B$24)))/12)</f>
        <v>37.107552083333331</v>
      </c>
      <c r="R66" s="323" cm="1">
        <f t="array" ref="R66">_xlfn.LET(_xlpm.mo,R$57,_xlpm.isSuk,($B$32:$B$39="Sukuk")*1,_xlpm.live,($G$32:$G$39&gt;=_xlpm.mo)*1,_xlpm.rolled,IF($B$23="Yes",($G$32:$G$39&lt;_xlpm.mo)*1,0),_xlpm.rate,$D$32:$D$39,SUMPRODUCT(_xlpm.isSuk*$C$32:$C$39*(_xlpm.live*_xlpm.rate+_xlpm.rolled*(_xlpm.rate+$B$24)))/12)</f>
        <v>37.107552083333331</v>
      </c>
      <c r="S66" s="323" cm="1">
        <f t="array" ref="S66">_xlfn.LET(_xlpm.mo,S$57,_xlpm.isSuk,($B$32:$B$39="Sukuk")*1,_xlpm.live,($G$32:$G$39&gt;=_xlpm.mo)*1,_xlpm.rolled,IF($B$23="Yes",($G$32:$G$39&lt;_xlpm.mo)*1,0),_xlpm.rate,$D$32:$D$39,SUMPRODUCT(_xlpm.isSuk*$C$32:$C$39*(_xlpm.live*_xlpm.rate+_xlpm.rolled*(_xlpm.rate+$B$24)))/12)</f>
        <v>37.107552083333331</v>
      </c>
      <c r="T66" s="323" cm="1">
        <f t="array" ref="T66">_xlfn.LET(_xlpm.mo,T$57,_xlpm.isSuk,($B$32:$B$39="Sukuk")*1,_xlpm.live,($G$32:$G$39&gt;=_xlpm.mo)*1,_xlpm.rolled,IF($B$23="Yes",($G$32:$G$39&lt;_xlpm.mo)*1,0),_xlpm.rate,$D$32:$D$39,SUMPRODUCT(_xlpm.isSuk*$C$32:$C$39*(_xlpm.live*_xlpm.rate+_xlpm.rolled*(_xlpm.rate+$B$24)))/12)</f>
        <v>37.107552083333331</v>
      </c>
      <c r="U66" s="323" cm="1">
        <f t="array" ref="U66">_xlfn.LET(_xlpm.mo,U$57,_xlpm.isSuk,($B$32:$B$39="Sukuk")*1,_xlpm.live,($G$32:$G$39&gt;=_xlpm.mo)*1,_xlpm.rolled,IF($B$23="Yes",($G$32:$G$39&lt;_xlpm.mo)*1,0),_xlpm.rate,$D$32:$D$39,SUMPRODUCT(_xlpm.isSuk*$C$32:$C$39*(_xlpm.live*_xlpm.rate+_xlpm.rolled*(_xlpm.rate+$B$24)))/12)</f>
        <v>37.107552083333331</v>
      </c>
      <c r="V66" s="323" cm="1">
        <f t="array" ref="V66">_xlfn.LET(_xlpm.mo,V$57,_xlpm.isSuk,($B$32:$B$39="Sukuk")*1,_xlpm.live,($G$32:$G$39&gt;=_xlpm.mo)*1,_xlpm.rolled,IF($B$23="Yes",($G$32:$G$39&lt;_xlpm.mo)*1,0),_xlpm.rate,$D$32:$D$39,SUMPRODUCT(_xlpm.isSuk*$C$32:$C$39*(_xlpm.live*_xlpm.rate+_xlpm.rolled*(_xlpm.rate+$B$24)))/12)</f>
        <v>37.107552083333331</v>
      </c>
      <c r="W66" s="323" cm="1">
        <f t="array" ref="W66">_xlfn.LET(_xlpm.mo,W$57,_xlpm.isSuk,($B$32:$B$39="Sukuk")*1,_xlpm.live,($G$32:$G$39&gt;=_xlpm.mo)*1,_xlpm.rolled,IF($B$23="Yes",($G$32:$G$39&lt;_xlpm.mo)*1,0),_xlpm.rate,$D$32:$D$39,SUMPRODUCT(_xlpm.isSuk*$C$32:$C$39*(_xlpm.live*_xlpm.rate+_xlpm.rolled*(_xlpm.rate+$B$24)))/12)</f>
        <v>37.107552083333331</v>
      </c>
      <c r="X66" s="323" cm="1">
        <f t="array" ref="X66">_xlfn.LET(_xlpm.mo,X$57,_xlpm.isSuk,($B$32:$B$39="Sukuk")*1,_xlpm.live,($G$32:$G$39&gt;=_xlpm.mo)*1,_xlpm.rolled,IF($B$23="Yes",($G$32:$G$39&lt;_xlpm.mo)*1,0),_xlpm.rate,$D$32:$D$39,SUMPRODUCT(_xlpm.isSuk*$C$32:$C$39*(_xlpm.live*_xlpm.rate+_xlpm.rolled*(_xlpm.rate+$B$24)))/12)</f>
        <v>37.107552083333331</v>
      </c>
      <c r="Y66" s="323" cm="1">
        <f t="array" ref="Y66">_xlfn.LET(_xlpm.mo,Y$57,_xlpm.isSuk,($B$32:$B$39="Sukuk")*1,_xlpm.live,($G$32:$G$39&gt;=_xlpm.mo)*1,_xlpm.rolled,IF($B$23="Yes",($G$32:$G$39&lt;_xlpm.mo)*1,0),_xlpm.rate,$D$32:$D$39,SUMPRODUCT(_xlpm.isSuk*$C$32:$C$39*(_xlpm.live*_xlpm.rate+_xlpm.rolled*(_xlpm.rate+$B$24)))/12)</f>
        <v>37.107552083333331</v>
      </c>
      <c r="Z66" s="323" cm="1">
        <f t="array" ref="Z66">_xlfn.LET(_xlpm.mo,Z$57,_xlpm.isSuk,($B$32:$B$39="Sukuk")*1,_xlpm.live,($G$32:$G$39&gt;=_xlpm.mo)*1,_xlpm.rolled,IF($B$23="Yes",($G$32:$G$39&lt;_xlpm.mo)*1,0),_xlpm.rate,$D$32:$D$39,SUMPRODUCT(_xlpm.isSuk*$C$32:$C$39*(_xlpm.live*_xlpm.rate+_xlpm.rolled*(_xlpm.rate+$B$24)))/12)</f>
        <v>37.107552083333331</v>
      </c>
      <c r="AA66" s="323" cm="1">
        <f t="array" ref="AA66">_xlfn.LET(_xlpm.mo,AA$57,_xlpm.isSuk,($B$32:$B$39="Sukuk")*1,_xlpm.live,($G$32:$G$39&gt;=_xlpm.mo)*1,_xlpm.rolled,IF($B$23="Yes",($G$32:$G$39&lt;_xlpm.mo)*1,0),_xlpm.rate,$D$32:$D$39,SUMPRODUCT(_xlpm.isSuk*$C$32:$C$39*(_xlpm.live*_xlpm.rate+_xlpm.rolled*(_xlpm.rate+$B$24)))/12)</f>
        <v>37.107552083333331</v>
      </c>
      <c r="AB66" s="323" cm="1">
        <f t="array" ref="AB66">_xlfn.LET(_xlpm.mo,AB$57,_xlpm.isSuk,($B$32:$B$39="Sukuk")*1,_xlpm.live,($G$32:$G$39&gt;=_xlpm.mo)*1,_xlpm.rolled,IF($B$23="Yes",($G$32:$G$39&lt;_xlpm.mo)*1,0),_xlpm.rate,$D$32:$D$39,SUMPRODUCT(_xlpm.isSuk*$C$32:$C$39*(_xlpm.live*_xlpm.rate+_xlpm.rolled*(_xlpm.rate+$B$24)))/12)</f>
        <v>37.107552083333331</v>
      </c>
      <c r="AC66" s="323" cm="1">
        <f t="array" ref="AC66">_xlfn.LET(_xlpm.mo,AC$57,_xlpm.isSuk,($B$32:$B$39="Sukuk")*1,_xlpm.live,($G$32:$G$39&gt;=_xlpm.mo)*1,_xlpm.rolled,IF($B$23="Yes",($G$32:$G$39&lt;_xlpm.mo)*1,0),_xlpm.rate,$D$32:$D$39,SUMPRODUCT(_xlpm.isSuk*$C$32:$C$39*(_xlpm.live*_xlpm.rate+_xlpm.rolled*(_xlpm.rate+$B$24)))/12)</f>
        <v>37.107552083333331</v>
      </c>
      <c r="AD66" s="323" cm="1">
        <f t="array" ref="AD66">_xlfn.LET(_xlpm.mo,AD$57,_xlpm.isSuk,($B$32:$B$39="Sukuk")*1,_xlpm.live,($G$32:$G$39&gt;=_xlpm.mo)*1,_xlpm.rolled,IF($B$23="Yes",($G$32:$G$39&lt;_xlpm.mo)*1,0),_xlpm.rate,$D$32:$D$39,SUMPRODUCT(_xlpm.isSuk*$C$32:$C$39*(_xlpm.live*_xlpm.rate+_xlpm.rolled*(_xlpm.rate+$B$24)))/12)</f>
        <v>37.107552083333331</v>
      </c>
      <c r="AE66" s="323" cm="1">
        <f t="array" ref="AE66">_xlfn.LET(_xlpm.mo,AE$57,_xlpm.isSuk,($B$32:$B$39="Sukuk")*1,_xlpm.live,($G$32:$G$39&gt;=_xlpm.mo)*1,_xlpm.rolled,IF($B$23="Yes",($G$32:$G$39&lt;_xlpm.mo)*1,0),_xlpm.rate,$D$32:$D$39,SUMPRODUCT(_xlpm.isSuk*$C$32:$C$39*(_xlpm.live*_xlpm.rate+_xlpm.rolled*(_xlpm.rate+$B$24)))/12)</f>
        <v>37.107552083333331</v>
      </c>
      <c r="AF66" s="323" cm="1">
        <f t="array" ref="AF66">_xlfn.LET(_xlpm.mo,AF$57,_xlpm.isSuk,($B$32:$B$39="Sukuk")*1,_xlpm.live,($G$32:$G$39&gt;=_xlpm.mo)*1,_xlpm.rolled,IF($B$23="Yes",($G$32:$G$39&lt;_xlpm.mo)*1,0),_xlpm.rate,$D$32:$D$39,SUMPRODUCT(_xlpm.isSuk*$C$32:$C$39*(_xlpm.live*_xlpm.rate+_xlpm.rolled*(_xlpm.rate+$B$24)))/12)</f>
        <v>37.107552083333331</v>
      </c>
      <c r="AG66" s="323" cm="1">
        <f t="array" ref="AG66">_xlfn.LET(_xlpm.mo,AG$57,_xlpm.isSuk,($B$32:$B$39="Sukuk")*1,_xlpm.live,($G$32:$G$39&gt;=_xlpm.mo)*1,_xlpm.rolled,IF($B$23="Yes",($G$32:$G$39&lt;_xlpm.mo)*1,0),_xlpm.rate,$D$32:$D$39,SUMPRODUCT(_xlpm.isSuk*$C$32:$C$39*(_xlpm.live*_xlpm.rate+_xlpm.rolled*(_xlpm.rate+$B$24)))/12)</f>
        <v>37.107552083333331</v>
      </c>
      <c r="AH66" s="323" cm="1">
        <f t="array" ref="AH66">_xlfn.LET(_xlpm.mo,AH$57,_xlpm.isSuk,($B$32:$B$39="Sukuk")*1,_xlpm.live,($G$32:$G$39&gt;=_xlpm.mo)*1,_xlpm.rolled,IF($B$23="Yes",($G$32:$G$39&lt;_xlpm.mo)*1,0),_xlpm.rate,$D$32:$D$39,SUMPRODUCT(_xlpm.isSuk*$C$32:$C$39*(_xlpm.live*_xlpm.rate+_xlpm.rolled*(_xlpm.rate+$B$24)))/12)</f>
        <v>37.107552083333331</v>
      </c>
      <c r="AI66" s="323" cm="1">
        <f t="array" ref="AI66">_xlfn.LET(_xlpm.mo,AI$57,_xlpm.isSuk,($B$32:$B$39="Sukuk")*1,_xlpm.live,($G$32:$G$39&gt;=_xlpm.mo)*1,_xlpm.rolled,IF($B$23="Yes",($G$32:$G$39&lt;_xlpm.mo)*1,0),_xlpm.rate,$D$32:$D$39,SUMPRODUCT(_xlpm.isSuk*$C$32:$C$39*(_xlpm.live*_xlpm.rate+_xlpm.rolled*(_xlpm.rate+$B$24)))/12)</f>
        <v>37.107552083333331</v>
      </c>
      <c r="AJ66" s="323" cm="1">
        <f t="array" ref="AJ66">_xlfn.LET(_xlpm.mo,AJ$57,_xlpm.isSuk,($B$32:$B$39="Sukuk")*1,_xlpm.live,($G$32:$G$39&gt;=_xlpm.mo)*1,_xlpm.rolled,IF($B$23="Yes",($G$32:$G$39&lt;_xlpm.mo)*1,0),_xlpm.rate,$D$32:$D$39,SUMPRODUCT(_xlpm.isSuk*$C$32:$C$39*(_xlpm.live*_xlpm.rate+_xlpm.rolled*(_xlpm.rate+$B$24)))/12)</f>
        <v>37.107552083333331</v>
      </c>
      <c r="AK66" s="323" cm="1">
        <f t="array" ref="AK66">_xlfn.LET(_xlpm.mo,AK$57,_xlpm.isSuk,($B$32:$B$39="Sukuk")*1,_xlpm.live,($G$32:$G$39&gt;=_xlpm.mo)*1,_xlpm.rolled,IF($B$23="Yes",($G$32:$G$39&lt;_xlpm.mo)*1,0),_xlpm.rate,$D$32:$D$39,SUMPRODUCT(_xlpm.isSuk*$C$32:$C$39*(_xlpm.live*_xlpm.rate+_xlpm.rolled*(_xlpm.rate+$B$24)))/12)</f>
        <v>25.248437500000005</v>
      </c>
      <c r="AL66" s="323" cm="1">
        <f t="array" ref="AL66">_xlfn.LET(_xlpm.mo,AL$57,_xlpm.isSuk,($B$32:$B$39="Sukuk")*1,_xlpm.live,($G$32:$G$39&gt;=_xlpm.mo)*1,_xlpm.rolled,IF($B$23="Yes",($G$32:$G$39&lt;_xlpm.mo)*1,0),_xlpm.rate,$D$32:$D$39,SUMPRODUCT(_xlpm.isSuk*$C$32:$C$39*(_xlpm.live*_xlpm.rate+_xlpm.rolled*(_xlpm.rate+$B$24)))/12)</f>
        <v>25.248437500000005</v>
      </c>
      <c r="AM66" s="323" cm="1">
        <f t="array" ref="AM66">_xlfn.LET(_xlpm.mo,AM$57,_xlpm.isSuk,($B$32:$B$39="Sukuk")*1,_xlpm.live,($G$32:$G$39&gt;=_xlpm.mo)*1,_xlpm.rolled,IF($B$23="Yes",($G$32:$G$39&lt;_xlpm.mo)*1,0),_xlpm.rate,$D$32:$D$39,SUMPRODUCT(_xlpm.isSuk*$C$32:$C$39*(_xlpm.live*_xlpm.rate+_xlpm.rolled*(_xlpm.rate+$B$24)))/12)</f>
        <v>25.248437500000005</v>
      </c>
      <c r="AN66" s="323" cm="1">
        <f t="array" ref="AN66">_xlfn.LET(_xlpm.mo,AN$57,_xlpm.isSuk,($B$32:$B$39="Sukuk")*1,_xlpm.live,($G$32:$G$39&gt;=_xlpm.mo)*1,_xlpm.rolled,IF($B$23="Yes",($G$32:$G$39&lt;_xlpm.mo)*1,0),_xlpm.rate,$D$32:$D$39,SUMPRODUCT(_xlpm.isSuk*$C$32:$C$39*(_xlpm.live*_xlpm.rate+_xlpm.rolled*(_xlpm.rate+$B$24)))/12)</f>
        <v>25.248437500000005</v>
      </c>
      <c r="AO66" s="323" cm="1">
        <f t="array" ref="AO66">_xlfn.LET(_xlpm.mo,AO$57,_xlpm.isSuk,($B$32:$B$39="Sukuk")*1,_xlpm.live,($G$32:$G$39&gt;=_xlpm.mo)*1,_xlpm.rolled,IF($B$23="Yes",($G$32:$G$39&lt;_xlpm.mo)*1,0),_xlpm.rate,$D$32:$D$39,SUMPRODUCT(_xlpm.isSuk*$C$32:$C$39*(_xlpm.live*_xlpm.rate+_xlpm.rolled*(_xlpm.rate+$B$24)))/12)</f>
        <v>25.248437500000005</v>
      </c>
      <c r="AP66" s="323" cm="1">
        <f t="array" ref="AP66">_xlfn.LET(_xlpm.mo,AP$57,_xlpm.isSuk,($B$32:$B$39="Sukuk")*1,_xlpm.live,($G$32:$G$39&gt;=_xlpm.mo)*1,_xlpm.rolled,IF($B$23="Yes",($G$32:$G$39&lt;_xlpm.mo)*1,0),_xlpm.rate,$D$32:$D$39,SUMPRODUCT(_xlpm.isSuk*$C$32:$C$39*(_xlpm.live*_xlpm.rate+_xlpm.rolled*(_xlpm.rate+$B$24)))/12)</f>
        <v>25.248437500000005</v>
      </c>
      <c r="AQ66" s="323" cm="1">
        <f t="array" ref="AQ66">_xlfn.LET(_xlpm.mo,AQ$57,_xlpm.isSuk,($B$32:$B$39="Sukuk")*1,_xlpm.live,($G$32:$G$39&gt;=_xlpm.mo)*1,_xlpm.rolled,IF($B$23="Yes",($G$32:$G$39&lt;_xlpm.mo)*1,0),_xlpm.rate,$D$32:$D$39,SUMPRODUCT(_xlpm.isSuk*$C$32:$C$39*(_xlpm.live*_xlpm.rate+_xlpm.rolled*(_xlpm.rate+$B$24)))/12)</f>
        <v>25.248437500000005</v>
      </c>
      <c r="AR66" s="323" cm="1">
        <f t="array" ref="AR66">_xlfn.LET(_xlpm.mo,AR$57,_xlpm.isSuk,($B$32:$B$39="Sukuk")*1,_xlpm.live,($G$32:$G$39&gt;=_xlpm.mo)*1,_xlpm.rolled,IF($B$23="Yes",($G$32:$G$39&lt;_xlpm.mo)*1,0),_xlpm.rate,$D$32:$D$39,SUMPRODUCT(_xlpm.isSuk*$C$32:$C$39*(_xlpm.live*_xlpm.rate+_xlpm.rolled*(_xlpm.rate+$B$24)))/12)</f>
        <v>25.248437500000005</v>
      </c>
      <c r="AS66" s="323" cm="1">
        <f t="array" ref="AS66">_xlfn.LET(_xlpm.mo,AS$57,_xlpm.isSuk,($B$32:$B$39="Sukuk")*1,_xlpm.live,($G$32:$G$39&gt;=_xlpm.mo)*1,_xlpm.rolled,IF($B$23="Yes",($G$32:$G$39&lt;_xlpm.mo)*1,0),_xlpm.rate,$D$32:$D$39,SUMPRODUCT(_xlpm.isSuk*$C$32:$C$39*(_xlpm.live*_xlpm.rate+_xlpm.rolled*(_xlpm.rate+$B$24)))/12)</f>
        <v>25.248437500000005</v>
      </c>
      <c r="AT66" s="323" cm="1">
        <f t="array" ref="AT66">_xlfn.LET(_xlpm.mo,AT$57,_xlpm.isSuk,($B$32:$B$39="Sukuk")*1,_xlpm.live,($G$32:$G$39&gt;=_xlpm.mo)*1,_xlpm.rolled,IF($B$23="Yes",($G$32:$G$39&lt;_xlpm.mo)*1,0),_xlpm.rate,$D$32:$D$39,SUMPRODUCT(_xlpm.isSuk*$C$32:$C$39*(_xlpm.live*_xlpm.rate+_xlpm.rolled*(_xlpm.rate+$B$24)))/12)</f>
        <v>25.248437500000005</v>
      </c>
      <c r="AU66" s="323" cm="1">
        <f t="array" ref="AU66">_xlfn.LET(_xlpm.mo,AU$57,_xlpm.isSuk,($B$32:$B$39="Sukuk")*1,_xlpm.live,($G$32:$G$39&gt;=_xlpm.mo)*1,_xlpm.rolled,IF($B$23="Yes",($G$32:$G$39&lt;_xlpm.mo)*1,0),_xlpm.rate,$D$32:$D$39,SUMPRODUCT(_xlpm.isSuk*$C$32:$C$39*(_xlpm.live*_xlpm.rate+_xlpm.rolled*(_xlpm.rate+$B$24)))/12)</f>
        <v>25.248437500000005</v>
      </c>
      <c r="AV66" s="323" cm="1">
        <f t="array" ref="AV66">_xlfn.LET(_xlpm.mo,AV$57,_xlpm.isSuk,($B$32:$B$39="Sukuk")*1,_xlpm.live,($G$32:$G$39&gt;=_xlpm.mo)*1,_xlpm.rolled,IF($B$23="Yes",($G$32:$G$39&lt;_xlpm.mo)*1,0),_xlpm.rate,$D$32:$D$39,SUMPRODUCT(_xlpm.isSuk*$C$32:$C$39*(_xlpm.live*_xlpm.rate+_xlpm.rolled*(_xlpm.rate+$B$24)))/12)</f>
        <v>25.248437500000005</v>
      </c>
      <c r="AW66" s="323" cm="1">
        <f t="array" ref="AW66">_xlfn.LET(_xlpm.mo,AW$57,_xlpm.isSuk,($B$32:$B$39="Sukuk")*1,_xlpm.live,($G$32:$G$39&gt;=_xlpm.mo)*1,_xlpm.rolled,IF($B$23="Yes",($G$32:$G$39&lt;_xlpm.mo)*1,0),_xlpm.rate,$D$32:$D$39,SUMPRODUCT(_xlpm.isSuk*$C$32:$C$39*(_xlpm.live*_xlpm.rate+_xlpm.rolled*(_xlpm.rate+$B$24)))/12)</f>
        <v>25.248437500000005</v>
      </c>
      <c r="AX66" s="323" cm="1">
        <f t="array" ref="AX66">_xlfn.LET(_xlpm.mo,AX$57,_xlpm.isSuk,($B$32:$B$39="Sukuk")*1,_xlpm.live,($G$32:$G$39&gt;=_xlpm.mo)*1,_xlpm.rolled,IF($B$23="Yes",($G$32:$G$39&lt;_xlpm.mo)*1,0),_xlpm.rate,$D$32:$D$39,SUMPRODUCT(_xlpm.isSuk*$C$32:$C$39*(_xlpm.live*_xlpm.rate+_xlpm.rolled*(_xlpm.rate+$B$24)))/12)</f>
        <v>12.815494791666667</v>
      </c>
      <c r="AY66" s="323" cm="1">
        <f t="array" ref="AY66">_xlfn.LET(_xlpm.mo,AY$57,_xlpm.isSuk,($B$32:$B$39="Sukuk")*1,_xlpm.live,($G$32:$G$39&gt;=_xlpm.mo)*1,_xlpm.rolled,IF($B$23="Yes",($G$32:$G$39&lt;_xlpm.mo)*1,0),_xlpm.rate,$D$32:$D$39,SUMPRODUCT(_xlpm.isSuk*$C$32:$C$39*(_xlpm.live*_xlpm.rate+_xlpm.rolled*(_xlpm.rate+$B$24)))/12)</f>
        <v>12.815494791666667</v>
      </c>
      <c r="AZ66" s="323" cm="1">
        <f t="array" ref="AZ66">_xlfn.LET(_xlpm.mo,AZ$57,_xlpm.isSuk,($B$32:$B$39="Sukuk")*1,_xlpm.live,($G$32:$G$39&gt;=_xlpm.mo)*1,_xlpm.rolled,IF($B$23="Yes",($G$32:$G$39&lt;_xlpm.mo)*1,0),_xlpm.rate,$D$32:$D$39,SUMPRODUCT(_xlpm.isSuk*$C$32:$C$39*(_xlpm.live*_xlpm.rate+_xlpm.rolled*(_xlpm.rate+$B$24)))/12)</f>
        <v>12.815494791666667</v>
      </c>
      <c r="BA66" s="323" cm="1">
        <f t="array" ref="BA66">_xlfn.LET(_xlpm.mo,BA$57,_xlpm.isSuk,($B$32:$B$39="Sukuk")*1,_xlpm.live,($G$32:$G$39&gt;=_xlpm.mo)*1,_xlpm.rolled,IF($B$23="Yes",($G$32:$G$39&lt;_xlpm.mo)*1,0),_xlpm.rate,$D$32:$D$39,SUMPRODUCT(_xlpm.isSuk*$C$32:$C$39*(_xlpm.live*_xlpm.rate+_xlpm.rolled*(_xlpm.rate+$B$24)))/12)</f>
        <v>12.815494791666667</v>
      </c>
      <c r="BB66" s="323" cm="1">
        <f t="array" ref="BB66">_xlfn.LET(_xlpm.mo,BB$57,_xlpm.isSuk,($B$32:$B$39="Sukuk")*1,_xlpm.live,($G$32:$G$39&gt;=_xlpm.mo)*1,_xlpm.rolled,IF($B$23="Yes",($G$32:$G$39&lt;_xlpm.mo)*1,0),_xlpm.rate,$D$32:$D$39,SUMPRODUCT(_xlpm.isSuk*$C$32:$C$39*(_xlpm.live*_xlpm.rate+_xlpm.rolled*(_xlpm.rate+$B$24)))/12)</f>
        <v>12.815494791666667</v>
      </c>
      <c r="BC66" s="323" cm="1">
        <f t="array" ref="BC66">_xlfn.LET(_xlpm.mo,BC$57,_xlpm.isSuk,($B$32:$B$39="Sukuk")*1,_xlpm.live,($G$32:$G$39&gt;=_xlpm.mo)*1,_xlpm.rolled,IF($B$23="Yes",($G$32:$G$39&lt;_xlpm.mo)*1,0),_xlpm.rate,$D$32:$D$39,SUMPRODUCT(_xlpm.isSuk*$C$32:$C$39*(_xlpm.live*_xlpm.rate+_xlpm.rolled*(_xlpm.rate+$B$24)))/12)</f>
        <v>12.815494791666667</v>
      </c>
      <c r="BD66" s="323" cm="1">
        <f t="array" ref="BD66">_xlfn.LET(_xlpm.mo,BD$57,_xlpm.isSuk,($B$32:$B$39="Sukuk")*1,_xlpm.live,($G$32:$G$39&gt;=_xlpm.mo)*1,_xlpm.rolled,IF($B$23="Yes",($G$32:$G$39&lt;_xlpm.mo)*1,0),_xlpm.rate,$D$32:$D$39,SUMPRODUCT(_xlpm.isSuk*$C$32:$C$39*(_xlpm.live*_xlpm.rate+_xlpm.rolled*(_xlpm.rate+$B$24)))/12)</f>
        <v>12.815494791666667</v>
      </c>
      <c r="BE66" s="323" cm="1">
        <f t="array" ref="BE66">_xlfn.LET(_xlpm.mo,BE$57,_xlpm.isSuk,($B$32:$B$39="Sukuk")*1,_xlpm.live,($G$32:$G$39&gt;=_xlpm.mo)*1,_xlpm.rolled,IF($B$23="Yes",($G$32:$G$39&lt;_xlpm.mo)*1,0),_xlpm.rate,$D$32:$D$39,SUMPRODUCT(_xlpm.isSuk*$C$32:$C$39*(_xlpm.live*_xlpm.rate+_xlpm.rolled*(_xlpm.rate+$B$24)))/12)</f>
        <v>12.815494791666667</v>
      </c>
      <c r="BF66" s="323" cm="1">
        <f t="array" ref="BF66">_xlfn.LET(_xlpm.mo,BF$57,_xlpm.isSuk,($B$32:$B$39="Sukuk")*1,_xlpm.live,($G$32:$G$39&gt;=_xlpm.mo)*1,_xlpm.rolled,IF($B$23="Yes",($G$32:$G$39&lt;_xlpm.mo)*1,0),_xlpm.rate,$D$32:$D$39,SUMPRODUCT(_xlpm.isSuk*$C$32:$C$39*(_xlpm.live*_xlpm.rate+_xlpm.rolled*(_xlpm.rate+$B$24)))/12)</f>
        <v>12.815494791666667</v>
      </c>
      <c r="BG66" s="323" cm="1">
        <f t="array" ref="BG66">_xlfn.LET(_xlpm.mo,BG$57,_xlpm.isSuk,($B$32:$B$39="Sukuk")*1,_xlpm.live,($G$32:$G$39&gt;=_xlpm.mo)*1,_xlpm.rolled,IF($B$23="Yes",($G$32:$G$39&lt;_xlpm.mo)*1,0),_xlpm.rate,$D$32:$D$39,SUMPRODUCT(_xlpm.isSuk*$C$32:$C$39*(_xlpm.live*_xlpm.rate+_xlpm.rolled*(_xlpm.rate+$B$24)))/12)</f>
        <v>12.815494791666667</v>
      </c>
      <c r="BH66" s="323" cm="1">
        <f t="array" ref="BH66">_xlfn.LET(_xlpm.mo,BH$57,_xlpm.isSuk,($B$32:$B$39="Sukuk")*1,_xlpm.live,($G$32:$G$39&gt;=_xlpm.mo)*1,_xlpm.rolled,IF($B$23="Yes",($G$32:$G$39&lt;_xlpm.mo)*1,0),_xlpm.rate,$D$32:$D$39,SUMPRODUCT(_xlpm.isSuk*$C$32:$C$39*(_xlpm.live*_xlpm.rate+_xlpm.rolled*(_xlpm.rate+$B$24)))/12)</f>
        <v>12.815494791666667</v>
      </c>
      <c r="BI66" s="323" cm="1">
        <f t="array" ref="BI66">_xlfn.LET(_xlpm.mo,BI$57,_xlpm.isSuk,($B$32:$B$39="Sukuk")*1,_xlpm.live,($G$32:$G$39&gt;=_xlpm.mo)*1,_xlpm.rolled,IF($B$23="Yes",($G$32:$G$39&lt;_xlpm.mo)*1,0),_xlpm.rate,$D$32:$D$39,SUMPRODUCT(_xlpm.isSuk*$C$32:$C$39*(_xlpm.live*_xlpm.rate+_xlpm.rolled*(_xlpm.rate+$B$24)))/12)</f>
        <v>12.815494791666667</v>
      </c>
      <c r="BJ66" s="323" cm="1">
        <f t="array" ref="BJ66">_xlfn.LET(_xlpm.mo,BJ$57,_xlpm.isSuk,($B$32:$B$39="Sukuk")*1,_xlpm.live,($G$32:$G$39&gt;=_xlpm.mo)*1,_xlpm.rolled,IF($B$23="Yes",($G$32:$G$39&lt;_xlpm.mo)*1,0),_xlpm.rate,$D$32:$D$39,SUMPRODUCT(_xlpm.isSuk*$C$32:$C$39*(_xlpm.live*_xlpm.rate+_xlpm.rolled*(_xlpm.rate+$B$24)))/12)</f>
        <v>0</v>
      </c>
      <c r="BK66" s="323" cm="1">
        <f t="array" ref="BK66">_xlfn.LET(_xlpm.mo,BK$57,_xlpm.isSuk,($B$32:$B$39="Sukuk")*1,_xlpm.live,($G$32:$G$39&gt;=_xlpm.mo)*1,_xlpm.rolled,IF($B$23="Yes",($G$32:$G$39&lt;_xlpm.mo)*1,0),_xlpm.rate,$D$32:$D$39,SUMPRODUCT(_xlpm.isSuk*$C$32:$C$39*(_xlpm.live*_xlpm.rate+_xlpm.rolled*(_xlpm.rate+$B$24)))/12)</f>
        <v>0</v>
      </c>
      <c r="BL66" s="323" cm="1">
        <f t="array" ref="BL66">_xlfn.LET(_xlpm.mo,BL$57,_xlpm.isSuk,($B$32:$B$39="Sukuk")*1,_xlpm.live,($G$32:$G$39&gt;=_xlpm.mo)*1,_xlpm.rolled,IF($B$23="Yes",($G$32:$G$39&lt;_xlpm.mo)*1,0),_xlpm.rate,$D$32:$D$39,SUMPRODUCT(_xlpm.isSuk*$C$32:$C$39*(_xlpm.live*_xlpm.rate+_xlpm.rolled*(_xlpm.rate+$B$24)))/12)</f>
        <v>0</v>
      </c>
      <c r="BM66" s="323" cm="1">
        <f t="array" ref="BM66">_xlfn.LET(_xlpm.mo,BM$57,_xlpm.isSuk,($B$32:$B$39="Sukuk")*1,_xlpm.live,($G$32:$G$39&gt;=_xlpm.mo)*1,_xlpm.rolled,IF($B$23="Yes",($G$32:$G$39&lt;_xlpm.mo)*1,0),_xlpm.rate,$D$32:$D$39,SUMPRODUCT(_xlpm.isSuk*$C$32:$C$39*(_xlpm.live*_xlpm.rate+_xlpm.rolled*(_xlpm.rate+$B$24)))/12)</f>
        <v>0</v>
      </c>
      <c r="BN66" s="323" cm="1">
        <f t="array" ref="BN66">_xlfn.LET(_xlpm.mo,BN$57,_xlpm.isSuk,($B$32:$B$39="Sukuk")*1,_xlpm.live,($G$32:$G$39&gt;=_xlpm.mo)*1,_xlpm.rolled,IF($B$23="Yes",($G$32:$G$39&lt;_xlpm.mo)*1,0),_xlpm.rate,$D$32:$D$39,SUMPRODUCT(_xlpm.isSuk*$C$32:$C$39*(_xlpm.live*_xlpm.rate+_xlpm.rolled*(_xlpm.rate+$B$24)))/12)</f>
        <v>0</v>
      </c>
    </row>
    <row r="67" spans="1:66" ht="17.25" customHeight="1" x14ac:dyDescent="0.2">
      <c r="A67" s="321" t="s">
        <v>752</v>
      </c>
      <c r="B67" s="321"/>
      <c r="C67" s="323" cm="1">
        <f t="array" ref="C67">_xlfn.LET(_xlpm.mo,C$57,_xlpm.isBank,($B$32:$B$39="Bank")*1,_xlpm.live,($G$32:$G$39&gt;=_xlpm.mo)*1,SUMPRODUCT(_xlpm.isBank*_xlpm.live*$C$32:$C$39*$D$32:$D$39)/12)</f>
        <v>34.830859374999996</v>
      </c>
      <c r="D67" s="323" cm="1">
        <f t="array" ref="D67">_xlfn.LET(_xlpm.mo,D$57,_xlpm.isBank,($B$32:$B$39="Bank")*1,_xlpm.live,($G$32:$G$39&gt;=_xlpm.mo)*1,SUMPRODUCT(_xlpm.isBank*_xlpm.live*$C$32:$C$39*$D$32:$D$39)/12)</f>
        <v>34.830859374999996</v>
      </c>
      <c r="E67" s="323" cm="1">
        <f t="array" ref="E67">_xlfn.LET(_xlpm.mo,E$57,_xlpm.isBank,($B$32:$B$39="Bank")*1,_xlpm.live,($G$32:$G$39&gt;=_xlpm.mo)*1,SUMPRODUCT(_xlpm.isBank*_xlpm.live*$C$32:$C$39*$D$32:$D$39)/12)</f>
        <v>34.830859374999996</v>
      </c>
      <c r="F67" s="323" cm="1">
        <f t="array" ref="F67">_xlfn.LET(_xlpm.mo,F$57,_xlpm.isBank,($B$32:$B$39="Bank")*1,_xlpm.live,($G$32:$G$39&gt;=_xlpm.mo)*1,SUMPRODUCT(_xlpm.isBank*_xlpm.live*$C$32:$C$39*$D$32:$D$39)/12)</f>
        <v>26.429596298283258</v>
      </c>
      <c r="G67" s="323" cm="1">
        <f t="array" ref="G67">_xlfn.LET(_xlpm.mo,G$57,_xlpm.isBank,($B$32:$B$39="Bank")*1,_xlpm.live,($G$32:$G$39&gt;=_xlpm.mo)*1,SUMPRODUCT(_xlpm.isBank*_xlpm.live*$C$32:$C$39*$D$32:$D$39)/12)</f>
        <v>26.429596298283258</v>
      </c>
      <c r="H67" s="323" cm="1">
        <f t="array" ref="H67">_xlfn.LET(_xlpm.mo,H$57,_xlpm.isBank,($B$32:$B$39="Bank")*1,_xlpm.live,($G$32:$G$39&gt;=_xlpm.mo)*1,SUMPRODUCT(_xlpm.isBank*_xlpm.live*$C$32:$C$39*$D$32:$D$39)/12)</f>
        <v>26.429596298283258</v>
      </c>
      <c r="I67" s="323" cm="1">
        <f t="array" ref="I67">_xlfn.LET(_xlpm.mo,I$57,_xlpm.isBank,($B$32:$B$39="Bank")*1,_xlpm.live,($G$32:$G$39&gt;=_xlpm.mo)*1,SUMPRODUCT(_xlpm.isBank*_xlpm.live*$C$32:$C$39*$D$32:$D$39)/12)</f>
        <v>26.429596298283258</v>
      </c>
      <c r="J67" s="323" cm="1">
        <f t="array" ref="J67">_xlfn.LET(_xlpm.mo,J$57,_xlpm.isBank,($B$32:$B$39="Bank")*1,_xlpm.live,($G$32:$G$39&gt;=_xlpm.mo)*1,SUMPRODUCT(_xlpm.isBank*_xlpm.live*$C$32:$C$39*$D$32:$D$39)/12)</f>
        <v>26.429596298283258</v>
      </c>
      <c r="K67" s="323" cm="1">
        <f t="array" ref="K67">_xlfn.LET(_xlpm.mo,K$57,_xlpm.isBank,($B$32:$B$39="Bank")*1,_xlpm.live,($G$32:$G$39&gt;=_xlpm.mo)*1,SUMPRODUCT(_xlpm.isBank*_xlpm.live*$C$32:$C$39*$D$32:$D$39)/12)</f>
        <v>26.429596298283258</v>
      </c>
      <c r="L67" s="323" cm="1">
        <f t="array" ref="L67">_xlfn.LET(_xlpm.mo,L$57,_xlpm.isBank,($B$32:$B$39="Bank")*1,_xlpm.live,($G$32:$G$39&gt;=_xlpm.mo)*1,SUMPRODUCT(_xlpm.isBank*_xlpm.live*$C$32:$C$39*$D$32:$D$39)/12)</f>
        <v>20.8088224248927</v>
      </c>
      <c r="M67" s="323" cm="1">
        <f t="array" ref="M67">_xlfn.LET(_xlpm.mo,M$57,_xlpm.isBank,($B$32:$B$39="Bank")*1,_xlpm.live,($G$32:$G$39&gt;=_xlpm.mo)*1,SUMPRODUCT(_xlpm.isBank*_xlpm.live*$C$32:$C$39*$D$32:$D$39)/12)</f>
        <v>20.8088224248927</v>
      </c>
      <c r="N67" s="323" cm="1">
        <f t="array" ref="N67">_xlfn.LET(_xlpm.mo,N$57,_xlpm.isBank,($B$32:$B$39="Bank")*1,_xlpm.live,($G$32:$G$39&gt;=_xlpm.mo)*1,SUMPRODUCT(_xlpm.isBank*_xlpm.live*$C$32:$C$39*$D$32:$D$39)/12)</f>
        <v>20.8088224248927</v>
      </c>
      <c r="O67" s="323" cm="1">
        <f t="array" ref="O67">_xlfn.LET(_xlpm.mo,O$57,_xlpm.isBank,($B$32:$B$39="Bank")*1,_xlpm.live,($G$32:$G$39&gt;=_xlpm.mo)*1,SUMPRODUCT(_xlpm.isBank*_xlpm.live*$C$32:$C$39*$D$32:$D$39)/12)</f>
        <v>20.8088224248927</v>
      </c>
      <c r="P67" s="323" cm="1">
        <f t="array" ref="P67">_xlfn.LET(_xlpm.mo,P$57,_xlpm.isBank,($B$32:$B$39="Bank")*1,_xlpm.live,($G$32:$G$39&gt;=_xlpm.mo)*1,SUMPRODUCT(_xlpm.isBank*_xlpm.live*$C$32:$C$39*$D$32:$D$39)/12)</f>
        <v>20.8088224248927</v>
      </c>
      <c r="Q67" s="323" cm="1">
        <f t="array" ref="Q67">_xlfn.LET(_xlpm.mo,Q$57,_xlpm.isBank,($B$32:$B$39="Bank")*1,_xlpm.live,($G$32:$G$39&gt;=_xlpm.mo)*1,SUMPRODUCT(_xlpm.isBank*_xlpm.live*$C$32:$C$39*$D$32:$D$39)/12)</f>
        <v>20.8088224248927</v>
      </c>
      <c r="R67" s="323" cm="1">
        <f t="array" ref="R67">_xlfn.LET(_xlpm.mo,R$57,_xlpm.isBank,($B$32:$B$39="Bank")*1,_xlpm.live,($G$32:$G$39&gt;=_xlpm.mo)*1,SUMPRODUCT(_xlpm.isBank*_xlpm.live*$C$32:$C$39*$D$32:$D$39)/12)</f>
        <v>11.181752280042916</v>
      </c>
      <c r="S67" s="323" cm="1">
        <f t="array" ref="S67">_xlfn.LET(_xlpm.mo,S$57,_xlpm.isBank,($B$32:$B$39="Bank")*1,_xlpm.live,($G$32:$G$39&gt;=_xlpm.mo)*1,SUMPRODUCT(_xlpm.isBank*_xlpm.live*$C$32:$C$39*$D$32:$D$39)/12)</f>
        <v>11.181752280042916</v>
      </c>
      <c r="T67" s="323" cm="1">
        <f t="array" ref="T67">_xlfn.LET(_xlpm.mo,T$57,_xlpm.isBank,($B$32:$B$39="Bank")*1,_xlpm.live,($G$32:$G$39&gt;=_xlpm.mo)*1,SUMPRODUCT(_xlpm.isBank*_xlpm.live*$C$32:$C$39*$D$32:$D$39)/12)</f>
        <v>11.181752280042916</v>
      </c>
      <c r="U67" s="323" cm="1">
        <f t="array" ref="U67">_xlfn.LET(_xlpm.mo,U$57,_xlpm.isBank,($B$32:$B$39="Bank")*1,_xlpm.live,($G$32:$G$39&gt;=_xlpm.mo)*1,SUMPRODUCT(_xlpm.isBank*_xlpm.live*$C$32:$C$39*$D$32:$D$39)/12)</f>
        <v>11.181752280042916</v>
      </c>
      <c r="V67" s="323" cm="1">
        <f t="array" ref="V67">_xlfn.LET(_xlpm.mo,V$57,_xlpm.isBank,($B$32:$B$39="Bank")*1,_xlpm.live,($G$32:$G$39&gt;=_xlpm.mo)*1,SUMPRODUCT(_xlpm.isBank*_xlpm.live*$C$32:$C$39*$D$32:$D$39)/12)</f>
        <v>11.181752280042916</v>
      </c>
      <c r="W67" s="323" cm="1">
        <f t="array" ref="W67">_xlfn.LET(_xlpm.mo,W$57,_xlpm.isBank,($B$32:$B$39="Bank")*1,_xlpm.live,($G$32:$G$39&gt;=_xlpm.mo)*1,SUMPRODUCT(_xlpm.isBank*_xlpm.live*$C$32:$C$39*$D$32:$D$39)/12)</f>
        <v>11.181752280042916</v>
      </c>
      <c r="X67" s="323" cm="1">
        <f t="array" ref="X67">_xlfn.LET(_xlpm.mo,X$57,_xlpm.isBank,($B$32:$B$39="Bank")*1,_xlpm.live,($G$32:$G$39&gt;=_xlpm.mo)*1,SUMPRODUCT(_xlpm.isBank*_xlpm.live*$C$32:$C$39*$D$32:$D$39)/12)</f>
        <v>0</v>
      </c>
      <c r="Y67" s="323" cm="1">
        <f t="array" ref="Y67">_xlfn.LET(_xlpm.mo,Y$57,_xlpm.isBank,($B$32:$B$39="Bank")*1,_xlpm.live,($G$32:$G$39&gt;=_xlpm.mo)*1,SUMPRODUCT(_xlpm.isBank*_xlpm.live*$C$32:$C$39*$D$32:$D$39)/12)</f>
        <v>0</v>
      </c>
      <c r="Z67" s="323" cm="1">
        <f t="array" ref="Z67">_xlfn.LET(_xlpm.mo,Z$57,_xlpm.isBank,($B$32:$B$39="Bank")*1,_xlpm.live,($G$32:$G$39&gt;=_xlpm.mo)*1,SUMPRODUCT(_xlpm.isBank*_xlpm.live*$C$32:$C$39*$D$32:$D$39)/12)</f>
        <v>0</v>
      </c>
      <c r="AA67" s="323" cm="1">
        <f t="array" ref="AA67">_xlfn.LET(_xlpm.mo,AA$57,_xlpm.isBank,($B$32:$B$39="Bank")*1,_xlpm.live,($G$32:$G$39&gt;=_xlpm.mo)*1,SUMPRODUCT(_xlpm.isBank*_xlpm.live*$C$32:$C$39*$D$32:$D$39)/12)</f>
        <v>0</v>
      </c>
      <c r="AB67" s="323" cm="1">
        <f t="array" ref="AB67">_xlfn.LET(_xlpm.mo,AB$57,_xlpm.isBank,($B$32:$B$39="Bank")*1,_xlpm.live,($G$32:$G$39&gt;=_xlpm.mo)*1,SUMPRODUCT(_xlpm.isBank*_xlpm.live*$C$32:$C$39*$D$32:$D$39)/12)</f>
        <v>0</v>
      </c>
      <c r="AC67" s="323" cm="1">
        <f t="array" ref="AC67">_xlfn.LET(_xlpm.mo,AC$57,_xlpm.isBank,($B$32:$B$39="Bank")*1,_xlpm.live,($G$32:$G$39&gt;=_xlpm.mo)*1,SUMPRODUCT(_xlpm.isBank*_xlpm.live*$C$32:$C$39*$D$32:$D$39)/12)</f>
        <v>0</v>
      </c>
      <c r="AD67" s="323" cm="1">
        <f t="array" ref="AD67">_xlfn.LET(_xlpm.mo,AD$57,_xlpm.isBank,($B$32:$B$39="Bank")*1,_xlpm.live,($G$32:$G$39&gt;=_xlpm.mo)*1,SUMPRODUCT(_xlpm.isBank*_xlpm.live*$C$32:$C$39*$D$32:$D$39)/12)</f>
        <v>0</v>
      </c>
      <c r="AE67" s="323" cm="1">
        <f t="array" ref="AE67">_xlfn.LET(_xlpm.mo,AE$57,_xlpm.isBank,($B$32:$B$39="Bank")*1,_xlpm.live,($G$32:$G$39&gt;=_xlpm.mo)*1,SUMPRODUCT(_xlpm.isBank*_xlpm.live*$C$32:$C$39*$D$32:$D$39)/12)</f>
        <v>0</v>
      </c>
      <c r="AF67" s="323" cm="1">
        <f t="array" ref="AF67">_xlfn.LET(_xlpm.mo,AF$57,_xlpm.isBank,($B$32:$B$39="Bank")*1,_xlpm.live,($G$32:$G$39&gt;=_xlpm.mo)*1,SUMPRODUCT(_xlpm.isBank*_xlpm.live*$C$32:$C$39*$D$32:$D$39)/12)</f>
        <v>0</v>
      </c>
      <c r="AG67" s="323" cm="1">
        <f t="array" ref="AG67">_xlfn.LET(_xlpm.mo,AG$57,_xlpm.isBank,($B$32:$B$39="Bank")*1,_xlpm.live,($G$32:$G$39&gt;=_xlpm.mo)*1,SUMPRODUCT(_xlpm.isBank*_xlpm.live*$C$32:$C$39*$D$32:$D$39)/12)</f>
        <v>0</v>
      </c>
      <c r="AH67" s="323" cm="1">
        <f t="array" ref="AH67">_xlfn.LET(_xlpm.mo,AH$57,_xlpm.isBank,($B$32:$B$39="Bank")*1,_xlpm.live,($G$32:$G$39&gt;=_xlpm.mo)*1,SUMPRODUCT(_xlpm.isBank*_xlpm.live*$C$32:$C$39*$D$32:$D$39)/12)</f>
        <v>0</v>
      </c>
      <c r="AI67" s="323" cm="1">
        <f t="array" ref="AI67">_xlfn.LET(_xlpm.mo,AI$57,_xlpm.isBank,($B$32:$B$39="Bank")*1,_xlpm.live,($G$32:$G$39&gt;=_xlpm.mo)*1,SUMPRODUCT(_xlpm.isBank*_xlpm.live*$C$32:$C$39*$D$32:$D$39)/12)</f>
        <v>0</v>
      </c>
      <c r="AJ67" s="323" cm="1">
        <f t="array" ref="AJ67">_xlfn.LET(_xlpm.mo,AJ$57,_xlpm.isBank,($B$32:$B$39="Bank")*1,_xlpm.live,($G$32:$G$39&gt;=_xlpm.mo)*1,SUMPRODUCT(_xlpm.isBank*_xlpm.live*$C$32:$C$39*$D$32:$D$39)/12)</f>
        <v>0</v>
      </c>
      <c r="AK67" s="323" cm="1">
        <f t="array" ref="AK67">_xlfn.LET(_xlpm.mo,AK$57,_xlpm.isBank,($B$32:$B$39="Bank")*1,_xlpm.live,($G$32:$G$39&gt;=_xlpm.mo)*1,SUMPRODUCT(_xlpm.isBank*_xlpm.live*$C$32:$C$39*$D$32:$D$39)/12)</f>
        <v>0</v>
      </c>
      <c r="AL67" s="323" cm="1">
        <f t="array" ref="AL67">_xlfn.LET(_xlpm.mo,AL$57,_xlpm.isBank,($B$32:$B$39="Bank")*1,_xlpm.live,($G$32:$G$39&gt;=_xlpm.mo)*1,SUMPRODUCT(_xlpm.isBank*_xlpm.live*$C$32:$C$39*$D$32:$D$39)/12)</f>
        <v>0</v>
      </c>
      <c r="AM67" s="323" cm="1">
        <f t="array" ref="AM67">_xlfn.LET(_xlpm.mo,AM$57,_xlpm.isBank,($B$32:$B$39="Bank")*1,_xlpm.live,($G$32:$G$39&gt;=_xlpm.mo)*1,SUMPRODUCT(_xlpm.isBank*_xlpm.live*$C$32:$C$39*$D$32:$D$39)/12)</f>
        <v>0</v>
      </c>
      <c r="AN67" s="323" cm="1">
        <f t="array" ref="AN67">_xlfn.LET(_xlpm.mo,AN$57,_xlpm.isBank,($B$32:$B$39="Bank")*1,_xlpm.live,($G$32:$G$39&gt;=_xlpm.mo)*1,SUMPRODUCT(_xlpm.isBank*_xlpm.live*$C$32:$C$39*$D$32:$D$39)/12)</f>
        <v>0</v>
      </c>
      <c r="AO67" s="323" cm="1">
        <f t="array" ref="AO67">_xlfn.LET(_xlpm.mo,AO$57,_xlpm.isBank,($B$32:$B$39="Bank")*1,_xlpm.live,($G$32:$G$39&gt;=_xlpm.mo)*1,SUMPRODUCT(_xlpm.isBank*_xlpm.live*$C$32:$C$39*$D$32:$D$39)/12)</f>
        <v>0</v>
      </c>
      <c r="AP67" s="323" cm="1">
        <f t="array" ref="AP67">_xlfn.LET(_xlpm.mo,AP$57,_xlpm.isBank,($B$32:$B$39="Bank")*1,_xlpm.live,($G$32:$G$39&gt;=_xlpm.mo)*1,SUMPRODUCT(_xlpm.isBank*_xlpm.live*$C$32:$C$39*$D$32:$D$39)/12)</f>
        <v>0</v>
      </c>
      <c r="AQ67" s="323" cm="1">
        <f t="array" ref="AQ67">_xlfn.LET(_xlpm.mo,AQ$57,_xlpm.isBank,($B$32:$B$39="Bank")*1,_xlpm.live,($G$32:$G$39&gt;=_xlpm.mo)*1,SUMPRODUCT(_xlpm.isBank*_xlpm.live*$C$32:$C$39*$D$32:$D$39)/12)</f>
        <v>0</v>
      </c>
      <c r="AR67" s="323" cm="1">
        <f t="array" ref="AR67">_xlfn.LET(_xlpm.mo,AR$57,_xlpm.isBank,($B$32:$B$39="Bank")*1,_xlpm.live,($G$32:$G$39&gt;=_xlpm.mo)*1,SUMPRODUCT(_xlpm.isBank*_xlpm.live*$C$32:$C$39*$D$32:$D$39)/12)</f>
        <v>0</v>
      </c>
      <c r="AS67" s="323" cm="1">
        <f t="array" ref="AS67">_xlfn.LET(_xlpm.mo,AS$57,_xlpm.isBank,($B$32:$B$39="Bank")*1,_xlpm.live,($G$32:$G$39&gt;=_xlpm.mo)*1,SUMPRODUCT(_xlpm.isBank*_xlpm.live*$C$32:$C$39*$D$32:$D$39)/12)</f>
        <v>0</v>
      </c>
      <c r="AT67" s="323" cm="1">
        <f t="array" ref="AT67">_xlfn.LET(_xlpm.mo,AT$57,_xlpm.isBank,($B$32:$B$39="Bank")*1,_xlpm.live,($G$32:$G$39&gt;=_xlpm.mo)*1,SUMPRODUCT(_xlpm.isBank*_xlpm.live*$C$32:$C$39*$D$32:$D$39)/12)</f>
        <v>0</v>
      </c>
      <c r="AU67" s="323" cm="1">
        <f t="array" ref="AU67">_xlfn.LET(_xlpm.mo,AU$57,_xlpm.isBank,($B$32:$B$39="Bank")*1,_xlpm.live,($G$32:$G$39&gt;=_xlpm.mo)*1,SUMPRODUCT(_xlpm.isBank*_xlpm.live*$C$32:$C$39*$D$32:$D$39)/12)</f>
        <v>0</v>
      </c>
      <c r="AV67" s="323" cm="1">
        <f t="array" ref="AV67">_xlfn.LET(_xlpm.mo,AV$57,_xlpm.isBank,($B$32:$B$39="Bank")*1,_xlpm.live,($G$32:$G$39&gt;=_xlpm.mo)*1,SUMPRODUCT(_xlpm.isBank*_xlpm.live*$C$32:$C$39*$D$32:$D$39)/12)</f>
        <v>0</v>
      </c>
      <c r="AW67" s="323" cm="1">
        <f t="array" ref="AW67">_xlfn.LET(_xlpm.mo,AW$57,_xlpm.isBank,($B$32:$B$39="Bank")*1,_xlpm.live,($G$32:$G$39&gt;=_xlpm.mo)*1,SUMPRODUCT(_xlpm.isBank*_xlpm.live*$C$32:$C$39*$D$32:$D$39)/12)</f>
        <v>0</v>
      </c>
      <c r="AX67" s="323" cm="1">
        <f t="array" ref="AX67">_xlfn.LET(_xlpm.mo,AX$57,_xlpm.isBank,($B$32:$B$39="Bank")*1,_xlpm.live,($G$32:$G$39&gt;=_xlpm.mo)*1,SUMPRODUCT(_xlpm.isBank*_xlpm.live*$C$32:$C$39*$D$32:$D$39)/12)</f>
        <v>0</v>
      </c>
      <c r="AY67" s="323" cm="1">
        <f t="array" ref="AY67">_xlfn.LET(_xlpm.mo,AY$57,_xlpm.isBank,($B$32:$B$39="Bank")*1,_xlpm.live,($G$32:$G$39&gt;=_xlpm.mo)*1,SUMPRODUCT(_xlpm.isBank*_xlpm.live*$C$32:$C$39*$D$32:$D$39)/12)</f>
        <v>0</v>
      </c>
      <c r="AZ67" s="323" cm="1">
        <f t="array" ref="AZ67">_xlfn.LET(_xlpm.mo,AZ$57,_xlpm.isBank,($B$32:$B$39="Bank")*1,_xlpm.live,($G$32:$G$39&gt;=_xlpm.mo)*1,SUMPRODUCT(_xlpm.isBank*_xlpm.live*$C$32:$C$39*$D$32:$D$39)/12)</f>
        <v>0</v>
      </c>
      <c r="BA67" s="323" cm="1">
        <f t="array" ref="BA67">_xlfn.LET(_xlpm.mo,BA$57,_xlpm.isBank,($B$32:$B$39="Bank")*1,_xlpm.live,($G$32:$G$39&gt;=_xlpm.mo)*1,SUMPRODUCT(_xlpm.isBank*_xlpm.live*$C$32:$C$39*$D$32:$D$39)/12)</f>
        <v>0</v>
      </c>
      <c r="BB67" s="323" cm="1">
        <f t="array" ref="BB67">_xlfn.LET(_xlpm.mo,BB$57,_xlpm.isBank,($B$32:$B$39="Bank")*1,_xlpm.live,($G$32:$G$39&gt;=_xlpm.mo)*1,SUMPRODUCT(_xlpm.isBank*_xlpm.live*$C$32:$C$39*$D$32:$D$39)/12)</f>
        <v>0</v>
      </c>
      <c r="BC67" s="323" cm="1">
        <f t="array" ref="BC67">_xlfn.LET(_xlpm.mo,BC$57,_xlpm.isBank,($B$32:$B$39="Bank")*1,_xlpm.live,($G$32:$G$39&gt;=_xlpm.mo)*1,SUMPRODUCT(_xlpm.isBank*_xlpm.live*$C$32:$C$39*$D$32:$D$39)/12)</f>
        <v>0</v>
      </c>
      <c r="BD67" s="323" cm="1">
        <f t="array" ref="BD67">_xlfn.LET(_xlpm.mo,BD$57,_xlpm.isBank,($B$32:$B$39="Bank")*1,_xlpm.live,($G$32:$G$39&gt;=_xlpm.mo)*1,SUMPRODUCT(_xlpm.isBank*_xlpm.live*$C$32:$C$39*$D$32:$D$39)/12)</f>
        <v>0</v>
      </c>
      <c r="BE67" s="323" cm="1">
        <f t="array" ref="BE67">_xlfn.LET(_xlpm.mo,BE$57,_xlpm.isBank,($B$32:$B$39="Bank")*1,_xlpm.live,($G$32:$G$39&gt;=_xlpm.mo)*1,SUMPRODUCT(_xlpm.isBank*_xlpm.live*$C$32:$C$39*$D$32:$D$39)/12)</f>
        <v>0</v>
      </c>
      <c r="BF67" s="323" cm="1">
        <f t="array" ref="BF67">_xlfn.LET(_xlpm.mo,BF$57,_xlpm.isBank,($B$32:$B$39="Bank")*1,_xlpm.live,($G$32:$G$39&gt;=_xlpm.mo)*1,SUMPRODUCT(_xlpm.isBank*_xlpm.live*$C$32:$C$39*$D$32:$D$39)/12)</f>
        <v>0</v>
      </c>
      <c r="BG67" s="323" cm="1">
        <f t="array" ref="BG67">_xlfn.LET(_xlpm.mo,BG$57,_xlpm.isBank,($B$32:$B$39="Bank")*1,_xlpm.live,($G$32:$G$39&gt;=_xlpm.mo)*1,SUMPRODUCT(_xlpm.isBank*_xlpm.live*$C$32:$C$39*$D$32:$D$39)/12)</f>
        <v>0</v>
      </c>
      <c r="BH67" s="323" cm="1">
        <f t="array" ref="BH67">_xlfn.LET(_xlpm.mo,BH$57,_xlpm.isBank,($B$32:$B$39="Bank")*1,_xlpm.live,($G$32:$G$39&gt;=_xlpm.mo)*1,SUMPRODUCT(_xlpm.isBank*_xlpm.live*$C$32:$C$39*$D$32:$D$39)/12)</f>
        <v>0</v>
      </c>
      <c r="BI67" s="323" cm="1">
        <f t="array" ref="BI67">_xlfn.LET(_xlpm.mo,BI$57,_xlpm.isBank,($B$32:$B$39="Bank")*1,_xlpm.live,($G$32:$G$39&gt;=_xlpm.mo)*1,SUMPRODUCT(_xlpm.isBank*_xlpm.live*$C$32:$C$39*$D$32:$D$39)/12)</f>
        <v>0</v>
      </c>
      <c r="BJ67" s="323" cm="1">
        <f t="array" ref="BJ67">_xlfn.LET(_xlpm.mo,BJ$57,_xlpm.isBank,($B$32:$B$39="Bank")*1,_xlpm.live,($G$32:$G$39&gt;=_xlpm.mo)*1,SUMPRODUCT(_xlpm.isBank*_xlpm.live*$C$32:$C$39*$D$32:$D$39)/12)</f>
        <v>0</v>
      </c>
      <c r="BK67" s="323" cm="1">
        <f t="array" ref="BK67">_xlfn.LET(_xlpm.mo,BK$57,_xlpm.isBank,($B$32:$B$39="Bank")*1,_xlpm.live,($G$32:$G$39&gt;=_xlpm.mo)*1,SUMPRODUCT(_xlpm.isBank*_xlpm.live*$C$32:$C$39*$D$32:$D$39)/12)</f>
        <v>0</v>
      </c>
      <c r="BL67" s="323" cm="1">
        <f t="array" ref="BL67">_xlfn.LET(_xlpm.mo,BL$57,_xlpm.isBank,($B$32:$B$39="Bank")*1,_xlpm.live,($G$32:$G$39&gt;=_xlpm.mo)*1,SUMPRODUCT(_xlpm.isBank*_xlpm.live*$C$32:$C$39*$D$32:$D$39)/12)</f>
        <v>0</v>
      </c>
      <c r="BM67" s="323" cm="1">
        <f t="array" ref="BM67">_xlfn.LET(_xlpm.mo,BM$57,_xlpm.isBank,($B$32:$B$39="Bank")*1,_xlpm.live,($G$32:$G$39&gt;=_xlpm.mo)*1,SUMPRODUCT(_xlpm.isBank*_xlpm.live*$C$32:$C$39*$D$32:$D$39)/12)</f>
        <v>0</v>
      </c>
      <c r="BN67" s="323" cm="1">
        <f t="array" ref="BN67">_xlfn.LET(_xlpm.mo,BN$57,_xlpm.isBank,($B$32:$B$39="Bank")*1,_xlpm.live,($G$32:$G$39&gt;=_xlpm.mo)*1,SUMPRODUCT(_xlpm.isBank*_xlpm.live*$C$32:$C$39*$D$32:$D$39)/12)</f>
        <v>0</v>
      </c>
    </row>
    <row r="68" spans="1:66" ht="17.25" customHeight="1" x14ac:dyDescent="0.2">
      <c r="A68" s="321" t="s">
        <v>753</v>
      </c>
      <c r="B68" s="321"/>
      <c r="C68" s="323" cm="1">
        <f t="array" ref="C68">SUMPRODUCT(($G$32:$G$39=C$57)*$C$32:$C$39)</f>
        <v>0</v>
      </c>
      <c r="D68" s="323" cm="1">
        <f t="array" ref="D68">SUMPRODUCT(($G$32:$G$39=D$57)*$C$32:$C$39)</f>
        <v>0</v>
      </c>
      <c r="E68" s="323" cm="1">
        <f t="array" ref="E68">SUMPRODUCT(($G$32:$G$39=E$57)*$C$32:$C$39)</f>
        <v>1031.9724999999999</v>
      </c>
      <c r="F68" s="323" cm="1">
        <f t="array" ref="F68">SUMPRODUCT(($G$32:$G$39=F$57)*$C$32:$C$39)</f>
        <v>0</v>
      </c>
      <c r="G68" s="323" cm="1">
        <f t="array" ref="G68">SUMPRODUCT(($G$32:$G$39=G$57)*$C$32:$C$39)</f>
        <v>1836.25</v>
      </c>
      <c r="H68" s="323" cm="1">
        <f t="array" ref="H68">SUMPRODUCT(($G$32:$G$39=H$57)*$C$32:$C$39)</f>
        <v>0</v>
      </c>
      <c r="I68" s="323" cm="1">
        <f t="array" ref="I68">SUMPRODUCT(($G$32:$G$39=I$57)*$C$32:$C$39)</f>
        <v>0</v>
      </c>
      <c r="J68" s="323" cm="1">
        <f t="array" ref="J68">SUMPRODUCT(($G$32:$G$39=J$57)*$C$32:$C$39)</f>
        <v>0</v>
      </c>
      <c r="K68" s="323" cm="1">
        <f t="array" ref="K68">SUMPRODUCT(($G$32:$G$39=K$57)*$C$32:$C$39)</f>
        <v>690.43</v>
      </c>
      <c r="L68" s="323" cm="1">
        <f t="array" ref="L68">SUMPRODUCT(($G$32:$G$39=L$57)*$C$32:$C$39)</f>
        <v>0</v>
      </c>
      <c r="M68" s="323" cm="1">
        <f t="array" ref="M68">SUMPRODUCT(($G$32:$G$39=M$57)*$C$32:$C$39)</f>
        <v>0</v>
      </c>
      <c r="N68" s="323" cm="1">
        <f t="array" ref="N68">SUMPRODUCT(($G$32:$G$39=N$57)*$C$32:$C$39)</f>
        <v>0</v>
      </c>
      <c r="O68" s="323" cm="1">
        <f t="array" ref="O68">SUMPRODUCT(($G$32:$G$39=O$57)*$C$32:$C$39)</f>
        <v>0</v>
      </c>
      <c r="P68" s="323" cm="1">
        <f t="array" ref="P68">SUMPRODUCT(($G$32:$G$39=P$57)*$C$32:$C$39)</f>
        <v>0</v>
      </c>
      <c r="Q68" s="323" cm="1">
        <f t="array" ref="Q68">SUMPRODUCT(($G$32:$G$39=Q$57)*$C$32:$C$39)</f>
        <v>1182.5450000000001</v>
      </c>
      <c r="R68" s="323" cm="1">
        <f t="array" ref="R68">SUMPRODUCT(($G$32:$G$39=R$57)*$C$32:$C$39)</f>
        <v>0</v>
      </c>
      <c r="S68" s="323" cm="1">
        <f t="array" ref="S68">SUMPRODUCT(($G$32:$G$39=S$57)*$C$32:$C$39)</f>
        <v>0</v>
      </c>
      <c r="T68" s="323" cm="1">
        <f t="array" ref="T68">SUMPRODUCT(($G$32:$G$39=T$57)*$C$32:$C$39)</f>
        <v>0</v>
      </c>
      <c r="U68" s="323" cm="1">
        <f t="array" ref="U68">SUMPRODUCT(($G$32:$G$39=U$57)*$C$32:$C$39)</f>
        <v>0</v>
      </c>
      <c r="V68" s="323" cm="1">
        <f t="array" ref="V68">SUMPRODUCT(($G$32:$G$39=V$57)*$C$32:$C$39)</f>
        <v>0</v>
      </c>
      <c r="W68" s="323" cm="1">
        <f t="array" ref="W68">SUMPRODUCT(($G$32:$G$39=W$57)*$C$32:$C$39)</f>
        <v>1373.5149999999999</v>
      </c>
      <c r="X68" s="323" cm="1">
        <f t="array" ref="X68">SUMPRODUCT(($G$32:$G$39=X$57)*$C$32:$C$39)</f>
        <v>0</v>
      </c>
      <c r="Y68" s="323" cm="1">
        <f t="array" ref="Y68">SUMPRODUCT(($G$32:$G$39=Y$57)*$C$32:$C$39)</f>
        <v>0</v>
      </c>
      <c r="Z68" s="323" cm="1">
        <f t="array" ref="Z68">SUMPRODUCT(($G$32:$G$39=Z$57)*$C$32:$C$39)</f>
        <v>0</v>
      </c>
      <c r="AA68" s="323" cm="1">
        <f t="array" ref="AA68">SUMPRODUCT(($G$32:$G$39=AA$57)*$C$32:$C$39)</f>
        <v>0</v>
      </c>
      <c r="AB68" s="323" cm="1">
        <f t="array" ref="AB68">SUMPRODUCT(($G$32:$G$39=AB$57)*$C$32:$C$39)</f>
        <v>0</v>
      </c>
      <c r="AC68" s="323" cm="1">
        <f t="array" ref="AC68">SUMPRODUCT(($G$32:$G$39=AC$57)*$C$32:$C$39)</f>
        <v>0</v>
      </c>
      <c r="AD68" s="323" cm="1">
        <f t="array" ref="AD68">SUMPRODUCT(($G$32:$G$39=AD$57)*$C$32:$C$39)</f>
        <v>0</v>
      </c>
      <c r="AE68" s="323" cm="1">
        <f t="array" ref="AE68">SUMPRODUCT(($G$32:$G$39=AE$57)*$C$32:$C$39)</f>
        <v>0</v>
      </c>
      <c r="AF68" s="323" cm="1">
        <f t="array" ref="AF68">SUMPRODUCT(($G$32:$G$39=AF$57)*$C$32:$C$39)</f>
        <v>0</v>
      </c>
      <c r="AG68" s="323" cm="1">
        <f t="array" ref="AG68">SUMPRODUCT(($G$32:$G$39=AG$57)*$C$32:$C$39)</f>
        <v>0</v>
      </c>
      <c r="AH68" s="323" cm="1">
        <f t="array" ref="AH68">SUMPRODUCT(($G$32:$G$39=AH$57)*$C$32:$C$39)</f>
        <v>0</v>
      </c>
      <c r="AI68" s="323" cm="1">
        <f t="array" ref="AI68">SUMPRODUCT(($G$32:$G$39=AI$57)*$C$32:$C$39)</f>
        <v>0</v>
      </c>
      <c r="AJ68" s="323" cm="1">
        <f t="array" ref="AJ68">SUMPRODUCT(($G$32:$G$39=AJ$57)*$C$32:$C$39)</f>
        <v>1836.25</v>
      </c>
      <c r="AK68" s="323" cm="1">
        <f t="array" ref="AK68">SUMPRODUCT(($G$32:$G$39=AK$57)*$C$32:$C$39)</f>
        <v>0</v>
      </c>
      <c r="AL68" s="323" cm="1">
        <f t="array" ref="AL68">SUMPRODUCT(($G$32:$G$39=AL$57)*$C$32:$C$39)</f>
        <v>0</v>
      </c>
      <c r="AM68" s="323" cm="1">
        <f t="array" ref="AM68">SUMPRODUCT(($G$32:$G$39=AM$57)*$C$32:$C$39)</f>
        <v>0</v>
      </c>
      <c r="AN68" s="323" cm="1">
        <f t="array" ref="AN68">SUMPRODUCT(($G$32:$G$39=AN$57)*$C$32:$C$39)</f>
        <v>0</v>
      </c>
      <c r="AO68" s="323" cm="1">
        <f t="array" ref="AO68">SUMPRODUCT(($G$32:$G$39=AO$57)*$C$32:$C$39)</f>
        <v>0</v>
      </c>
      <c r="AP68" s="323" cm="1">
        <f t="array" ref="AP68">SUMPRODUCT(($G$32:$G$39=AP$57)*$C$32:$C$39)</f>
        <v>0</v>
      </c>
      <c r="AQ68" s="323" cm="1">
        <f t="array" ref="AQ68">SUMPRODUCT(($G$32:$G$39=AQ$57)*$C$32:$C$39)</f>
        <v>0</v>
      </c>
      <c r="AR68" s="323" cm="1">
        <f t="array" ref="AR68">SUMPRODUCT(($G$32:$G$39=AR$57)*$C$32:$C$39)</f>
        <v>0</v>
      </c>
      <c r="AS68" s="323" cm="1">
        <f t="array" ref="AS68">SUMPRODUCT(($G$32:$G$39=AS$57)*$C$32:$C$39)</f>
        <v>0</v>
      </c>
      <c r="AT68" s="323" cm="1">
        <f t="array" ref="AT68">SUMPRODUCT(($G$32:$G$39=AT$57)*$C$32:$C$39)</f>
        <v>0</v>
      </c>
      <c r="AU68" s="323" cm="1">
        <f t="array" ref="AU68">SUMPRODUCT(($G$32:$G$39=AU$57)*$C$32:$C$39)</f>
        <v>0</v>
      </c>
      <c r="AV68" s="323" cm="1">
        <f t="array" ref="AV68">SUMPRODUCT(($G$32:$G$39=AV$57)*$C$32:$C$39)</f>
        <v>0</v>
      </c>
      <c r="AW68" s="323" cm="1">
        <f t="array" ref="AW68">SUMPRODUCT(($G$32:$G$39=AW$57)*$C$32:$C$39)</f>
        <v>1836.25</v>
      </c>
      <c r="AX68" s="323" cm="1">
        <f t="array" ref="AX68">SUMPRODUCT(($G$32:$G$39=AX$57)*$C$32:$C$39)</f>
        <v>0</v>
      </c>
      <c r="AY68" s="323" cm="1">
        <f t="array" ref="AY68">SUMPRODUCT(($G$32:$G$39=AY$57)*$C$32:$C$39)</f>
        <v>0</v>
      </c>
      <c r="AZ68" s="323" cm="1">
        <f t="array" ref="AZ68">SUMPRODUCT(($G$32:$G$39=AZ$57)*$C$32:$C$39)</f>
        <v>0</v>
      </c>
      <c r="BA68" s="323" cm="1">
        <f t="array" ref="BA68">SUMPRODUCT(($G$32:$G$39=BA$57)*$C$32:$C$39)</f>
        <v>0</v>
      </c>
      <c r="BB68" s="323" cm="1">
        <f t="array" ref="BB68">SUMPRODUCT(($G$32:$G$39=BB$57)*$C$32:$C$39)</f>
        <v>0</v>
      </c>
      <c r="BC68" s="323" cm="1">
        <f t="array" ref="BC68">SUMPRODUCT(($G$32:$G$39=BC$57)*$C$32:$C$39)</f>
        <v>0</v>
      </c>
      <c r="BD68" s="323" cm="1">
        <f t="array" ref="BD68">SUMPRODUCT(($G$32:$G$39=BD$57)*$C$32:$C$39)</f>
        <v>0</v>
      </c>
      <c r="BE68" s="323" cm="1">
        <f t="array" ref="BE68">SUMPRODUCT(($G$32:$G$39=BE$57)*$C$32:$C$39)</f>
        <v>0</v>
      </c>
      <c r="BF68" s="323" cm="1">
        <f t="array" ref="BF68">SUMPRODUCT(($G$32:$G$39=BF$57)*$C$32:$C$39)</f>
        <v>0</v>
      </c>
      <c r="BG68" s="323" cm="1">
        <f t="array" ref="BG68">SUMPRODUCT(($G$32:$G$39=BG$57)*$C$32:$C$39)</f>
        <v>0</v>
      </c>
      <c r="BH68" s="323" cm="1">
        <f t="array" ref="BH68">SUMPRODUCT(($G$32:$G$39=BH$57)*$C$32:$C$39)</f>
        <v>0</v>
      </c>
      <c r="BI68" s="323" cm="1">
        <f t="array" ref="BI68">SUMPRODUCT(($G$32:$G$39=BI$57)*$C$32:$C$39)</f>
        <v>1836.25</v>
      </c>
      <c r="BJ68" s="323" cm="1">
        <f t="array" ref="BJ68">SUMPRODUCT(($G$32:$G$39=BJ$57)*$C$32:$C$39)</f>
        <v>0</v>
      </c>
      <c r="BK68" s="323" cm="1">
        <f t="array" ref="BK68">SUMPRODUCT(($G$32:$G$39=BK$57)*$C$32:$C$39)</f>
        <v>0</v>
      </c>
      <c r="BL68" s="323" cm="1">
        <f t="array" ref="BL68">SUMPRODUCT(($G$32:$G$39=BL$57)*$C$32:$C$39)</f>
        <v>0</v>
      </c>
      <c r="BM68" s="323" cm="1">
        <f t="array" ref="BM68">SUMPRODUCT(($G$32:$G$39=BM$57)*$C$32:$C$39)</f>
        <v>0</v>
      </c>
      <c r="BN68" s="323" cm="1">
        <f t="array" ref="BN68">SUMPRODUCT(($G$32:$G$39=BN$57)*$C$32:$C$39)</f>
        <v>0</v>
      </c>
    </row>
    <row r="69" spans="1:66" ht="17.25" customHeight="1" x14ac:dyDescent="0.2">
      <c r="A69" s="321" t="s">
        <v>754</v>
      </c>
      <c r="B69" s="321"/>
      <c r="C69" s="323" cm="1">
        <f t="array" ref="C69">IF($B$23="Yes",SUMPRODUCT(($G$32:$G$39=C$57)*($B$32:$B$39="Sukuk")*$C$32:$C$39),0)</f>
        <v>0</v>
      </c>
      <c r="D69" s="323" cm="1">
        <f t="array" ref="D69">IF($B$23="Yes",SUMPRODUCT(($G$32:$G$39=D$57)*($B$32:$B$39="Sukuk")*$C$32:$C$39),0)</f>
        <v>0</v>
      </c>
      <c r="E69" s="323" cm="1">
        <f t="array" ref="E69">IF($B$23="Yes",SUMPRODUCT(($G$32:$G$39=E$57)*($B$32:$B$39="Sukuk")*$C$32:$C$39),0)</f>
        <v>0</v>
      </c>
      <c r="F69" s="323" cm="1">
        <f t="array" ref="F69">IF($B$23="Yes",SUMPRODUCT(($G$32:$G$39=F$57)*($B$32:$B$39="Sukuk")*$C$32:$C$39),0)</f>
        <v>0</v>
      </c>
      <c r="G69" s="323" cm="1">
        <f t="array" ref="G69">IF($B$23="Yes",SUMPRODUCT(($G$32:$G$39=G$57)*($B$32:$B$39="Sukuk")*$C$32:$C$39),0)</f>
        <v>0</v>
      </c>
      <c r="H69" s="323" cm="1">
        <f t="array" ref="H69">IF($B$23="Yes",SUMPRODUCT(($G$32:$G$39=H$57)*($B$32:$B$39="Sukuk")*$C$32:$C$39),0)</f>
        <v>0</v>
      </c>
      <c r="I69" s="323" cm="1">
        <f t="array" ref="I69">IF($B$23="Yes",SUMPRODUCT(($G$32:$G$39=I$57)*($B$32:$B$39="Sukuk")*$C$32:$C$39),0)</f>
        <v>0</v>
      </c>
      <c r="J69" s="323" cm="1">
        <f t="array" ref="J69">IF($B$23="Yes",SUMPRODUCT(($G$32:$G$39=J$57)*($B$32:$B$39="Sukuk")*$C$32:$C$39),0)</f>
        <v>0</v>
      </c>
      <c r="K69" s="323" cm="1">
        <f t="array" ref="K69">IF($B$23="Yes",SUMPRODUCT(($G$32:$G$39=K$57)*($B$32:$B$39="Sukuk")*$C$32:$C$39),0)</f>
        <v>0</v>
      </c>
      <c r="L69" s="323" cm="1">
        <f t="array" ref="L69">IF($B$23="Yes",SUMPRODUCT(($G$32:$G$39=L$57)*($B$32:$B$39="Sukuk")*$C$32:$C$39),0)</f>
        <v>0</v>
      </c>
      <c r="M69" s="323" cm="1">
        <f t="array" ref="M69">IF($B$23="Yes",SUMPRODUCT(($G$32:$G$39=M$57)*($B$32:$B$39="Sukuk")*$C$32:$C$39),0)</f>
        <v>0</v>
      </c>
      <c r="N69" s="323" cm="1">
        <f t="array" ref="N69">IF($B$23="Yes",SUMPRODUCT(($G$32:$G$39=N$57)*($B$32:$B$39="Sukuk")*$C$32:$C$39),0)</f>
        <v>0</v>
      </c>
      <c r="O69" s="323" cm="1">
        <f t="array" ref="O69">IF($B$23="Yes",SUMPRODUCT(($G$32:$G$39=O$57)*($B$32:$B$39="Sukuk")*$C$32:$C$39),0)</f>
        <v>0</v>
      </c>
      <c r="P69" s="323" cm="1">
        <f t="array" ref="P69">IF($B$23="Yes",SUMPRODUCT(($G$32:$G$39=P$57)*($B$32:$B$39="Sukuk")*$C$32:$C$39),0)</f>
        <v>0</v>
      </c>
      <c r="Q69" s="323" cm="1">
        <f t="array" ref="Q69">IF($B$23="Yes",SUMPRODUCT(($G$32:$G$39=Q$57)*($B$32:$B$39="Sukuk")*$C$32:$C$39),0)</f>
        <v>0</v>
      </c>
      <c r="R69" s="323" cm="1">
        <f t="array" ref="R69">IF($B$23="Yes",SUMPRODUCT(($G$32:$G$39=R$57)*($B$32:$B$39="Sukuk")*$C$32:$C$39),0)</f>
        <v>0</v>
      </c>
      <c r="S69" s="323" cm="1">
        <f t="array" ref="S69">IF($B$23="Yes",SUMPRODUCT(($G$32:$G$39=S$57)*($B$32:$B$39="Sukuk")*$C$32:$C$39),0)</f>
        <v>0</v>
      </c>
      <c r="T69" s="323" cm="1">
        <f t="array" ref="T69">IF($B$23="Yes",SUMPRODUCT(($G$32:$G$39=T$57)*($B$32:$B$39="Sukuk")*$C$32:$C$39),0)</f>
        <v>0</v>
      </c>
      <c r="U69" s="323" cm="1">
        <f t="array" ref="U69">IF($B$23="Yes",SUMPRODUCT(($G$32:$G$39=U$57)*($B$32:$B$39="Sukuk")*$C$32:$C$39),0)</f>
        <v>0</v>
      </c>
      <c r="V69" s="323" cm="1">
        <f t="array" ref="V69">IF($B$23="Yes",SUMPRODUCT(($G$32:$G$39=V$57)*($B$32:$B$39="Sukuk")*$C$32:$C$39),0)</f>
        <v>0</v>
      </c>
      <c r="W69" s="323" cm="1">
        <f t="array" ref="W69">IF($B$23="Yes",SUMPRODUCT(($G$32:$G$39=W$57)*($B$32:$B$39="Sukuk")*$C$32:$C$39),0)</f>
        <v>0</v>
      </c>
      <c r="X69" s="323" cm="1">
        <f t="array" ref="X69">IF($B$23="Yes",SUMPRODUCT(($G$32:$G$39=X$57)*($B$32:$B$39="Sukuk")*$C$32:$C$39),0)</f>
        <v>0</v>
      </c>
      <c r="Y69" s="323" cm="1">
        <f t="array" ref="Y69">IF($B$23="Yes",SUMPRODUCT(($G$32:$G$39=Y$57)*($B$32:$B$39="Sukuk")*$C$32:$C$39),0)</f>
        <v>0</v>
      </c>
      <c r="Z69" s="323" cm="1">
        <f t="array" ref="Z69">IF($B$23="Yes",SUMPRODUCT(($G$32:$G$39=Z$57)*($B$32:$B$39="Sukuk")*$C$32:$C$39),0)</f>
        <v>0</v>
      </c>
      <c r="AA69" s="323" cm="1">
        <f t="array" ref="AA69">IF($B$23="Yes",SUMPRODUCT(($G$32:$G$39=AA$57)*($B$32:$B$39="Sukuk")*$C$32:$C$39),0)</f>
        <v>0</v>
      </c>
      <c r="AB69" s="323" cm="1">
        <f t="array" ref="AB69">IF($B$23="Yes",SUMPRODUCT(($G$32:$G$39=AB$57)*($B$32:$B$39="Sukuk")*$C$32:$C$39),0)</f>
        <v>0</v>
      </c>
      <c r="AC69" s="323" cm="1">
        <f t="array" ref="AC69">IF($B$23="Yes",SUMPRODUCT(($G$32:$G$39=AC$57)*($B$32:$B$39="Sukuk")*$C$32:$C$39),0)</f>
        <v>0</v>
      </c>
      <c r="AD69" s="323" cm="1">
        <f t="array" ref="AD69">IF($B$23="Yes",SUMPRODUCT(($G$32:$G$39=AD$57)*($B$32:$B$39="Sukuk")*$C$32:$C$39),0)</f>
        <v>0</v>
      </c>
      <c r="AE69" s="323" cm="1">
        <f t="array" ref="AE69">IF($B$23="Yes",SUMPRODUCT(($G$32:$G$39=AE$57)*($B$32:$B$39="Sukuk")*$C$32:$C$39),0)</f>
        <v>0</v>
      </c>
      <c r="AF69" s="323" cm="1">
        <f t="array" ref="AF69">IF($B$23="Yes",SUMPRODUCT(($G$32:$G$39=AF$57)*($B$32:$B$39="Sukuk")*$C$32:$C$39),0)</f>
        <v>0</v>
      </c>
      <c r="AG69" s="323" cm="1">
        <f t="array" ref="AG69">IF($B$23="Yes",SUMPRODUCT(($G$32:$G$39=AG$57)*($B$32:$B$39="Sukuk")*$C$32:$C$39),0)</f>
        <v>0</v>
      </c>
      <c r="AH69" s="323" cm="1">
        <f t="array" ref="AH69">IF($B$23="Yes",SUMPRODUCT(($G$32:$G$39=AH$57)*($B$32:$B$39="Sukuk")*$C$32:$C$39),0)</f>
        <v>0</v>
      </c>
      <c r="AI69" s="323" cm="1">
        <f t="array" ref="AI69">IF($B$23="Yes",SUMPRODUCT(($G$32:$G$39=AI$57)*($B$32:$B$39="Sukuk")*$C$32:$C$39),0)</f>
        <v>0</v>
      </c>
      <c r="AJ69" s="323" cm="1">
        <f t="array" ref="AJ69">IF($B$23="Yes",SUMPRODUCT(($G$32:$G$39=AJ$57)*($B$32:$B$39="Sukuk")*$C$32:$C$39),0)</f>
        <v>0</v>
      </c>
      <c r="AK69" s="323" cm="1">
        <f t="array" ref="AK69">IF($B$23="Yes",SUMPRODUCT(($G$32:$G$39=AK$57)*($B$32:$B$39="Sukuk")*$C$32:$C$39),0)</f>
        <v>0</v>
      </c>
      <c r="AL69" s="323" cm="1">
        <f t="array" ref="AL69">IF($B$23="Yes",SUMPRODUCT(($G$32:$G$39=AL$57)*($B$32:$B$39="Sukuk")*$C$32:$C$39),0)</f>
        <v>0</v>
      </c>
      <c r="AM69" s="323" cm="1">
        <f t="array" ref="AM69">IF($B$23="Yes",SUMPRODUCT(($G$32:$G$39=AM$57)*($B$32:$B$39="Sukuk")*$C$32:$C$39),0)</f>
        <v>0</v>
      </c>
      <c r="AN69" s="323" cm="1">
        <f t="array" ref="AN69">IF($B$23="Yes",SUMPRODUCT(($G$32:$G$39=AN$57)*($B$32:$B$39="Sukuk")*$C$32:$C$39),0)</f>
        <v>0</v>
      </c>
      <c r="AO69" s="323" cm="1">
        <f t="array" ref="AO69">IF($B$23="Yes",SUMPRODUCT(($G$32:$G$39=AO$57)*($B$32:$B$39="Sukuk")*$C$32:$C$39),0)</f>
        <v>0</v>
      </c>
      <c r="AP69" s="323" cm="1">
        <f t="array" ref="AP69">IF($B$23="Yes",SUMPRODUCT(($G$32:$G$39=AP$57)*($B$32:$B$39="Sukuk")*$C$32:$C$39),0)</f>
        <v>0</v>
      </c>
      <c r="AQ69" s="323" cm="1">
        <f t="array" ref="AQ69">IF($B$23="Yes",SUMPRODUCT(($G$32:$G$39=AQ$57)*($B$32:$B$39="Sukuk")*$C$32:$C$39),0)</f>
        <v>0</v>
      </c>
      <c r="AR69" s="323" cm="1">
        <f t="array" ref="AR69">IF($B$23="Yes",SUMPRODUCT(($G$32:$G$39=AR$57)*($B$32:$B$39="Sukuk")*$C$32:$C$39),0)</f>
        <v>0</v>
      </c>
      <c r="AS69" s="323" cm="1">
        <f t="array" ref="AS69">IF($B$23="Yes",SUMPRODUCT(($G$32:$G$39=AS$57)*($B$32:$B$39="Sukuk")*$C$32:$C$39),0)</f>
        <v>0</v>
      </c>
      <c r="AT69" s="323" cm="1">
        <f t="array" ref="AT69">IF($B$23="Yes",SUMPRODUCT(($G$32:$G$39=AT$57)*($B$32:$B$39="Sukuk")*$C$32:$C$39),0)</f>
        <v>0</v>
      </c>
      <c r="AU69" s="323" cm="1">
        <f t="array" ref="AU69">IF($B$23="Yes",SUMPRODUCT(($G$32:$G$39=AU$57)*($B$32:$B$39="Sukuk")*$C$32:$C$39),0)</f>
        <v>0</v>
      </c>
      <c r="AV69" s="323" cm="1">
        <f t="array" ref="AV69">IF($B$23="Yes",SUMPRODUCT(($G$32:$G$39=AV$57)*($B$32:$B$39="Sukuk")*$C$32:$C$39),0)</f>
        <v>0</v>
      </c>
      <c r="AW69" s="323" cm="1">
        <f t="array" ref="AW69">IF($B$23="Yes",SUMPRODUCT(($G$32:$G$39=AW$57)*($B$32:$B$39="Sukuk")*$C$32:$C$39),0)</f>
        <v>0</v>
      </c>
      <c r="AX69" s="323" cm="1">
        <f t="array" ref="AX69">IF($B$23="Yes",SUMPRODUCT(($G$32:$G$39=AX$57)*($B$32:$B$39="Sukuk")*$C$32:$C$39),0)</f>
        <v>0</v>
      </c>
      <c r="AY69" s="323" cm="1">
        <f t="array" ref="AY69">IF($B$23="Yes",SUMPRODUCT(($G$32:$G$39=AY$57)*($B$32:$B$39="Sukuk")*$C$32:$C$39),0)</f>
        <v>0</v>
      </c>
      <c r="AZ69" s="323" cm="1">
        <f t="array" ref="AZ69">IF($B$23="Yes",SUMPRODUCT(($G$32:$G$39=AZ$57)*($B$32:$B$39="Sukuk")*$C$32:$C$39),0)</f>
        <v>0</v>
      </c>
      <c r="BA69" s="323" cm="1">
        <f t="array" ref="BA69">IF($B$23="Yes",SUMPRODUCT(($G$32:$G$39=BA$57)*($B$32:$B$39="Sukuk")*$C$32:$C$39),0)</f>
        <v>0</v>
      </c>
      <c r="BB69" s="323" cm="1">
        <f t="array" ref="BB69">IF($B$23="Yes",SUMPRODUCT(($G$32:$G$39=BB$57)*($B$32:$B$39="Sukuk")*$C$32:$C$39),0)</f>
        <v>0</v>
      </c>
      <c r="BC69" s="323" cm="1">
        <f t="array" ref="BC69">IF($B$23="Yes",SUMPRODUCT(($G$32:$G$39=BC$57)*($B$32:$B$39="Sukuk")*$C$32:$C$39),0)</f>
        <v>0</v>
      </c>
      <c r="BD69" s="323" cm="1">
        <f t="array" ref="BD69">IF($B$23="Yes",SUMPRODUCT(($G$32:$G$39=BD$57)*($B$32:$B$39="Sukuk")*$C$32:$C$39),0)</f>
        <v>0</v>
      </c>
      <c r="BE69" s="323" cm="1">
        <f t="array" ref="BE69">IF($B$23="Yes",SUMPRODUCT(($G$32:$G$39=BE$57)*($B$32:$B$39="Sukuk")*$C$32:$C$39),0)</f>
        <v>0</v>
      </c>
      <c r="BF69" s="323" cm="1">
        <f t="array" ref="BF69">IF($B$23="Yes",SUMPRODUCT(($G$32:$G$39=BF$57)*($B$32:$B$39="Sukuk")*$C$32:$C$39),0)</f>
        <v>0</v>
      </c>
      <c r="BG69" s="323" cm="1">
        <f t="array" ref="BG69">IF($B$23="Yes",SUMPRODUCT(($G$32:$G$39=BG$57)*($B$32:$B$39="Sukuk")*$C$32:$C$39),0)</f>
        <v>0</v>
      </c>
      <c r="BH69" s="323" cm="1">
        <f t="array" ref="BH69">IF($B$23="Yes",SUMPRODUCT(($G$32:$G$39=BH$57)*($B$32:$B$39="Sukuk")*$C$32:$C$39),0)</f>
        <v>0</v>
      </c>
      <c r="BI69" s="323" cm="1">
        <f t="array" ref="BI69">IF($B$23="Yes",SUMPRODUCT(($G$32:$G$39=BI$57)*($B$32:$B$39="Sukuk")*$C$32:$C$39),0)</f>
        <v>0</v>
      </c>
      <c r="BJ69" s="323" cm="1">
        <f t="array" ref="BJ69">IF($B$23="Yes",SUMPRODUCT(($G$32:$G$39=BJ$57)*($B$32:$B$39="Sukuk")*$C$32:$C$39),0)</f>
        <v>0</v>
      </c>
      <c r="BK69" s="323" cm="1">
        <f t="array" ref="BK69">IF($B$23="Yes",SUMPRODUCT(($G$32:$G$39=BK$57)*($B$32:$B$39="Sukuk")*$C$32:$C$39),0)</f>
        <v>0</v>
      </c>
      <c r="BL69" s="323" cm="1">
        <f t="array" ref="BL69">IF($B$23="Yes",SUMPRODUCT(($G$32:$G$39=BL$57)*($B$32:$B$39="Sukuk")*$C$32:$C$39),0)</f>
        <v>0</v>
      </c>
      <c r="BM69" s="323" cm="1">
        <f t="array" ref="BM69">IF($B$23="Yes",SUMPRODUCT(($G$32:$G$39=BM$57)*($B$32:$B$39="Sukuk")*$C$32:$C$39),0)</f>
        <v>0</v>
      </c>
      <c r="BN69" s="323" cm="1">
        <f t="array" ref="BN69">IF($B$23="Yes",SUMPRODUCT(($G$32:$G$39=BN$57)*($B$32:$B$39="Sukuk")*$C$32:$C$39),0)</f>
        <v>0</v>
      </c>
    </row>
    <row r="70" spans="1:66" ht="17.25" customHeight="1" x14ac:dyDescent="0.2">
      <c r="A70" s="326" t="s">
        <v>755</v>
      </c>
      <c r="B70" s="321"/>
      <c r="C70" s="327">
        <f>C65-C66-C67-C68+C69</f>
        <v>82.413855784322863</v>
      </c>
      <c r="D70" s="327">
        <f>D65-D66-D67-D68+D69</f>
        <v>-89.649856688272536</v>
      </c>
      <c r="E70" s="327">
        <f t="shared" ref="E70:BN70" si="8">E65-E66-E67-E68+E69</f>
        <v>-867.77059153230005</v>
      </c>
      <c r="F70" s="327">
        <f t="shared" si="8"/>
        <v>426.45493670039332</v>
      </c>
      <c r="G70" s="327">
        <f t="shared" si="8"/>
        <v>-600.57298963710264</v>
      </c>
      <c r="H70" s="327">
        <f t="shared" si="8"/>
        <v>2028.4808984454935</v>
      </c>
      <c r="I70" s="327">
        <f t="shared" si="8"/>
        <v>1672.9100627806342</v>
      </c>
      <c r="J70" s="327">
        <f t="shared" si="8"/>
        <v>1240.9885088516326</v>
      </c>
      <c r="K70" s="327">
        <f t="shared" si="8"/>
        <v>1974.3507236301339</v>
      </c>
      <c r="L70" s="327">
        <f t="shared" si="8"/>
        <v>4636.7389128430959</v>
      </c>
      <c r="M70" s="327">
        <f t="shared" si="8"/>
        <v>324.43733529551173</v>
      </c>
      <c r="N70" s="327">
        <f t="shared" si="8"/>
        <v>244.87596906664294</v>
      </c>
      <c r="O70" s="327">
        <f t="shared" si="8"/>
        <v>1615.3322212127605</v>
      </c>
      <c r="P70" s="327">
        <f t="shared" si="8"/>
        <v>543.57031297023968</v>
      </c>
      <c r="Q70" s="327">
        <f t="shared" si="8"/>
        <v>-806.30861547919005</v>
      </c>
      <c r="R70" s="327">
        <f t="shared" si="8"/>
        <v>-4.4434200344244505</v>
      </c>
      <c r="S70" s="327">
        <f t="shared" si="8"/>
        <v>29.905964205480458</v>
      </c>
      <c r="T70" s="327">
        <f t="shared" si="8"/>
        <v>1066.392147115404</v>
      </c>
      <c r="U70" s="327">
        <f t="shared" si="8"/>
        <v>7.0121369353068825</v>
      </c>
      <c r="V70" s="327">
        <f t="shared" si="8"/>
        <v>56.114241485226316</v>
      </c>
      <c r="W70" s="327">
        <f t="shared" si="8"/>
        <v>-1319.1370010848682</v>
      </c>
      <c r="X70" s="327">
        <f t="shared" si="8"/>
        <v>83.578973665097436</v>
      </c>
      <c r="Y70" s="327">
        <f t="shared" si="8"/>
        <v>33.467965175011585</v>
      </c>
      <c r="Z70" s="327">
        <f t="shared" si="8"/>
        <v>1095.5852819399147</v>
      </c>
      <c r="AA70" s="327">
        <f t="shared" si="8"/>
        <v>-37.107552083333331</v>
      </c>
      <c r="AB70" s="327">
        <f t="shared" si="8"/>
        <v>48.954089676666371</v>
      </c>
      <c r="AC70" s="327">
        <f t="shared" si="8"/>
        <v>-37.107552083333331</v>
      </c>
      <c r="AD70" s="327">
        <f t="shared" si="8"/>
        <v>-37.107552083333331</v>
      </c>
      <c r="AE70" s="327">
        <f t="shared" si="8"/>
        <v>-37.107552083333331</v>
      </c>
      <c r="AF70" s="327">
        <f t="shared" si="8"/>
        <v>-37.107552083333331</v>
      </c>
      <c r="AG70" s="327">
        <f t="shared" si="8"/>
        <v>-37.107552083333331</v>
      </c>
      <c r="AH70" s="327">
        <f t="shared" si="8"/>
        <v>-37.107552083333331</v>
      </c>
      <c r="AI70" s="327">
        <f t="shared" si="8"/>
        <v>-37.107552083333331</v>
      </c>
      <c r="AJ70" s="327">
        <f t="shared" si="8"/>
        <v>-1873.3575520833333</v>
      </c>
      <c r="AK70" s="327">
        <f t="shared" si="8"/>
        <v>-25.248437500000005</v>
      </c>
      <c r="AL70" s="327">
        <f t="shared" si="8"/>
        <v>160.41801824999962</v>
      </c>
      <c r="AM70" s="327">
        <f t="shared" si="8"/>
        <v>-25.248437500000005</v>
      </c>
      <c r="AN70" s="327">
        <f t="shared" si="8"/>
        <v>-25.248437500000005</v>
      </c>
      <c r="AO70" s="327">
        <f t="shared" si="8"/>
        <v>-25.248437500000005</v>
      </c>
      <c r="AP70" s="327">
        <f t="shared" si="8"/>
        <v>-25.248437500000005</v>
      </c>
      <c r="AQ70" s="327">
        <f t="shared" si="8"/>
        <v>-25.248437500000005</v>
      </c>
      <c r="AR70" s="327">
        <f t="shared" si="8"/>
        <v>-25.248437500000005</v>
      </c>
      <c r="AS70" s="327">
        <f t="shared" si="8"/>
        <v>-25.248437500000005</v>
      </c>
      <c r="AT70" s="327">
        <f t="shared" si="8"/>
        <v>-25.248437500000005</v>
      </c>
      <c r="AU70" s="327">
        <f t="shared" si="8"/>
        <v>-25.248437500000005</v>
      </c>
      <c r="AV70" s="327">
        <f t="shared" si="8"/>
        <v>-25.248437500000005</v>
      </c>
      <c r="AW70" s="327">
        <f t="shared" si="8"/>
        <v>-1861.4984374999999</v>
      </c>
      <c r="AX70" s="327">
        <f t="shared" si="8"/>
        <v>-12.815494791666667</v>
      </c>
      <c r="AY70" s="327">
        <f t="shared" si="8"/>
        <v>-12.815494791666667</v>
      </c>
      <c r="AZ70" s="327">
        <f t="shared" si="8"/>
        <v>-12.815494791666667</v>
      </c>
      <c r="BA70" s="327">
        <f t="shared" si="8"/>
        <v>-12.815494791666667</v>
      </c>
      <c r="BB70" s="327">
        <f t="shared" si="8"/>
        <v>-12.815494791666667</v>
      </c>
      <c r="BC70" s="327">
        <f t="shared" si="8"/>
        <v>-12.815494791666667</v>
      </c>
      <c r="BD70" s="327">
        <f t="shared" si="8"/>
        <v>-12.815494791666667</v>
      </c>
      <c r="BE70" s="327">
        <f t="shared" si="8"/>
        <v>-12.815494791666667</v>
      </c>
      <c r="BF70" s="327">
        <f t="shared" si="8"/>
        <v>-12.815494791666667</v>
      </c>
      <c r="BG70" s="327">
        <f t="shared" si="8"/>
        <v>-12.815494791666667</v>
      </c>
      <c r="BH70" s="327">
        <f t="shared" si="8"/>
        <v>-12.815494791666667</v>
      </c>
      <c r="BI70" s="327">
        <f t="shared" si="8"/>
        <v>-1849.0654947916667</v>
      </c>
      <c r="BJ70" s="327">
        <f t="shared" si="8"/>
        <v>0</v>
      </c>
      <c r="BK70" s="327">
        <f t="shared" si="8"/>
        <v>0</v>
      </c>
      <c r="BL70" s="327">
        <f t="shared" si="8"/>
        <v>0</v>
      </c>
      <c r="BM70" s="327">
        <f t="shared" si="8"/>
        <v>0</v>
      </c>
      <c r="BN70" s="327">
        <f t="shared" si="8"/>
        <v>0</v>
      </c>
    </row>
    <row r="71" spans="1:66" ht="18.5" customHeight="1" x14ac:dyDescent="0.2">
      <c r="A71" s="328" t="s">
        <v>756</v>
      </c>
      <c r="B71" s="328"/>
      <c r="C71" s="329">
        <f>$B$19+C70</f>
        <v>768.98975375992279</v>
      </c>
      <c r="D71" s="329">
        <f>C71+D70</f>
        <v>679.33989707165028</v>
      </c>
      <c r="E71" s="329">
        <f t="shared" ref="E71:BN71" si="9">D71+E70</f>
        <v>-188.43069446064976</v>
      </c>
      <c r="F71" s="329">
        <f t="shared" si="9"/>
        <v>238.02424223974356</v>
      </c>
      <c r="G71" s="329">
        <f t="shared" si="9"/>
        <v>-362.54874739735908</v>
      </c>
      <c r="H71" s="329">
        <f t="shared" si="9"/>
        <v>1665.9321510481345</v>
      </c>
      <c r="I71" s="329">
        <f t="shared" si="9"/>
        <v>3338.8422138287688</v>
      </c>
      <c r="J71" s="330">
        <f t="shared" si="9"/>
        <v>4579.8307226804009</v>
      </c>
      <c r="K71" s="330">
        <f t="shared" si="9"/>
        <v>6554.1814463105347</v>
      </c>
      <c r="L71" s="330">
        <f t="shared" si="9"/>
        <v>11190.920359153632</v>
      </c>
      <c r="M71" s="330">
        <f t="shared" si="9"/>
        <v>11515.357694449143</v>
      </c>
      <c r="N71" s="330">
        <f t="shared" si="9"/>
        <v>11760.233663515786</v>
      </c>
      <c r="O71" s="330">
        <f t="shared" si="9"/>
        <v>13375.565884728547</v>
      </c>
      <c r="P71" s="330">
        <f t="shared" si="9"/>
        <v>13919.136197698786</v>
      </c>
      <c r="Q71" s="330">
        <f t="shared" si="9"/>
        <v>13112.827582219596</v>
      </c>
      <c r="R71" s="330">
        <f t="shared" si="9"/>
        <v>13108.384162185172</v>
      </c>
      <c r="S71" s="330">
        <f t="shared" si="9"/>
        <v>13138.290126390651</v>
      </c>
      <c r="T71" s="330">
        <f t="shared" si="9"/>
        <v>14204.682273506056</v>
      </c>
      <c r="U71" s="330">
        <f t="shared" si="9"/>
        <v>14211.694410441363</v>
      </c>
      <c r="V71" s="330">
        <f t="shared" si="9"/>
        <v>14267.808651926589</v>
      </c>
      <c r="W71" s="330">
        <f t="shared" si="9"/>
        <v>12948.671650841721</v>
      </c>
      <c r="X71" s="330">
        <f t="shared" si="9"/>
        <v>13032.250624506818</v>
      </c>
      <c r="Y71" s="330">
        <f t="shared" si="9"/>
        <v>13065.71858968183</v>
      </c>
      <c r="Z71" s="330">
        <f t="shared" si="9"/>
        <v>14161.303871621745</v>
      </c>
      <c r="AA71" s="330">
        <f t="shared" si="9"/>
        <v>14124.196319538412</v>
      </c>
      <c r="AB71" s="330">
        <f t="shared" si="9"/>
        <v>14173.150409215079</v>
      </c>
      <c r="AC71" s="330">
        <f t="shared" si="9"/>
        <v>14136.042857131746</v>
      </c>
      <c r="AD71" s="330">
        <f t="shared" si="9"/>
        <v>14098.935305048413</v>
      </c>
      <c r="AE71" s="330">
        <f t="shared" si="9"/>
        <v>14061.82775296508</v>
      </c>
      <c r="AF71" s="330">
        <f t="shared" si="9"/>
        <v>14024.720200881748</v>
      </c>
      <c r="AG71" s="330">
        <f t="shared" si="9"/>
        <v>13987.612648798415</v>
      </c>
      <c r="AH71" s="330">
        <f t="shared" si="9"/>
        <v>13950.505096715082</v>
      </c>
      <c r="AI71" s="330">
        <f t="shared" si="9"/>
        <v>13913.397544631749</v>
      </c>
      <c r="AJ71" s="330">
        <f t="shared" si="9"/>
        <v>12040.039992548416</v>
      </c>
      <c r="AK71" s="330">
        <f t="shared" si="9"/>
        <v>12014.791555048416</v>
      </c>
      <c r="AL71" s="330">
        <f t="shared" si="9"/>
        <v>12175.209573298416</v>
      </c>
      <c r="AM71" s="330">
        <f t="shared" si="9"/>
        <v>12149.961135798416</v>
      </c>
      <c r="AN71" s="330">
        <f t="shared" si="9"/>
        <v>12124.712698298415</v>
      </c>
      <c r="AO71" s="330">
        <f t="shared" si="9"/>
        <v>12099.464260798415</v>
      </c>
      <c r="AP71" s="330">
        <f t="shared" si="9"/>
        <v>12074.215823298415</v>
      </c>
      <c r="AQ71" s="330">
        <f t="shared" si="9"/>
        <v>12048.967385798414</v>
      </c>
      <c r="AR71" s="330">
        <f t="shared" si="9"/>
        <v>12023.718948298414</v>
      </c>
      <c r="AS71" s="330">
        <f t="shared" si="9"/>
        <v>11998.470510798414</v>
      </c>
      <c r="AT71" s="330">
        <f t="shared" si="9"/>
        <v>11973.222073298413</v>
      </c>
      <c r="AU71" s="330">
        <f t="shared" si="9"/>
        <v>11947.973635798413</v>
      </c>
      <c r="AV71" s="330">
        <f t="shared" si="9"/>
        <v>11922.725198298413</v>
      </c>
      <c r="AW71" s="330">
        <f t="shared" si="9"/>
        <v>10061.226760798412</v>
      </c>
      <c r="AX71" s="330">
        <f t="shared" si="9"/>
        <v>10048.411266006746</v>
      </c>
      <c r="AY71" s="330">
        <f t="shared" si="9"/>
        <v>10035.595771215079</v>
      </c>
      <c r="AZ71" s="330">
        <f t="shared" si="9"/>
        <v>10022.780276423413</v>
      </c>
      <c r="BA71" s="330">
        <f t="shared" si="9"/>
        <v>10009.964781631747</v>
      </c>
      <c r="BB71" s="330">
        <f t="shared" si="9"/>
        <v>9997.1492868400801</v>
      </c>
      <c r="BC71" s="330">
        <f t="shared" si="9"/>
        <v>9984.3337920484137</v>
      </c>
      <c r="BD71" s="330">
        <f t="shared" si="9"/>
        <v>9971.5182972567472</v>
      </c>
      <c r="BE71" s="330">
        <f t="shared" si="9"/>
        <v>9958.7028024650808</v>
      </c>
      <c r="BF71" s="330">
        <f t="shared" si="9"/>
        <v>9945.8873076734144</v>
      </c>
      <c r="BG71" s="330">
        <f t="shared" si="9"/>
        <v>9933.071812881748</v>
      </c>
      <c r="BH71" s="330">
        <f t="shared" si="9"/>
        <v>9920.2563180900815</v>
      </c>
      <c r="BI71" s="330">
        <f t="shared" si="9"/>
        <v>8071.1908232984151</v>
      </c>
      <c r="BJ71" s="330">
        <f t="shared" si="9"/>
        <v>8071.1908232984151</v>
      </c>
      <c r="BK71" s="330">
        <f t="shared" si="9"/>
        <v>8071.1908232984151</v>
      </c>
      <c r="BL71" s="330">
        <f t="shared" si="9"/>
        <v>8071.1908232984151</v>
      </c>
      <c r="BM71" s="330">
        <f t="shared" si="9"/>
        <v>8071.1908232984151</v>
      </c>
      <c r="BN71" s="330">
        <f t="shared" si="9"/>
        <v>8071.1908232984151</v>
      </c>
    </row>
    <row r="72" spans="1:66" ht="17.25" customHeight="1" x14ac:dyDescent="0.2">
      <c r="A72" s="331" t="s">
        <v>757</v>
      </c>
      <c r="B72" s="331"/>
      <c r="C72" s="332" cm="1">
        <f t="array" ref="C72">SUMPRODUCT((Simulator!$N$8:$N$39=C$57)*1)</f>
        <v>1</v>
      </c>
      <c r="D72" s="332" cm="1">
        <f t="array" ref="D72">SUMPRODUCT((Simulator!$N$8:$N$39=D$57)*1)</f>
        <v>0</v>
      </c>
      <c r="E72" s="332" cm="1">
        <f t="array" ref="E72">SUMPRODUCT((Simulator!$N$8:$N$39=E$57)*1)</f>
        <v>3</v>
      </c>
      <c r="F72" s="332" cm="1">
        <f t="array" ref="F72">SUMPRODUCT((Simulator!$N$8:$N$39=F$57)*1)</f>
        <v>0</v>
      </c>
      <c r="G72" s="332" cm="1">
        <f t="array" ref="G72">SUMPRODUCT((Simulator!$N$8:$N$39=G$57)*1)</f>
        <v>1</v>
      </c>
      <c r="H72" s="332" cm="1">
        <f t="array" ref="H72">SUMPRODUCT((Simulator!$N$8:$N$39=H$57)*1)</f>
        <v>18</v>
      </c>
      <c r="I72" s="332" cm="1">
        <f t="array" ref="I72">SUMPRODUCT((Simulator!$N$8:$N$39=I$57)*1)</f>
        <v>1</v>
      </c>
      <c r="J72" s="332" cm="1">
        <f t="array" ref="J72">SUMPRODUCT((Simulator!$N$8:$N$39=J$57)*1)</f>
        <v>1</v>
      </c>
      <c r="K72" s="332" cm="1">
        <f t="array" ref="K72">SUMPRODUCT((Simulator!$N$8:$N$39=K$57)*1)</f>
        <v>1</v>
      </c>
      <c r="L72" s="332" cm="1">
        <f t="array" ref="L72">SUMPRODUCT((Simulator!$N$8:$N$39=L$57)*1)</f>
        <v>1</v>
      </c>
      <c r="M72" s="332" cm="1">
        <f t="array" ref="M72">SUMPRODUCT((Simulator!$N$8:$N$39=M$57)*1)</f>
        <v>0</v>
      </c>
      <c r="N72" s="332" cm="1">
        <f t="array" ref="N72">SUMPRODUCT((Simulator!$N$8:$N$39=N$57)*1)</f>
        <v>0</v>
      </c>
      <c r="O72" s="332" cm="1">
        <f t="array" ref="O72">SUMPRODUCT((Simulator!$N$8:$N$39=O$57)*1)</f>
        <v>0</v>
      </c>
      <c r="P72" s="332" cm="1">
        <f t="array" ref="P72">SUMPRODUCT((Simulator!$N$8:$N$39=P$57)*1)</f>
        <v>1</v>
      </c>
      <c r="Q72" s="332" cm="1">
        <f t="array" ref="Q72">SUMPRODUCT((Simulator!$N$8:$N$39=Q$57)*1)</f>
        <v>0</v>
      </c>
      <c r="R72" s="332" cm="1">
        <f t="array" ref="R72">SUMPRODUCT((Simulator!$N$8:$N$39=R$57)*1)</f>
        <v>0</v>
      </c>
      <c r="S72" s="332" cm="1">
        <f t="array" ref="S72">SUMPRODUCT((Simulator!$N$8:$N$39=S$57)*1)</f>
        <v>0</v>
      </c>
      <c r="T72" s="332" cm="1">
        <f t="array" ref="T72">SUMPRODUCT((Simulator!$N$8:$N$39=T$57)*1)</f>
        <v>0</v>
      </c>
      <c r="U72" s="332" cm="1">
        <f t="array" ref="U72">SUMPRODUCT((Simulator!$N$8:$N$39=U$57)*1)</f>
        <v>0</v>
      </c>
      <c r="V72" s="332" cm="1">
        <f t="array" ref="V72">SUMPRODUCT((Simulator!$N$8:$N$39=V$57)*1)</f>
        <v>0</v>
      </c>
      <c r="W72" s="332" cm="1">
        <f t="array" ref="W72">SUMPRODUCT((Simulator!$N$8:$N$39=W$57)*1)</f>
        <v>0</v>
      </c>
      <c r="X72" s="332" cm="1">
        <f t="array" ref="X72">SUMPRODUCT((Simulator!$N$8:$N$39=X$57)*1)</f>
        <v>0</v>
      </c>
      <c r="Y72" s="332" cm="1">
        <f t="array" ref="Y72">SUMPRODUCT((Simulator!$N$8:$N$39=Y$57)*1)</f>
        <v>0</v>
      </c>
      <c r="Z72" s="332" cm="1">
        <f t="array" ref="Z72">SUMPRODUCT((Simulator!$N$8:$N$39=Z$57)*1)</f>
        <v>4</v>
      </c>
      <c r="AA72" s="332" cm="1">
        <f t="array" ref="AA72">SUMPRODUCT((Simulator!$N$8:$N$39=AA$57)*1)</f>
        <v>0</v>
      </c>
      <c r="AB72" s="332" cm="1">
        <f t="array" ref="AB72">SUMPRODUCT((Simulator!$N$8:$N$39=AB$57)*1)</f>
        <v>0</v>
      </c>
      <c r="AC72" s="332" cm="1">
        <f t="array" ref="AC72">SUMPRODUCT((Simulator!$N$8:$N$39=AC$57)*1)</f>
        <v>0</v>
      </c>
      <c r="AD72" s="332" cm="1">
        <f t="array" ref="AD72">SUMPRODUCT((Simulator!$N$8:$N$39=AD$57)*1)</f>
        <v>0</v>
      </c>
      <c r="AE72" s="332" cm="1">
        <f t="array" ref="AE72">SUMPRODUCT((Simulator!$N$8:$N$39=AE$57)*1)</f>
        <v>0</v>
      </c>
      <c r="AF72" s="332" cm="1">
        <f t="array" ref="AF72">SUMPRODUCT((Simulator!$N$8:$N$39=AF$57)*1)</f>
        <v>0</v>
      </c>
      <c r="AG72" s="332" cm="1">
        <f t="array" ref="AG72">SUMPRODUCT((Simulator!$N$8:$N$39=AG$57)*1)</f>
        <v>0</v>
      </c>
      <c r="AH72" s="332" cm="1">
        <f t="array" ref="AH72">SUMPRODUCT((Simulator!$N$8:$N$39=AH$57)*1)</f>
        <v>0</v>
      </c>
      <c r="AI72" s="332" cm="1">
        <f t="array" ref="AI72">SUMPRODUCT((Simulator!$N$8:$N$39=AI$57)*1)</f>
        <v>0</v>
      </c>
      <c r="AJ72" s="332" cm="1">
        <f t="array" ref="AJ72">SUMPRODUCT((Simulator!$N$8:$N$39=AJ$57)*1)</f>
        <v>0</v>
      </c>
      <c r="AK72" s="332" cm="1">
        <f t="array" ref="AK72">SUMPRODUCT((Simulator!$N$8:$N$39=AK$57)*1)</f>
        <v>0</v>
      </c>
      <c r="AL72" s="332" cm="1">
        <f t="array" ref="AL72">SUMPRODUCT((Simulator!$N$8:$N$39=AL$57)*1)</f>
        <v>0</v>
      </c>
      <c r="AM72" s="332" cm="1">
        <f t="array" ref="AM72">SUMPRODUCT((Simulator!$N$8:$N$39=AM$57)*1)</f>
        <v>0</v>
      </c>
      <c r="AN72" s="332" cm="1">
        <f t="array" ref="AN72">SUMPRODUCT((Simulator!$N$8:$N$39=AN$57)*1)</f>
        <v>0</v>
      </c>
      <c r="AO72" s="332" cm="1">
        <f t="array" ref="AO72">SUMPRODUCT((Simulator!$N$8:$N$39=AO$57)*1)</f>
        <v>0</v>
      </c>
      <c r="AP72" s="332" cm="1">
        <f t="array" ref="AP72">SUMPRODUCT((Simulator!$N$8:$N$39=AP$57)*1)</f>
        <v>0</v>
      </c>
      <c r="AQ72" s="332" cm="1">
        <f t="array" ref="AQ72">SUMPRODUCT((Simulator!$N$8:$N$39=AQ$57)*1)</f>
        <v>0</v>
      </c>
      <c r="AR72" s="332" cm="1">
        <f t="array" ref="AR72">SUMPRODUCT((Simulator!$N$8:$N$39=AR$57)*1)</f>
        <v>0</v>
      </c>
      <c r="AS72" s="332" cm="1">
        <f t="array" ref="AS72">SUMPRODUCT((Simulator!$N$8:$N$39=AS$57)*1)</f>
        <v>0</v>
      </c>
      <c r="AT72" s="332" cm="1">
        <f t="array" ref="AT72">SUMPRODUCT((Simulator!$N$8:$N$39=AT$57)*1)</f>
        <v>0</v>
      </c>
      <c r="AU72" s="332" cm="1">
        <f t="array" ref="AU72">SUMPRODUCT((Simulator!$N$8:$N$39=AU$57)*1)</f>
        <v>0</v>
      </c>
      <c r="AV72" s="332" cm="1">
        <f t="array" ref="AV72">SUMPRODUCT((Simulator!$N$8:$N$39=AV$57)*1)</f>
        <v>0</v>
      </c>
      <c r="AW72" s="332" cm="1">
        <f t="array" ref="AW72">SUMPRODUCT((Simulator!$N$8:$N$39=AW$57)*1)</f>
        <v>0</v>
      </c>
      <c r="AX72" s="332" cm="1">
        <f t="array" ref="AX72">SUMPRODUCT((Simulator!$N$8:$N$39=AX$57)*1)</f>
        <v>0</v>
      </c>
      <c r="AY72" s="332" cm="1">
        <f t="array" ref="AY72">SUMPRODUCT((Simulator!$N$8:$N$39=AY$57)*1)</f>
        <v>0</v>
      </c>
      <c r="AZ72" s="332" cm="1">
        <f t="array" ref="AZ72">SUMPRODUCT((Simulator!$N$8:$N$39=AZ$57)*1)</f>
        <v>0</v>
      </c>
      <c r="BA72" s="332" cm="1">
        <f t="array" ref="BA72">SUMPRODUCT((Simulator!$N$8:$N$39=BA$57)*1)</f>
        <v>0</v>
      </c>
      <c r="BB72" s="332" cm="1">
        <f t="array" ref="BB72">SUMPRODUCT((Simulator!$N$8:$N$39=BB$57)*1)</f>
        <v>0</v>
      </c>
      <c r="BC72" s="332" cm="1">
        <f t="array" ref="BC72">SUMPRODUCT((Simulator!$N$8:$N$39=BC$57)*1)</f>
        <v>0</v>
      </c>
      <c r="BD72" s="332" cm="1">
        <f t="array" ref="BD72">SUMPRODUCT((Simulator!$N$8:$N$39=BD$57)*1)</f>
        <v>0</v>
      </c>
      <c r="BE72" s="332" cm="1">
        <f t="array" ref="BE72">SUMPRODUCT((Simulator!$N$8:$N$39=BE$57)*1)</f>
        <v>0</v>
      </c>
      <c r="BF72" s="332" cm="1">
        <f t="array" ref="BF72">SUMPRODUCT((Simulator!$N$8:$N$39=BF$57)*1)</f>
        <v>0</v>
      </c>
      <c r="BG72" s="332" cm="1">
        <f t="array" ref="BG72">SUMPRODUCT((Simulator!$N$8:$N$39=BG$57)*1)</f>
        <v>0</v>
      </c>
      <c r="BH72" s="332" cm="1">
        <f t="array" ref="BH72">SUMPRODUCT((Simulator!$N$8:$N$39=BH$57)*1)</f>
        <v>0</v>
      </c>
      <c r="BI72" s="332" cm="1">
        <f t="array" ref="BI72">SUMPRODUCT((Simulator!$N$8:$N$39=BI$57)*1)</f>
        <v>0</v>
      </c>
      <c r="BJ72" s="332" cm="1">
        <f t="array" ref="BJ72">SUMPRODUCT((Simulator!$N$8:$N$39=BJ$57)*1)</f>
        <v>0</v>
      </c>
      <c r="BK72" s="332" cm="1">
        <f t="array" ref="BK72">SUMPRODUCT((Simulator!$N$8:$N$39=BK$57)*1)</f>
        <v>0</v>
      </c>
      <c r="BL72" s="332" cm="1">
        <f t="array" ref="BL72">SUMPRODUCT((Simulator!$N$8:$N$39=BL$57)*1)</f>
        <v>0</v>
      </c>
      <c r="BM72" s="332" cm="1">
        <f t="array" ref="BM72">SUMPRODUCT((Simulator!$N$8:$N$39=BM$57)*1)</f>
        <v>0</v>
      </c>
      <c r="BN72" s="332" cm="1">
        <f t="array" ref="BN72">SUMPRODUCT((Simulator!$N$8:$N$39=BN$57)*1)</f>
        <v>0</v>
      </c>
    </row>
    <row r="73" spans="1:66" x14ac:dyDescent="0.2">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row>
    <row r="74" spans="1:66" ht="18.5" customHeight="1" x14ac:dyDescent="0.2">
      <c r="A74" s="345" t="s">
        <v>758</v>
      </c>
      <c r="B74" s="345"/>
      <c r="C74" s="345"/>
      <c r="D74" s="345"/>
      <c r="E74" s="345"/>
      <c r="F74" s="345"/>
      <c r="G74" s="345"/>
      <c r="H74" s="345"/>
      <c r="I74" s="345"/>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row>
    <row r="75" spans="1:66" ht="31.5" customHeight="1" x14ac:dyDescent="0.2">
      <c r="A75" s="41" t="s">
        <v>759</v>
      </c>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row>
    <row r="76" spans="1:66" ht="17.25" customHeight="1" x14ac:dyDescent="0.2">
      <c r="A76" s="334" t="s">
        <v>238</v>
      </c>
      <c r="B76" s="336"/>
      <c r="C76" s="335">
        <v>2026</v>
      </c>
      <c r="D76" s="335">
        <v>2027</v>
      </c>
      <c r="E76" s="335">
        <v>2028</v>
      </c>
      <c r="F76" s="335">
        <v>2029</v>
      </c>
      <c r="G76" s="335">
        <v>2030</v>
      </c>
      <c r="H76" s="335">
        <v>2031</v>
      </c>
      <c r="I76" s="335">
        <v>2032</v>
      </c>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row>
    <row r="77" spans="1:66" ht="17.25" customHeight="1" x14ac:dyDescent="0.2">
      <c r="A77" s="238" t="s">
        <v>682</v>
      </c>
      <c r="B77" s="238"/>
      <c r="C77" s="233" cm="1">
        <f t="array" ref="C77">SUMPRODUCT((YEAR($C$58:$BN$58)=C$76)*$C$60:$BN$60)</f>
        <v>5225.5363295741836</v>
      </c>
      <c r="D77" s="233" cm="1">
        <f t="array" ref="D77">SUMPRODUCT((YEAR($C$58:$BN$58)=D$76)*$C$60:$BN$60)</f>
        <v>27418.788356959772</v>
      </c>
      <c r="E77" s="233" cm="1">
        <f t="array" ref="E77">SUMPRODUCT((YEAR($C$58:$BN$58)=E$76)*$C$60:$BN$60)</f>
        <v>2141.7672198306209</v>
      </c>
      <c r="F77" s="233" cm="1">
        <f t="array" ref="F77">SUMPRODUCT((YEAR($C$58:$BN$58)=F$76)*$C$60:$BN$60)</f>
        <v>0</v>
      </c>
      <c r="G77" s="233" cm="1">
        <f t="array" ref="G77">SUMPRODUCT((YEAR($C$58:$BN$58)=G$76)*$C$60:$BN$60)</f>
        <v>0</v>
      </c>
      <c r="H77" s="233" cm="1">
        <f t="array" ref="H77">SUMPRODUCT((YEAR($C$58:$BN$58)=H$76)*$C$60:$BN$60)</f>
        <v>0</v>
      </c>
      <c r="I77" s="233" cm="1">
        <f t="array" ref="I77">SUMPRODUCT((YEAR($C$58:$BN$58)=I$76)*$C$60:$BN$60)</f>
        <v>0</v>
      </c>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row>
    <row r="78" spans="1:66" ht="17.25" customHeight="1" x14ac:dyDescent="0.2">
      <c r="A78" s="238" t="s">
        <v>760</v>
      </c>
      <c r="B78" s="238"/>
      <c r="C78" s="233" cm="1">
        <f t="array" ref="C78">SUMPRODUCT((YEAR($C$58:$BN$58)=C$76)*$C$62:$BN$62)</f>
        <v>0</v>
      </c>
      <c r="D78" s="233" cm="1">
        <f t="array" ref="D78">SUMPRODUCT((YEAR($C$58:$BN$58)=D$76)*$C$62:$BN$62)</f>
        <v>545.04099681000014</v>
      </c>
      <c r="E78" s="233" cm="1">
        <f t="array" ref="E78">SUMPRODUCT((YEAR($C$58:$BN$58)=E$76)*$C$62:$BN$62)</f>
        <v>1318.7329732199998</v>
      </c>
      <c r="F78" s="233" cm="1">
        <f t="array" ref="F78">SUMPRODUCT((YEAR($C$58:$BN$58)=F$76)*$C$62:$BN$62)</f>
        <v>185.66645574999961</v>
      </c>
      <c r="G78" s="233" cm="1">
        <f t="array" ref="G78">SUMPRODUCT((YEAR($C$58:$BN$58)=G$76)*$C$62:$BN$62)</f>
        <v>0</v>
      </c>
      <c r="H78" s="233" cm="1">
        <f t="array" ref="H78">SUMPRODUCT((YEAR($C$58:$BN$58)=H$76)*$C$62:$BN$62)</f>
        <v>0</v>
      </c>
      <c r="I78" s="233" cm="1">
        <f t="array" ref="I78">SUMPRODUCT((YEAR($C$58:$BN$58)=I$76)*$C$62:$BN$62)</f>
        <v>0</v>
      </c>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row>
    <row r="79" spans="1:66" ht="17.25" customHeight="1" x14ac:dyDescent="0.2">
      <c r="A79" s="238" t="s">
        <v>761</v>
      </c>
      <c r="B79" s="238"/>
      <c r="C79" s="233" cm="1">
        <f t="array" ref="C79">SUMPRODUCT((YEAR($C$58:$BN$58)=C$76)*$C$64:$BN$64)</f>
        <v>4808.5704220104335</v>
      </c>
      <c r="D79" s="233" cm="1">
        <f t="array" ref="D79">SUMPRODUCT((YEAR($C$58:$BN$58)=D$76)*$C$64:$BN$64)</f>
        <v>10195.168429333806</v>
      </c>
      <c r="E79" s="233" cm="1">
        <f t="array" ref="E79">SUMPRODUCT((YEAR($C$58:$BN$58)=E$76)*$C$64:$BN$64)</f>
        <v>551.38877945821514</v>
      </c>
      <c r="F79" s="233" cm="1">
        <f t="array" ref="F79">SUMPRODUCT((YEAR($C$58:$BN$58)=F$76)*$C$64:$BN$64)</f>
        <v>0</v>
      </c>
      <c r="G79" s="233" cm="1">
        <f t="array" ref="G79">SUMPRODUCT((YEAR($C$58:$BN$58)=G$76)*$C$64:$BN$64)</f>
        <v>0</v>
      </c>
      <c r="H79" s="233" cm="1">
        <f t="array" ref="H79">SUMPRODUCT((YEAR($C$58:$BN$58)=H$76)*$C$64:$BN$64)</f>
        <v>0</v>
      </c>
      <c r="I79" s="233" cm="1">
        <f t="array" ref="I79">SUMPRODUCT((YEAR($C$58:$BN$58)=I$76)*$C$64:$BN$64)</f>
        <v>0</v>
      </c>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row>
    <row r="80" spans="1:66" ht="17.25" customHeight="1" x14ac:dyDescent="0.2">
      <c r="A80" s="301" t="s">
        <v>762</v>
      </c>
      <c r="B80" s="238"/>
      <c r="C80" s="308">
        <f>C77+C78-C79</f>
        <v>416.96590756375008</v>
      </c>
      <c r="D80" s="308">
        <f t="shared" ref="D80:I80" si="10">D77+D78-D79</f>
        <v>17768.660924435964</v>
      </c>
      <c r="E80" s="308">
        <f t="shared" si="10"/>
        <v>2909.1114135924054</v>
      </c>
      <c r="F80" s="308">
        <f t="shared" si="10"/>
        <v>185.66645574999961</v>
      </c>
      <c r="G80" s="308">
        <f t="shared" si="10"/>
        <v>0</v>
      </c>
      <c r="H80" s="308">
        <f t="shared" si="10"/>
        <v>0</v>
      </c>
      <c r="I80" s="308">
        <f t="shared" si="10"/>
        <v>0</v>
      </c>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row>
    <row r="81" spans="1:66" ht="17.25" customHeight="1" x14ac:dyDescent="0.2">
      <c r="A81" s="238" t="s">
        <v>751</v>
      </c>
      <c r="B81" s="238"/>
      <c r="C81" s="233" cm="1">
        <f t="array" ref="C81">SUMPRODUCT((YEAR($C$58:$BN$58)=C$76)*$C$66:$BN$66)</f>
        <v>155.50742187500001</v>
      </c>
      <c r="D81" s="233" cm="1">
        <f t="array" ref="D81">SUMPRODUCT((YEAR($C$58:$BN$58)=D$76)*$C$66:$BN$66)</f>
        <v>474.74713541666654</v>
      </c>
      <c r="E81" s="233" cm="1">
        <f t="array" ref="E81">SUMPRODUCT((YEAR($C$58:$BN$58)=E$76)*$C$66:$BN$66)</f>
        <v>445.29062499999986</v>
      </c>
      <c r="F81" s="233" cm="1">
        <f t="array" ref="F81">SUMPRODUCT((YEAR($C$58:$BN$58)=F$76)*$C$66:$BN$66)</f>
        <v>385.99505208333346</v>
      </c>
      <c r="G81" s="233" cm="1">
        <f t="array" ref="G81">SUMPRODUCT((YEAR($C$58:$BN$58)=G$76)*$C$66:$BN$66)</f>
        <v>253.24947916666673</v>
      </c>
      <c r="H81" s="233" cm="1">
        <f t="array" ref="H81">SUMPRODUCT((YEAR($C$58:$BN$58)=H$76)*$C$66:$BN$66)</f>
        <v>102.52395833333334</v>
      </c>
      <c r="I81" s="233" cm="1">
        <f t="array" ref="I81">SUMPRODUCT((YEAR($C$58:$BN$58)=I$76)*$C$66:$BN$66)</f>
        <v>0</v>
      </c>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row>
    <row r="82" spans="1:66" ht="17.25" customHeight="1" x14ac:dyDescent="0.2">
      <c r="A82" s="238" t="s">
        <v>752</v>
      </c>
      <c r="B82" s="238"/>
      <c r="C82" s="233" cm="1">
        <f t="array" ref="C82">SUMPRODUCT((YEAR($C$58:$BN$58)=C$76)*$C$67:$BN$67)</f>
        <v>104.49257812499999</v>
      </c>
      <c r="D82" s="233" cm="1">
        <f t="array" ref="D82">SUMPRODUCT((YEAR($C$58:$BN$58)=D$76)*$C$67:$BN$67)</f>
        <v>283.43051233905572</v>
      </c>
      <c r="E82" s="233" cm="1">
        <f t="array" ref="E82">SUMPRODUCT((YEAR($C$58:$BN$58)=E$76)*$C$67:$BN$67)</f>
        <v>67.090513680257502</v>
      </c>
      <c r="F82" s="233" cm="1">
        <f t="array" ref="F82">SUMPRODUCT((YEAR($C$58:$BN$58)=F$76)*$C$67:$BN$67)</f>
        <v>0</v>
      </c>
      <c r="G82" s="233" cm="1">
        <f t="array" ref="G82">SUMPRODUCT((YEAR($C$58:$BN$58)=G$76)*$C$67:$BN$67)</f>
        <v>0</v>
      </c>
      <c r="H82" s="233" cm="1">
        <f t="array" ref="H82">SUMPRODUCT((YEAR($C$58:$BN$58)=H$76)*$C$67:$BN$67)</f>
        <v>0</v>
      </c>
      <c r="I82" s="233" cm="1">
        <f t="array" ref="I82">SUMPRODUCT((YEAR($C$58:$BN$58)=I$76)*$C$67:$BN$67)</f>
        <v>0</v>
      </c>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row>
    <row r="83" spans="1:66" ht="17.25" customHeight="1" x14ac:dyDescent="0.2">
      <c r="A83" s="238" t="s">
        <v>763</v>
      </c>
      <c r="B83" s="238"/>
      <c r="C83" s="233" cm="1">
        <f t="array" ref="C83">SUMPRODUCT((YEAR($C$58:$BN$58)=C$76)*$C$68:$BN$68)</f>
        <v>1031.9724999999999</v>
      </c>
      <c r="D83" s="233" cm="1">
        <f t="array" ref="D83">SUMPRODUCT((YEAR($C$58:$BN$58)=D$76)*$C$68:$BN$68)</f>
        <v>3709.2249999999999</v>
      </c>
      <c r="E83" s="233" cm="1">
        <f t="array" ref="E83">SUMPRODUCT((YEAR($C$58:$BN$58)=E$76)*$C$68:$BN$68)</f>
        <v>1373.5149999999999</v>
      </c>
      <c r="F83" s="233" cm="1">
        <f t="array" ref="F83">SUMPRODUCT((YEAR($C$58:$BN$58)=F$76)*$C$68:$BN$68)</f>
        <v>1836.25</v>
      </c>
      <c r="G83" s="233" cm="1">
        <f t="array" ref="G83">SUMPRODUCT((YEAR($C$58:$BN$58)=G$76)*$C$68:$BN$68)</f>
        <v>1836.25</v>
      </c>
      <c r="H83" s="233" cm="1">
        <f t="array" ref="H83">SUMPRODUCT((YEAR($C$58:$BN$58)=H$76)*$C$68:$BN$68)</f>
        <v>1836.25</v>
      </c>
      <c r="I83" s="233" cm="1">
        <f t="array" ref="I83">SUMPRODUCT((YEAR($C$58:$BN$58)=I$76)*$C$68:$BN$68)</f>
        <v>0</v>
      </c>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row>
    <row r="84" spans="1:66" ht="17.25" customHeight="1" x14ac:dyDescent="0.2">
      <c r="A84" s="238" t="s">
        <v>754</v>
      </c>
      <c r="B84" s="238"/>
      <c r="C84" s="233" cm="1">
        <f t="array" ref="C84">SUMPRODUCT((YEAR($C$58:$BN$58)=C$76)*$C$69:$BN$69)</f>
        <v>0</v>
      </c>
      <c r="D84" s="233" cm="1">
        <f t="array" ref="D84">SUMPRODUCT((YEAR($C$58:$BN$58)=D$76)*$C$69:$BN$69)</f>
        <v>0</v>
      </c>
      <c r="E84" s="233" cm="1">
        <f t="array" ref="E84">SUMPRODUCT((YEAR($C$58:$BN$58)=E$76)*$C$69:$BN$69)</f>
        <v>0</v>
      </c>
      <c r="F84" s="233" cm="1">
        <f t="array" ref="F84">SUMPRODUCT((YEAR($C$58:$BN$58)=F$76)*$C$69:$BN$69)</f>
        <v>0</v>
      </c>
      <c r="G84" s="233" cm="1">
        <f t="array" ref="G84">SUMPRODUCT((YEAR($C$58:$BN$58)=G$76)*$C$69:$BN$69)</f>
        <v>0</v>
      </c>
      <c r="H84" s="233" cm="1">
        <f t="array" ref="H84">SUMPRODUCT((YEAR($C$58:$BN$58)=H$76)*$C$69:$BN$69)</f>
        <v>0</v>
      </c>
      <c r="I84" s="233" cm="1">
        <f t="array" ref="I84">SUMPRODUCT((YEAR($C$58:$BN$58)=I$76)*$C$69:$BN$69)</f>
        <v>0</v>
      </c>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row>
    <row r="85" spans="1:66" ht="17.25" customHeight="1" x14ac:dyDescent="0.2">
      <c r="A85" s="301" t="s">
        <v>764</v>
      </c>
      <c r="B85" s="238"/>
      <c r="C85" s="308">
        <f>C80-C81-C82-C83+C84</f>
        <v>-875.00659243624978</v>
      </c>
      <c r="D85" s="308">
        <f t="shared" ref="D85:I85" si="11">D80-D81-D82-D83+D84</f>
        <v>13301.258276680242</v>
      </c>
      <c r="E85" s="308">
        <f t="shared" si="11"/>
        <v>1023.2152749121483</v>
      </c>
      <c r="F85" s="308">
        <f t="shared" si="11"/>
        <v>-2036.5785963333337</v>
      </c>
      <c r="G85" s="308">
        <f t="shared" si="11"/>
        <v>-2089.4994791666668</v>
      </c>
      <c r="H85" s="308">
        <f t="shared" si="11"/>
        <v>-1938.7739583333334</v>
      </c>
      <c r="I85" s="308">
        <f t="shared" si="11"/>
        <v>0</v>
      </c>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row>
    <row r="86" spans="1:66" ht="18.5" customHeight="1" x14ac:dyDescent="0.2">
      <c r="A86" s="311" t="s">
        <v>756</v>
      </c>
      <c r="B86" s="311"/>
      <c r="C86" s="309" cm="1">
        <f t="array" ref="C86">LOOKUP(2,1/(YEAR($C$58:$BN$58)=C$76),$C$71:$BN$71)</f>
        <v>-188.43069446064976</v>
      </c>
      <c r="D86" s="309" cm="1">
        <f t="array" ref="D86">LOOKUP(2,1/(YEAR($C$58:$BN$58)=D$76),$C$71:$BN$71)</f>
        <v>13112.827582219596</v>
      </c>
      <c r="E86" s="309" cm="1">
        <f t="array" ref="E86">LOOKUP(2,1/(YEAR($C$58:$BN$58)=E$76),$C$71:$BN$71)</f>
        <v>14136.042857131746</v>
      </c>
      <c r="F86" s="309" cm="1">
        <f t="array" ref="F86">LOOKUP(2,1/(YEAR($C$58:$BN$58)=F$76),$C$71:$BN$71)</f>
        <v>12099.464260798415</v>
      </c>
      <c r="G86" s="309" cm="1">
        <f t="array" ref="G86">LOOKUP(2,1/(YEAR($C$58:$BN$58)=G$76),$C$71:$BN$71)</f>
        <v>10009.964781631747</v>
      </c>
      <c r="H86" s="309" cm="1">
        <f t="array" ref="H86">LOOKUP(2,1/(YEAR($C$58:$BN$58)=H$76),$C$71:$BN$71)</f>
        <v>8071.1908232984151</v>
      </c>
      <c r="I86" s="309" cm="1">
        <f t="array" ref="I86">LOOKUP(2,1/(YEAR($C$58:$BN$58)=I$76),$C$71:$BN$71)</f>
        <v>8071.1908232984151</v>
      </c>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row>
    <row r="87" spans="1:66" ht="17.25" customHeight="1" x14ac:dyDescent="0.2">
      <c r="A87" s="306" t="s">
        <v>765</v>
      </c>
      <c r="B87" s="238"/>
      <c r="C87" s="236">
        <f>_xlfn.MINIFS($C$71:$BN$71,$C$58:$BN$58,"&gt;="&amp;DATE(C$76,1,1),$C$58:$BN$58,"&lt;="&amp;DATE(C$76,12,31))</f>
        <v>-188.43069446064976</v>
      </c>
      <c r="D87" s="236">
        <f t="shared" ref="D87:I87" si="12">_xlfn.MINIFS($C$71:$BN$71,$C$58:$BN$58,"&gt;="&amp;DATE(D$76,1,1),$C$58:$BN$58,"&lt;="&amp;DATE(D$76,12,31))</f>
        <v>-362.54874739735908</v>
      </c>
      <c r="E87" s="236">
        <f t="shared" si="12"/>
        <v>12948.671650841721</v>
      </c>
      <c r="F87" s="236">
        <f t="shared" si="12"/>
        <v>12014.791555048416</v>
      </c>
      <c r="G87" s="236">
        <f t="shared" si="12"/>
        <v>10009.964781631747</v>
      </c>
      <c r="H87" s="236">
        <f t="shared" si="12"/>
        <v>8071.1908232984151</v>
      </c>
      <c r="I87" s="236">
        <f t="shared" si="12"/>
        <v>8071.1908232984151</v>
      </c>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row>
    <row r="88" spans="1:66" ht="17.25" customHeight="1" x14ac:dyDescent="0.2">
      <c r="A88" s="238" t="s">
        <v>766</v>
      </c>
      <c r="B88" s="238"/>
      <c r="C88" s="233" cm="1">
        <f t="array" ref="C88">SUMPRODUCT((YEAR($E$32:$E$39)=C$76)*$C$32:$C$39)</f>
        <v>1031.9724999999999</v>
      </c>
      <c r="D88" s="233" cm="1">
        <f t="array" ref="D88">SUMPRODUCT((YEAR($E$32:$E$39)=D$76)*$C$32:$C$39)</f>
        <v>3709.2249999999999</v>
      </c>
      <c r="E88" s="233" cm="1">
        <f t="array" ref="E88">SUMPRODUCT((YEAR($E$32:$E$39)=E$76)*$C$32:$C$39)</f>
        <v>1373.5149999999999</v>
      </c>
      <c r="F88" s="233" cm="1">
        <f t="array" ref="F88">SUMPRODUCT((YEAR($E$32:$E$39)=F$76)*$C$32:$C$39)</f>
        <v>1836.25</v>
      </c>
      <c r="G88" s="233" cm="1">
        <f t="array" ref="G88">SUMPRODUCT((YEAR($E$32:$E$39)=G$76)*$C$32:$C$39)</f>
        <v>1836.25</v>
      </c>
      <c r="H88" s="233" cm="1">
        <f t="array" ref="H88">SUMPRODUCT((YEAR($E$32:$E$39)=H$76)*$C$32:$C$39)</f>
        <v>1836.25</v>
      </c>
      <c r="I88" s="233" cm="1">
        <f t="array" ref="I88">SUMPRODUCT((YEAR($E$32:$E$39)=I$76)*$C$32:$C$39)</f>
        <v>0</v>
      </c>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row>
    <row r="89" spans="1:66" ht="17.25" customHeight="1" x14ac:dyDescent="0.2">
      <c r="A89" s="238" t="s">
        <v>767</v>
      </c>
      <c r="B89" s="238"/>
      <c r="C89" s="310" cm="1">
        <f t="array" ref="C89">SUMPRODUCT((YEAR($C$58:$BN$58)=C$76)*$C$72:$BN$72)</f>
        <v>4</v>
      </c>
      <c r="D89" s="310" cm="1">
        <f t="array" ref="D89">SUMPRODUCT((YEAR($C$58:$BN$58)=D$76)*$C$72:$BN$72)</f>
        <v>24</v>
      </c>
      <c r="E89" s="310" cm="1">
        <f t="array" ref="E89">SUMPRODUCT((YEAR($C$58:$BN$58)=E$76)*$C$72:$BN$72)</f>
        <v>4</v>
      </c>
      <c r="F89" s="310" cm="1">
        <f t="array" ref="F89">SUMPRODUCT((YEAR($C$58:$BN$58)=F$76)*$C$72:$BN$72)</f>
        <v>0</v>
      </c>
      <c r="G89" s="310" cm="1">
        <f t="array" ref="G89">SUMPRODUCT((YEAR($C$58:$BN$58)=G$76)*$C$72:$BN$72)</f>
        <v>0</v>
      </c>
      <c r="H89" s="310" cm="1">
        <f t="array" ref="H89">SUMPRODUCT((YEAR($C$58:$BN$58)=H$76)*$C$72:$BN$72)</f>
        <v>0</v>
      </c>
      <c r="I89" s="310" cm="1">
        <f t="array" ref="I89">SUMPRODUCT((YEAR($C$58:$BN$58)=I$76)*$C$72:$BN$72)</f>
        <v>0</v>
      </c>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row>
    <row r="90" spans="1:66" x14ac:dyDescent="0.2">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row>
    <row r="91" spans="1:66" ht="18.5" customHeight="1" x14ac:dyDescent="0.2">
      <c r="A91" s="345" t="s">
        <v>768</v>
      </c>
      <c r="B91" s="345"/>
      <c r="C91" s="345"/>
      <c r="D91" s="345"/>
      <c r="E91" s="345"/>
      <c r="F91" s="345"/>
      <c r="G91" s="345"/>
      <c r="H91" s="345"/>
      <c r="I91" s="345"/>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row>
    <row r="92" spans="1:66" ht="31.5" customHeight="1" x14ac:dyDescent="0.2">
      <c r="A92" s="102" t="s">
        <v>769</v>
      </c>
      <c r="B92" s="102"/>
      <c r="C92" s="102"/>
      <c r="D92" s="102"/>
      <c r="E92" s="102"/>
      <c r="F92" s="102"/>
      <c r="G92" s="102"/>
      <c r="H92" s="102"/>
      <c r="I92" s="102"/>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row>
    <row r="93" spans="1:66" ht="17.25" customHeight="1" x14ac:dyDescent="0.2">
      <c r="A93" s="334" t="s">
        <v>189</v>
      </c>
      <c r="B93" s="336" t="s">
        <v>196</v>
      </c>
      <c r="C93" s="336" t="s">
        <v>738</v>
      </c>
      <c r="D93" s="336" t="s">
        <v>23</v>
      </c>
      <c r="E93" s="336" t="s">
        <v>770</v>
      </c>
      <c r="F93" s="336" t="s">
        <v>486</v>
      </c>
      <c r="G93" s="336" t="s">
        <v>487</v>
      </c>
      <c r="H93" s="28"/>
      <c r="I93" s="28"/>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row>
    <row r="94" spans="1:66" ht="17.25" customHeight="1" x14ac:dyDescent="0.2">
      <c r="A94" s="238" t="str">
        <f>A32</f>
        <v>9.625% sukuk due 28 Feb 2027</v>
      </c>
      <c r="B94" s="299">
        <f>E32</f>
        <v>46446</v>
      </c>
      <c r="C94" s="233">
        <f>C32</f>
        <v>1836.25</v>
      </c>
      <c r="D94" s="300">
        <f>G32</f>
        <v>5</v>
      </c>
      <c r="E94" s="233">
        <f>INDEX($C$71:$BN$71,1,MATCH($D94,$C$57:$BN$57,0))+INDEX($C$68:$BN$68,1,MATCH($D94,$C$57:$BN$57,0))</f>
        <v>1473.701252602641</v>
      </c>
      <c r="F94" s="272">
        <f>IF($C94&gt;0,$E94/$C94,"")</f>
        <v>0.80256024648203728</v>
      </c>
      <c r="G94" s="233">
        <f>MAX(0,$C94-$E94)</f>
        <v>362.54874739735897</v>
      </c>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row>
    <row r="95" spans="1:66" ht="17.25" customHeight="1" x14ac:dyDescent="0.2">
      <c r="A95" s="238" t="str">
        <f t="shared" ref="A95:A101" si="13">A33</f>
        <v>7.75% green sukuk due 2 Jul 2029</v>
      </c>
      <c r="B95" s="299">
        <f t="shared" ref="B95:B101" si="14">E33</f>
        <v>47301</v>
      </c>
      <c r="C95" s="233">
        <f t="shared" ref="C95:C101" si="15">C33</f>
        <v>1836.25</v>
      </c>
      <c r="D95" s="300">
        <f t="shared" ref="D95:D101" si="16">G33</f>
        <v>34</v>
      </c>
      <c r="E95" s="233">
        <f t="shared" ref="E95:E101" si="17">INDEX($C$71:$BN$71,1,MATCH($D95,$C$57:$BN$57,0))+INDEX($C$68:$BN$68,1,MATCH($D95,$C$57:$BN$57,0))</f>
        <v>13876.289992548416</v>
      </c>
      <c r="F95" s="272">
        <f t="shared" ref="F95:F101" si="18">IF($C95&gt;0,$E95/$C95,"")</f>
        <v>7.5568631681679594</v>
      </c>
      <c r="G95" s="233">
        <f t="shared" ref="G95:G101" si="19">MAX(0,$C95-$E95)</f>
        <v>0</v>
      </c>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row>
    <row r="96" spans="1:66" ht="17.25" customHeight="1" x14ac:dyDescent="0.2">
      <c r="A96" s="238" t="str">
        <f t="shared" si="13"/>
        <v>8.125% sukuk due 7 Aug 2030</v>
      </c>
      <c r="B96" s="299">
        <f t="shared" si="14"/>
        <v>47702</v>
      </c>
      <c r="C96" s="233">
        <f t="shared" si="15"/>
        <v>1836.25</v>
      </c>
      <c r="D96" s="300">
        <f t="shared" si="16"/>
        <v>47</v>
      </c>
      <c r="E96" s="233">
        <f t="shared" si="17"/>
        <v>11897.476760798412</v>
      </c>
      <c r="F96" s="272">
        <f t="shared" si="18"/>
        <v>6.4792249207887878</v>
      </c>
      <c r="G96" s="233">
        <f t="shared" si="19"/>
        <v>0</v>
      </c>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row>
    <row r="97" spans="1:66" ht="17.25" customHeight="1" x14ac:dyDescent="0.2">
      <c r="A97" s="238" t="str">
        <f t="shared" si="13"/>
        <v>8.375% sukuk due 12 Aug 2031</v>
      </c>
      <c r="B97" s="299">
        <f t="shared" si="14"/>
        <v>48072</v>
      </c>
      <c r="C97" s="233">
        <f t="shared" si="15"/>
        <v>1836.25</v>
      </c>
      <c r="D97" s="300">
        <f t="shared" si="16"/>
        <v>59</v>
      </c>
      <c r="E97" s="233">
        <f t="shared" si="17"/>
        <v>9907.4408232984151</v>
      </c>
      <c r="F97" s="272">
        <f t="shared" si="18"/>
        <v>5.3954749207887893</v>
      </c>
      <c r="G97" s="233">
        <f t="shared" si="19"/>
        <v>0</v>
      </c>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row>
    <row r="98" spans="1:66" ht="17.25" customHeight="1" x14ac:dyDescent="0.2">
      <c r="A98" s="238" t="str">
        <f t="shared" si="13"/>
        <v>Secured bank debt — due H2 2026</v>
      </c>
      <c r="B98" s="299">
        <f t="shared" si="14"/>
        <v>46387</v>
      </c>
      <c r="C98" s="233">
        <f t="shared" si="15"/>
        <v>1031.9724999999999</v>
      </c>
      <c r="D98" s="300">
        <f t="shared" si="16"/>
        <v>3</v>
      </c>
      <c r="E98" s="233">
        <f t="shared" si="17"/>
        <v>843.54180553935009</v>
      </c>
      <c r="F98" s="272">
        <f t="shared" si="18"/>
        <v>0.81740725216936516</v>
      </c>
      <c r="G98" s="233">
        <f t="shared" si="19"/>
        <v>188.43069446064976</v>
      </c>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row>
    <row r="99" spans="1:66" ht="17.25" customHeight="1" x14ac:dyDescent="0.2">
      <c r="A99" s="238" t="str">
        <f t="shared" si="13"/>
        <v>Secured bank debt — due H1 2027</v>
      </c>
      <c r="B99" s="299">
        <f t="shared" si="14"/>
        <v>46568</v>
      </c>
      <c r="C99" s="233">
        <f t="shared" si="15"/>
        <v>690.43</v>
      </c>
      <c r="D99" s="300">
        <f t="shared" si="16"/>
        <v>9</v>
      </c>
      <c r="E99" s="233">
        <f t="shared" si="17"/>
        <v>7244.611446310535</v>
      </c>
      <c r="F99" s="272">
        <f t="shared" si="18"/>
        <v>10.492897826442269</v>
      </c>
      <c r="G99" s="233">
        <f t="shared" si="19"/>
        <v>0</v>
      </c>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row>
    <row r="100" spans="1:66" ht="17.25" customHeight="1" x14ac:dyDescent="0.2">
      <c r="A100" s="238" t="str">
        <f t="shared" si="13"/>
        <v>Secured bank debt — due H2 2027</v>
      </c>
      <c r="B100" s="299">
        <f t="shared" si="14"/>
        <v>46752</v>
      </c>
      <c r="C100" s="233">
        <f t="shared" si="15"/>
        <v>1182.5450000000001</v>
      </c>
      <c r="D100" s="300">
        <f t="shared" si="16"/>
        <v>15</v>
      </c>
      <c r="E100" s="233">
        <f t="shared" si="17"/>
        <v>14295.372582219596</v>
      </c>
      <c r="F100" s="272">
        <f t="shared" si="18"/>
        <v>12.088649972914007</v>
      </c>
      <c r="G100" s="233">
        <f t="shared" si="19"/>
        <v>0</v>
      </c>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row>
    <row r="101" spans="1:66" ht="17.25" customHeight="1" x14ac:dyDescent="0.2">
      <c r="A101" s="238" t="str">
        <f t="shared" si="13"/>
        <v>Secured bank debt — due 2028</v>
      </c>
      <c r="B101" s="299">
        <f t="shared" si="14"/>
        <v>46934</v>
      </c>
      <c r="C101" s="233">
        <f t="shared" si="15"/>
        <v>1373.5149999999999</v>
      </c>
      <c r="D101" s="300">
        <f t="shared" si="16"/>
        <v>21</v>
      </c>
      <c r="E101" s="233">
        <f t="shared" si="17"/>
        <v>14322.186650841721</v>
      </c>
      <c r="F101" s="272">
        <f t="shared" si="18"/>
        <v>10.427397335188711</v>
      </c>
      <c r="G101" s="233">
        <f t="shared" si="19"/>
        <v>0</v>
      </c>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row>
    <row r="102" spans="1:66" x14ac:dyDescent="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row>
    <row r="103" spans="1:66" ht="17.25" customHeight="1" x14ac:dyDescent="0.2">
      <c r="A103" s="275" t="s">
        <v>777</v>
      </c>
      <c r="B103" s="230"/>
      <c r="C103" s="337"/>
      <c r="D103" s="28"/>
      <c r="E103" s="28"/>
      <c r="F103" s="28"/>
      <c r="G103" s="28"/>
      <c r="H103" s="28"/>
      <c r="I103" s="28"/>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row>
    <row r="104" spans="1:66" ht="100" customHeight="1" x14ac:dyDescent="0.2">
      <c r="A104" s="313" t="s">
        <v>778</v>
      </c>
      <c r="B104" s="242">
        <f>INDEX($C$59:$BN$59,1,28)-Simulator!$AW$40</f>
        <v>0</v>
      </c>
      <c r="C104" s="163" t="s">
        <v>779</v>
      </c>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row>
    <row r="105" spans="1:66" ht="18.25" customHeight="1" x14ac:dyDescent="0.2">
      <c r="A105" s="313" t="s">
        <v>780</v>
      </c>
      <c r="B105" s="242">
        <f>$C$40-Debt!$E$14</f>
        <v>0</v>
      </c>
      <c r="C105" s="157" t="s">
        <v>675</v>
      </c>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row>
    <row r="106" spans="1:66" ht="52.5" customHeight="1" x14ac:dyDescent="0.2">
      <c r="A106" s="313" t="s">
        <v>781</v>
      </c>
      <c r="B106" s="312">
        <f>SUM($C$72:$BN$72)-Dashboard!$B$82</f>
        <v>0</v>
      </c>
      <c r="C106" s="163" t="s">
        <v>782</v>
      </c>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row>
    <row r="107" spans="1:66" ht="18.25" customHeight="1" x14ac:dyDescent="0.2">
      <c r="A107" s="313" t="s">
        <v>783</v>
      </c>
      <c r="B107" s="242" cm="1">
        <f t="array" ref="B107">INDEX($C$71:$BN$71,1,$B$27)-($B$19+SUM($C$70:$BN$70))</f>
        <v>0</v>
      </c>
      <c r="C107" s="157" t="s">
        <v>784</v>
      </c>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row>
    <row r="108" spans="1:66" ht="64.5" customHeight="1" x14ac:dyDescent="0.2">
      <c r="A108" s="313" t="s">
        <v>785</v>
      </c>
      <c r="B108" s="242">
        <f>SUM($C$68:$BN$68)-$C$40</f>
        <v>0</v>
      </c>
      <c r="C108" s="163" t="s">
        <v>786</v>
      </c>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row>
    <row r="109" spans="1:66" x14ac:dyDescent="0.2">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row>
    <row r="110" spans="1:66" ht="34" customHeight="1" x14ac:dyDescent="0.2">
      <c r="A110" s="346" t="s">
        <v>980</v>
      </c>
      <c r="B110" s="345"/>
      <c r="C110" s="345"/>
      <c r="D110" s="345"/>
      <c r="E110" s="345"/>
      <c r="F110" s="345"/>
      <c r="G110" s="345"/>
      <c r="H110" s="345"/>
      <c r="I110" s="345"/>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row>
    <row r="111" spans="1:66" ht="84.25" customHeight="1" x14ac:dyDescent="0.2">
      <c r="A111" s="41" t="s">
        <v>981</v>
      </c>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row>
    <row r="112" spans="1:66" ht="17.25" customHeight="1" x14ac:dyDescent="0.2">
      <c r="A112" s="275" t="s">
        <v>982</v>
      </c>
      <c r="B112" s="230" t="s">
        <v>983</v>
      </c>
      <c r="C112" s="337" t="s">
        <v>984</v>
      </c>
      <c r="D112" s="275"/>
      <c r="E112" s="275"/>
      <c r="F112" s="275"/>
      <c r="G112" s="275"/>
      <c r="H112" s="275"/>
      <c r="I112" s="275"/>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row>
    <row r="113" spans="1:66" ht="31.5" customHeight="1" x14ac:dyDescent="0.2">
      <c r="A113" s="316" t="s">
        <v>985</v>
      </c>
      <c r="B113" s="314">
        <f>Dashboard!$C$12-$F$94</f>
        <v>0</v>
      </c>
      <c r="C113" s="281" t="s">
        <v>986</v>
      </c>
      <c r="D113" s="281"/>
      <c r="E113" s="281"/>
      <c r="F113" s="281"/>
      <c r="G113" s="281"/>
      <c r="H113" s="281"/>
      <c r="I113" s="281"/>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row>
    <row r="114" spans="1:66" ht="18.25" customHeight="1" x14ac:dyDescent="0.2">
      <c r="A114" s="316" t="s">
        <v>987</v>
      </c>
      <c r="B114" s="314">
        <f>INDEX(Cover!$F$16:$F$23,MATCH($B$94,Cover!$B$16:$B$23,0))-$F$94</f>
        <v>0</v>
      </c>
      <c r="C114" s="281" t="s">
        <v>988</v>
      </c>
      <c r="D114" s="281"/>
      <c r="E114" s="281"/>
      <c r="F114" s="281"/>
      <c r="G114" s="281"/>
      <c r="H114" s="281"/>
      <c r="I114" s="281"/>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row>
    <row r="115" spans="1:66" ht="31.5" customHeight="1" x14ac:dyDescent="0.2">
      <c r="A115" s="316" t="s">
        <v>989</v>
      </c>
      <c r="B115" s="314">
        <f>'Break-even'!$B$11-$F$94</f>
        <v>0</v>
      </c>
      <c r="C115" s="281" t="s">
        <v>990</v>
      </c>
      <c r="D115" s="281"/>
      <c r="E115" s="281"/>
      <c r="F115" s="281"/>
      <c r="G115" s="281"/>
      <c r="H115" s="281"/>
      <c r="I115" s="281"/>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row>
    <row r="116" spans="1:66" ht="31.5" customHeight="1" x14ac:dyDescent="0.2">
      <c r="A116" s="316" t="s">
        <v>991</v>
      </c>
      <c r="B116" s="314">
        <f>(Dashboard!$F$12-SUM($G$94:$G$101))+(Cover!$G$24-SUM($G$94:$G$101))</f>
        <v>0</v>
      </c>
      <c r="C116" s="281" t="s">
        <v>992</v>
      </c>
      <c r="D116" s="281"/>
      <c r="E116" s="281"/>
      <c r="F116" s="281"/>
      <c r="G116" s="281"/>
      <c r="H116" s="281"/>
      <c r="I116" s="281"/>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row>
    <row r="117" spans="1:66" ht="31.5" customHeight="1" x14ac:dyDescent="0.2">
      <c r="A117" s="316" t="s">
        <v>993</v>
      </c>
      <c r="B117" s="314">
        <f>Dashboard!$F$17-'Break-even'!$C$36</f>
        <v>0</v>
      </c>
      <c r="C117" s="281" t="s">
        <v>994</v>
      </c>
      <c r="D117" s="281"/>
      <c r="E117" s="281"/>
      <c r="F117" s="281"/>
      <c r="G117" s="281"/>
      <c r="H117" s="281"/>
      <c r="I117" s="281"/>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row>
    <row r="118" spans="1:66" ht="18.25" customHeight="1" x14ac:dyDescent="0.2">
      <c r="A118" s="316" t="s">
        <v>995</v>
      </c>
      <c r="B118" s="315">
        <f>Dashboard!$E$12-COUNTIF(Cover!$F$16:$F$23,"&lt;1")</f>
        <v>0</v>
      </c>
      <c r="C118" s="281" t="s">
        <v>996</v>
      </c>
      <c r="D118" s="281"/>
      <c r="E118" s="281"/>
      <c r="F118" s="281"/>
      <c r="G118" s="281"/>
      <c r="H118" s="281"/>
      <c r="I118" s="281"/>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row>
    <row r="119" spans="1:66" ht="18.25" customHeight="1" x14ac:dyDescent="0.2">
      <c r="A119" s="316" t="s">
        <v>997</v>
      </c>
      <c r="B119" s="314">
        <f>Cover!$C$24-$C$40</f>
        <v>0</v>
      </c>
      <c r="C119" s="281" t="s">
        <v>998</v>
      </c>
      <c r="D119" s="281"/>
      <c r="E119" s="281"/>
      <c r="F119" s="281"/>
      <c r="G119" s="281"/>
      <c r="H119" s="281"/>
      <c r="I119" s="281"/>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row>
    <row r="120" spans="1:66" x14ac:dyDescent="0.2">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row>
    <row r="121" spans="1:66" ht="19.5" customHeight="1" x14ac:dyDescent="0.2">
      <c r="A121" s="129" t="s">
        <v>1097</v>
      </c>
      <c r="B121" s="409"/>
      <c r="C121" s="409"/>
      <c r="D121" s="409"/>
      <c r="E121" s="409"/>
      <c r="F121" s="409"/>
      <c r="G121" s="409"/>
      <c r="H121" s="409"/>
      <c r="I121" s="409"/>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row>
    <row r="122" spans="1:66" ht="57.75" customHeight="1" x14ac:dyDescent="0.2">
      <c r="A122" s="102" t="str">
        <f>"The claim that AED 1.8 bn arrived from three handovers after 30 June 2026 is tested against the DLD register on the Handover check tab, which is the authority for it. That tab finds one confirmed handover, Binghatti Pinnacle, and supports AED "&amp;TEXT('Handover check'!$B$28,"#,##0")&amp;_xlfn._LONGTEXT(" m of cash arriving after the balance sheet date: the gross escrow release on completion less what had already been released at the June certified reading. Enter that figure in Dashboard D5. An earlier version of this section counted only the final handov","er instalment and so understated the release; it has been removed in favour of the dedicated tab.")</f>
        <v>The claim that AED 1.8 bn arrived from three handovers after 30 June 2026 is tested against the DLD register on the Handover check tab, which is the authority for it. That tab finds one confirmed handover, Binghatti Pinnacle, and supports AED 293 m of cash arriving after the balance sheet date: the gross escrow release on completion less what had already been released at the June certified reading. Enter that figure in Dashboard D5. An earlier version of this section counted only the final handover instalment and so understated the release; it has been removed in favour of the dedicated tab.</v>
      </c>
      <c r="B122" s="102"/>
      <c r="C122" s="102"/>
      <c r="D122" s="102"/>
      <c r="E122" s="102"/>
      <c r="F122" s="102"/>
      <c r="G122" s="102"/>
      <c r="H122" s="102"/>
      <c r="I122" s="102"/>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row>
    <row r="123" spans="1:66" ht="19" customHeight="1" x14ac:dyDescent="0.2">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row>
    <row r="124" spans="1:66" ht="34" customHeight="1" x14ac:dyDescent="0.2">
      <c r="A124" s="424" t="s">
        <v>1103</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row>
    <row r="125" spans="1:66" ht="163.5" customHeight="1" x14ac:dyDescent="0.2">
      <c r="A125" s="41" t="s">
        <v>1104</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row>
    <row r="126" spans="1:66" ht="17.25" customHeight="1" x14ac:dyDescent="0.2">
      <c r="A126" s="44" t="s">
        <v>961</v>
      </c>
      <c r="B126" s="222" t="s">
        <v>654</v>
      </c>
      <c r="C126" s="44" t="s">
        <v>251</v>
      </c>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row>
    <row r="127" spans="1:66" ht="164.75" customHeight="1" x14ac:dyDescent="0.2">
      <c r="A127" s="28" t="s">
        <v>1105</v>
      </c>
      <c r="B127" s="427">
        <f>COUNTIFS(Projects!$D$5:$D$72,"&lt;&gt;Finished",Projects!$H$5:$H$72,"&lt;"&amp;DATE(2026,8,1))</f>
        <v>14</v>
      </c>
      <c r="C127" s="286" t="s">
        <v>1106</v>
      </c>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row>
    <row r="128" spans="1:66" ht="92" customHeight="1" x14ac:dyDescent="0.2">
      <c r="A128" s="28" t="s">
        <v>1107</v>
      </c>
      <c r="B128" s="428">
        <f>IF(Dashboard!$B$82&gt;0,$B$127/Dashboard!$B$82,"")</f>
        <v>0.4375</v>
      </c>
      <c r="C128" s="286" t="s">
        <v>1108</v>
      </c>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row>
    <row r="129" spans="1:66" ht="33" customHeight="1" x14ac:dyDescent="0.2">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row>
    <row r="130" spans="1:66" ht="31.5" customHeight="1" x14ac:dyDescent="0.2">
      <c r="A130" s="48" t="s">
        <v>1109</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row>
    <row r="131" spans="1:66" ht="31.5" customHeight="1" x14ac:dyDescent="0.2">
      <c r="A131" s="30" t="s">
        <v>1110</v>
      </c>
      <c r="B131" s="223" t="s">
        <v>1111</v>
      </c>
      <c r="C131" s="429" t="s">
        <v>955</v>
      </c>
      <c r="D131" s="429" t="s">
        <v>1112</v>
      </c>
      <c r="E131" s="223" t="s">
        <v>1060</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row>
    <row r="132" spans="1:66" ht="18.5" customHeight="1" x14ac:dyDescent="0.2">
      <c r="A132" s="285">
        <v>0</v>
      </c>
      <c r="B132" s="271">
        <f>Dashboard!$C$12</f>
        <v>0.80256024648203728</v>
      </c>
      <c r="C132" s="284">
        <f>Dashboard!$F$12</f>
        <v>550.97944185800873</v>
      </c>
      <c r="D132" s="285">
        <f>Dashboard!$E$12</f>
        <v>2</v>
      </c>
      <c r="E132" s="28" t="s">
        <v>1113</v>
      </c>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row>
    <row r="133" spans="1:66" ht="18.5" customHeight="1" x14ac:dyDescent="0.2">
      <c r="A133" s="285">
        <v>15</v>
      </c>
      <c r="B133" s="271">
        <v>1.3389</v>
      </c>
      <c r="C133" s="284">
        <v>0</v>
      </c>
      <c r="D133" s="285">
        <v>0</v>
      </c>
      <c r="E133" s="28" t="s">
        <v>1114</v>
      </c>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row>
    <row r="134" spans="1:66" ht="18.5" customHeight="1" x14ac:dyDescent="0.2">
      <c r="A134" s="285">
        <v>30</v>
      </c>
      <c r="B134" s="271">
        <v>1.8309</v>
      </c>
      <c r="C134" s="284">
        <v>0</v>
      </c>
      <c r="D134" s="285">
        <v>0</v>
      </c>
      <c r="E134" s="28" t="s">
        <v>1115</v>
      </c>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row>
    <row r="135" spans="1:66" ht="117" customHeight="1" x14ac:dyDescent="0.2">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row>
    <row r="136" spans="1:66" ht="31.5" customHeight="1" x14ac:dyDescent="0.2">
      <c r="A136" s="48" t="s">
        <v>1116</v>
      </c>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row>
    <row r="137" spans="1:66" ht="137" customHeight="1" x14ac:dyDescent="0.2">
      <c r="A137" s="41" t="s">
        <v>1117</v>
      </c>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row>
    <row r="138" spans="1:66" ht="200" customHeight="1" x14ac:dyDescent="0.2">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row>
    <row r="139" spans="1:66" ht="17.25" customHeight="1" x14ac:dyDescent="0.2">
      <c r="A139" s="380" t="s">
        <v>1118</v>
      </c>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row>
    <row r="140" spans="1:66" ht="150.25" customHeight="1" x14ac:dyDescent="0.2">
      <c r="A140" s="384" t="s">
        <v>1119</v>
      </c>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row>
  </sheetData>
  <mergeCells count="27">
    <mergeCell ref="A121:I121"/>
    <mergeCell ref="A122:I122"/>
    <mergeCell ref="C116:I116"/>
    <mergeCell ref="C117:I117"/>
    <mergeCell ref="C118:I118"/>
    <mergeCell ref="C119:I119"/>
    <mergeCell ref="A1:I1"/>
    <mergeCell ref="A2:I2"/>
    <mergeCell ref="C45:I45"/>
    <mergeCell ref="C46:I46"/>
    <mergeCell ref="C47:I47"/>
    <mergeCell ref="C48:I48"/>
    <mergeCell ref="A55:I55"/>
    <mergeCell ref="A92:I92"/>
    <mergeCell ref="A43:I43"/>
    <mergeCell ref="C113:I113"/>
    <mergeCell ref="C114:I114"/>
    <mergeCell ref="C115:I115"/>
    <mergeCell ref="C49:I49"/>
    <mergeCell ref="C50:I50"/>
    <mergeCell ref="C51:I51"/>
    <mergeCell ref="A5:I5"/>
    <mergeCell ref="A6:I6"/>
    <mergeCell ref="A7:I7"/>
    <mergeCell ref="A9:I9"/>
    <mergeCell ref="A14:I14"/>
    <mergeCell ref="A30:I30"/>
  </mergeCells>
  <conditionalFormatting sqref="F94:F101">
    <cfRule type="cellIs" dxfId="6" priority="1" operator="lessThan">
      <formula>1</formula>
    </cfRule>
  </conditionalFormatting>
  <conditionalFormatting sqref="F94:F101">
    <cfRule type="cellIs" dxfId="5" priority="2" operator="greaterThanOrEqual">
      <formula>1</formula>
    </cfRule>
  </conditionalFormatting>
  <conditionalFormatting sqref="G94:G101">
    <cfRule type="cellIs" dxfId="4" priority="3" operator="greaterThan">
      <formula>0</formula>
    </cfRule>
  </conditionalFormatting>
  <conditionalFormatting sqref="C71:BN71">
    <cfRule type="cellIs" dxfId="3" priority="4" operator="lessThan">
      <formula>0</formula>
    </cfRule>
  </conditionalFormatting>
  <conditionalFormatting sqref="C86:I86">
    <cfRule type="cellIs" dxfId="2" priority="5" operator="lessThan">
      <formula>0</formula>
    </cfRule>
  </conditionalFormatting>
  <conditionalFormatting sqref="C87:I87">
    <cfRule type="cellIs" dxfId="1" priority="6" operator="lessThan">
      <formula>0</formula>
    </cfRule>
  </conditionalFormatting>
  <conditionalFormatting sqref="C85:I85">
    <cfRule type="cellIs" dxfId="0" priority="7" operator="lessThan">
      <formula>0</formula>
    </cfRule>
  </conditionalFormatting>
  <pageMargins left="0.7" right="0.7" top="0.75" bottom="0.75" header="0.3" footer="0.3"/>
  <pageSetup paperSize="0" scale="67" fitToHeight="0" orientation="landscape"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3B03B-0CC3-8C41-8771-D525FAF279BB}">
  <sheetPr>
    <tabColor rgb="FFE36C0A"/>
    <pageSetUpPr fitToPage="1"/>
  </sheetPr>
  <dimension ref="A1:M43"/>
  <sheetViews>
    <sheetView showGridLines="0" workbookViewId="0">
      <pane ySplit="5" topLeftCell="A6" activePane="bottomLeft" state="frozen"/>
      <selection pane="bottomLeft" sqref="A1:M1"/>
    </sheetView>
  </sheetViews>
  <sheetFormatPr baseColWidth="10" defaultRowHeight="15" x14ac:dyDescent="0.2"/>
  <cols>
    <col min="1" max="1" width="41.6640625" customWidth="1"/>
    <col min="2" max="3" width="11.6640625" customWidth="1"/>
    <col min="4" max="4" width="18.33203125" customWidth="1"/>
    <col min="5" max="5" width="13.33203125" customWidth="1"/>
    <col min="6" max="6" width="19.1640625" customWidth="1"/>
    <col min="7" max="7" width="17.5" customWidth="1"/>
    <col min="8" max="8" width="19.1640625" customWidth="1"/>
    <col min="9" max="12" width="20.83203125" customWidth="1"/>
    <col min="13" max="13" width="50" customWidth="1"/>
  </cols>
  <sheetData>
    <row r="1" spans="1:13" ht="28" customHeight="1" x14ac:dyDescent="0.2">
      <c r="A1" s="404" t="s">
        <v>1003</v>
      </c>
      <c r="B1" s="339"/>
      <c r="C1" s="339"/>
      <c r="D1" s="339"/>
      <c r="E1" s="339"/>
      <c r="F1" s="339"/>
      <c r="G1" s="339"/>
      <c r="H1" s="339"/>
      <c r="I1" s="339"/>
      <c r="J1" s="339"/>
      <c r="K1" s="339"/>
      <c r="L1" s="339"/>
      <c r="M1" s="339"/>
    </row>
    <row r="2" spans="1:13" ht="18.25" customHeight="1" x14ac:dyDescent="0.2">
      <c r="A2" s="340" t="s">
        <v>1004</v>
      </c>
      <c r="B2" s="340"/>
      <c r="C2" s="340"/>
      <c r="D2" s="340"/>
      <c r="E2" s="340"/>
      <c r="F2" s="340"/>
      <c r="G2" s="340"/>
      <c r="H2" s="340"/>
      <c r="I2" s="340"/>
      <c r="J2" s="340"/>
      <c r="K2" s="340"/>
      <c r="L2" s="340"/>
      <c r="M2" s="340"/>
    </row>
    <row r="3" spans="1:13" x14ac:dyDescent="0.2">
      <c r="A3" s="29"/>
      <c r="B3" s="29"/>
      <c r="C3" s="29"/>
      <c r="D3" s="29"/>
      <c r="E3" s="29"/>
      <c r="F3" s="29"/>
      <c r="G3" s="29"/>
      <c r="H3" s="29"/>
      <c r="I3" s="29"/>
      <c r="J3" s="29"/>
      <c r="K3" s="29"/>
      <c r="L3" s="29"/>
      <c r="M3" s="29"/>
    </row>
    <row r="4" spans="1:13" ht="48.5" customHeight="1" x14ac:dyDescent="0.2">
      <c r="A4" s="45" t="s">
        <v>1005</v>
      </c>
      <c r="B4" s="345"/>
      <c r="C4" s="345"/>
      <c r="D4" s="345"/>
      <c r="E4" s="345"/>
      <c r="F4" s="345"/>
      <c r="G4" s="345"/>
      <c r="H4" s="345"/>
      <c r="I4" s="345"/>
      <c r="J4" s="345"/>
      <c r="K4" s="345"/>
      <c r="L4" s="345"/>
      <c r="M4" s="345"/>
    </row>
    <row r="5" spans="1:13" ht="31.5" customHeight="1" x14ac:dyDescent="0.2">
      <c r="A5" s="385" t="s">
        <v>30</v>
      </c>
      <c r="B5" s="395" t="s">
        <v>96</v>
      </c>
      <c r="C5" s="395" t="s">
        <v>1006</v>
      </c>
      <c r="D5" s="395" t="s">
        <v>1007</v>
      </c>
      <c r="E5" s="395" t="s">
        <v>32</v>
      </c>
      <c r="F5" s="395" t="s">
        <v>33</v>
      </c>
      <c r="G5" s="395" t="s">
        <v>1008</v>
      </c>
      <c r="H5" s="395" t="s">
        <v>1009</v>
      </c>
      <c r="I5" s="395" t="s">
        <v>1010</v>
      </c>
      <c r="J5" s="395" t="s">
        <v>1011</v>
      </c>
      <c r="K5" s="395" t="s">
        <v>1012</v>
      </c>
      <c r="L5" s="395" t="s">
        <v>1013</v>
      </c>
      <c r="M5" s="385" t="s">
        <v>1014</v>
      </c>
    </row>
    <row r="6" spans="1:13" ht="28.75" customHeight="1" x14ac:dyDescent="0.2">
      <c r="A6" s="238" t="s">
        <v>422</v>
      </c>
      <c r="B6" s="388">
        <v>552</v>
      </c>
      <c r="C6" s="388">
        <v>484</v>
      </c>
      <c r="D6" s="233">
        <v>446</v>
      </c>
      <c r="E6" s="300">
        <v>100</v>
      </c>
      <c r="F6" s="299">
        <v>46135</v>
      </c>
      <c r="G6" s="389" t="s">
        <v>1015</v>
      </c>
      <c r="H6" s="233">
        <v>86</v>
      </c>
      <c r="I6" s="233">
        <v>35</v>
      </c>
      <c r="J6" s="233">
        <f>D6*(1-Scenarios!$F$13)</f>
        <v>423.7</v>
      </c>
      <c r="K6" s="233">
        <f>D6*(Scenarios!$F$11+(1-Scenarios!$F$11-Scenarios!$F$12)*E6/100)*(E6/100)*(1-Scenarios!$F$13)</f>
        <v>296.59000000000003</v>
      </c>
      <c r="L6" s="233">
        <f>J6-K6</f>
        <v>127.10999999999996</v>
      </c>
      <c r="M6" s="163" t="s">
        <v>1018</v>
      </c>
    </row>
    <row r="7" spans="1:13" ht="17.25" customHeight="1" x14ac:dyDescent="0.2">
      <c r="A7" s="396" t="s">
        <v>424</v>
      </c>
      <c r="B7" s="390">
        <v>178</v>
      </c>
      <c r="C7" s="390">
        <v>145</v>
      </c>
      <c r="D7" s="391">
        <v>337</v>
      </c>
      <c r="E7" s="392">
        <v>100</v>
      </c>
      <c r="F7" s="393">
        <v>46233</v>
      </c>
      <c r="G7" s="394" t="s">
        <v>1015</v>
      </c>
      <c r="H7" s="391">
        <v>4</v>
      </c>
      <c r="I7" s="391">
        <v>0</v>
      </c>
      <c r="J7" s="391">
        <f>D7*(1-Scenarios!$F$13)</f>
        <v>320.14999999999998</v>
      </c>
      <c r="K7" s="391">
        <f>D7*(Scenarios!$F$11+(1-Scenarios!$F$11-Scenarios!$F$12)*E7/100)*(E7/100)*(1-Scenarios!$F$13)</f>
        <v>224.10500000000002</v>
      </c>
      <c r="L7" s="391">
        <f>J7-K7</f>
        <v>96.044999999999959</v>
      </c>
      <c r="M7" s="401" t="s">
        <v>1019</v>
      </c>
    </row>
    <row r="8" spans="1:13" ht="40.75" customHeight="1" x14ac:dyDescent="0.2">
      <c r="A8" s="238" t="s">
        <v>128</v>
      </c>
      <c r="B8" s="388">
        <v>785</v>
      </c>
      <c r="C8" s="388">
        <v>695</v>
      </c>
      <c r="D8" s="233">
        <v>864</v>
      </c>
      <c r="E8" s="300">
        <v>99</v>
      </c>
      <c r="F8" s="299">
        <v>46112</v>
      </c>
      <c r="G8" s="389" t="s">
        <v>1016</v>
      </c>
      <c r="H8" s="233">
        <v>0</v>
      </c>
      <c r="I8" s="233">
        <v>1</v>
      </c>
      <c r="J8" s="233">
        <f>D8*(1-Scenarios!$F$13)</f>
        <v>820.8</v>
      </c>
      <c r="K8" s="233">
        <f>D8*(Scenarios!$F$11+(1-Scenarios!$F$11-Scenarios!$F$12)*E8/100)*(E8/100)*(1-Scenarios!$F$13)</f>
        <v>563.93884800000001</v>
      </c>
      <c r="L8" s="233">
        <f>J8-K8</f>
        <v>256.86115199999995</v>
      </c>
      <c r="M8" s="163" t="s">
        <v>1020</v>
      </c>
    </row>
    <row r="9" spans="1:13" ht="28.75" customHeight="1" x14ac:dyDescent="0.2">
      <c r="A9" s="238" t="s">
        <v>130</v>
      </c>
      <c r="B9" s="388">
        <v>404</v>
      </c>
      <c r="C9" s="388">
        <v>359</v>
      </c>
      <c r="D9" s="233">
        <v>611</v>
      </c>
      <c r="E9" s="300">
        <v>84</v>
      </c>
      <c r="F9" s="299">
        <v>46112</v>
      </c>
      <c r="G9" s="389" t="s">
        <v>1016</v>
      </c>
      <c r="H9" s="233">
        <v>0</v>
      </c>
      <c r="I9" s="233">
        <v>0</v>
      </c>
      <c r="J9" s="233">
        <f>D9*(1-Scenarios!$F$13)</f>
        <v>580.44999999999993</v>
      </c>
      <c r="K9" s="233">
        <f>D9*(Scenarios!$F$11+(1-Scenarios!$F$11-Scenarios!$F$12)*E9/100)*(E9/100)*(1-Scenarios!$F$13)</f>
        <v>294.49711200000002</v>
      </c>
      <c r="L9" s="233">
        <f>J9-K9</f>
        <v>285.95288799999992</v>
      </c>
      <c r="M9" s="163" t="s">
        <v>1021</v>
      </c>
    </row>
    <row r="10" spans="1:13" ht="28.75" customHeight="1" x14ac:dyDescent="0.2">
      <c r="A10" s="238" t="s">
        <v>132</v>
      </c>
      <c r="B10" s="388">
        <v>501</v>
      </c>
      <c r="C10" s="388">
        <v>471</v>
      </c>
      <c r="D10" s="233">
        <v>636</v>
      </c>
      <c r="E10" s="300">
        <v>76</v>
      </c>
      <c r="F10" s="299">
        <v>46112</v>
      </c>
      <c r="G10" s="389" t="s">
        <v>1016</v>
      </c>
      <c r="H10" s="233">
        <v>0</v>
      </c>
      <c r="I10" s="233">
        <v>0</v>
      </c>
      <c r="J10" s="233">
        <f>D10*(1-Scenarios!$F$13)</f>
        <v>604.19999999999993</v>
      </c>
      <c r="K10" s="233">
        <f>D10*(Scenarios!$F$11+(1-Scenarios!$F$11-Scenarios!$F$12)*E10/100)*(E10/100)*(1-Scenarios!$F$13)</f>
        <v>255.31075200000004</v>
      </c>
      <c r="L10" s="233">
        <f>J10-K10</f>
        <v>348.8892479999999</v>
      </c>
      <c r="M10" s="163" t="s">
        <v>1021</v>
      </c>
    </row>
    <row r="11" spans="1:13" ht="17.25" customHeight="1" x14ac:dyDescent="0.2">
      <c r="A11" s="238" t="s">
        <v>146</v>
      </c>
      <c r="B11" s="388">
        <v>411</v>
      </c>
      <c r="C11" s="388">
        <v>288</v>
      </c>
      <c r="D11" s="233">
        <v>280</v>
      </c>
      <c r="E11" s="300">
        <v>70</v>
      </c>
      <c r="F11" s="299">
        <v>46203</v>
      </c>
      <c r="G11" s="389" t="s">
        <v>1016</v>
      </c>
      <c r="H11" s="233">
        <v>0</v>
      </c>
      <c r="I11" s="233">
        <v>0</v>
      </c>
      <c r="J11" s="233">
        <f>D11*(1-Scenarios!$F$13)</f>
        <v>266</v>
      </c>
      <c r="K11" s="233">
        <f>D11*(Scenarios!$F$11+(1-Scenarios!$F$11-Scenarios!$F$12)*E11/100)*(E11/100)*(1-Scenarios!$F$13)</f>
        <v>96.824000000000012</v>
      </c>
      <c r="L11" s="233">
        <f>J11-K11</f>
        <v>169.17599999999999</v>
      </c>
      <c r="M11" s="163" t="s">
        <v>1022</v>
      </c>
    </row>
    <row r="12" spans="1:13" ht="17.25" customHeight="1" x14ac:dyDescent="0.2">
      <c r="A12" s="238" t="s">
        <v>134</v>
      </c>
      <c r="B12" s="388">
        <v>511</v>
      </c>
      <c r="C12" s="388">
        <v>469</v>
      </c>
      <c r="D12" s="233">
        <v>529</v>
      </c>
      <c r="E12" s="300">
        <v>63</v>
      </c>
      <c r="F12" s="299">
        <v>46112</v>
      </c>
      <c r="G12" s="389" t="s">
        <v>1016</v>
      </c>
      <c r="H12" s="233">
        <v>0</v>
      </c>
      <c r="I12" s="233">
        <v>0</v>
      </c>
      <c r="J12" s="233">
        <f>D12*(1-Scenarios!$F$13)</f>
        <v>502.54999999999995</v>
      </c>
      <c r="K12" s="233">
        <f>D12*(Scenarios!$F$11+(1-Scenarios!$F$11-Scenarios!$F$12)*E12/100)*(E12/100)*(1-Scenarios!$F$13)</f>
        <v>151.33790700000003</v>
      </c>
      <c r="L12" s="233">
        <f>J12-K12</f>
        <v>351.21209299999992</v>
      </c>
      <c r="M12" s="163" t="s">
        <v>1023</v>
      </c>
    </row>
    <row r="13" spans="1:13" ht="40.75" customHeight="1" x14ac:dyDescent="0.2">
      <c r="A13" s="238" t="s">
        <v>1017</v>
      </c>
      <c r="B13" s="388">
        <v>163</v>
      </c>
      <c r="C13" s="388">
        <v>117</v>
      </c>
      <c r="D13" s="233">
        <v>1802</v>
      </c>
      <c r="E13" s="300">
        <v>65</v>
      </c>
      <c r="F13" s="299">
        <v>46387</v>
      </c>
      <c r="G13" s="389" t="s">
        <v>1016</v>
      </c>
      <c r="H13" s="233">
        <v>0</v>
      </c>
      <c r="I13" s="233">
        <v>1</v>
      </c>
      <c r="J13" s="233">
        <f>D13*(1-Scenarios!$F$13)</f>
        <v>1711.8999999999999</v>
      </c>
      <c r="K13" s="233">
        <f>D13*(Scenarios!$F$11+(1-Scenarios!$F$11-Scenarios!$F$12)*E13/100)*(E13/100)*(1-Scenarios!$F$13)</f>
        <v>545.24015000000009</v>
      </c>
      <c r="L13" s="233">
        <f>J13-K13</f>
        <v>1166.6598499999998</v>
      </c>
      <c r="M13" s="163" t="s">
        <v>1024</v>
      </c>
    </row>
    <row r="14" spans="1:13" x14ac:dyDescent="0.2">
      <c r="A14" s="29"/>
      <c r="B14" s="29"/>
      <c r="C14" s="29"/>
      <c r="D14" s="29"/>
      <c r="E14" s="29"/>
      <c r="F14" s="29"/>
      <c r="G14" s="29"/>
      <c r="H14" s="29"/>
      <c r="I14" s="29"/>
      <c r="J14" s="29"/>
      <c r="K14" s="29"/>
      <c r="L14" s="29"/>
      <c r="M14" s="29"/>
    </row>
    <row r="15" spans="1:13" ht="48.5" customHeight="1" x14ac:dyDescent="0.2">
      <c r="A15" s="45" t="s">
        <v>1025</v>
      </c>
      <c r="B15" s="345"/>
      <c r="C15" s="345"/>
      <c r="D15" s="345"/>
      <c r="E15" s="345"/>
      <c r="F15" s="345"/>
      <c r="G15" s="345"/>
      <c r="H15" s="345"/>
      <c r="I15" s="345"/>
      <c r="J15" s="345"/>
      <c r="K15" s="345"/>
      <c r="L15" s="345"/>
      <c r="M15" s="345"/>
    </row>
    <row r="16" spans="1:13" ht="18.25" customHeight="1" x14ac:dyDescent="0.2">
      <c r="A16" s="403" t="s">
        <v>1026</v>
      </c>
      <c r="B16" s="403"/>
      <c r="C16" s="403"/>
      <c r="D16" s="403"/>
      <c r="E16" s="403"/>
      <c r="F16" s="403"/>
      <c r="G16" s="403"/>
      <c r="H16" s="403"/>
      <c r="I16" s="403"/>
      <c r="J16" s="403"/>
      <c r="K16" s="403"/>
      <c r="L16" s="403"/>
      <c r="M16" s="403"/>
    </row>
    <row r="17" spans="1:13" ht="18.25" customHeight="1" x14ac:dyDescent="0.2">
      <c r="A17" s="385" t="s">
        <v>30</v>
      </c>
      <c r="B17" s="395" t="s">
        <v>1027</v>
      </c>
      <c r="C17" s="395" t="s">
        <v>1028</v>
      </c>
      <c r="D17" s="395" t="s">
        <v>1029</v>
      </c>
      <c r="E17" s="395" t="s">
        <v>1030</v>
      </c>
      <c r="F17" s="395" t="s">
        <v>1031</v>
      </c>
      <c r="G17" s="395" t="s">
        <v>1032</v>
      </c>
      <c r="H17" s="395" t="s">
        <v>1033</v>
      </c>
      <c r="I17" s="395" t="s">
        <v>1034</v>
      </c>
      <c r="J17" s="29"/>
      <c r="K17" s="29"/>
      <c r="L17" s="29"/>
      <c r="M17" s="29"/>
    </row>
    <row r="18" spans="1:13" ht="17.25" customHeight="1" x14ac:dyDescent="0.2">
      <c r="A18" s="238" t="s">
        <v>1035</v>
      </c>
      <c r="B18" s="233">
        <v>0</v>
      </c>
      <c r="C18" s="233">
        <v>0</v>
      </c>
      <c r="D18" s="233">
        <v>14</v>
      </c>
      <c r="E18" s="233">
        <v>55</v>
      </c>
      <c r="F18" s="233">
        <v>42</v>
      </c>
      <c r="G18" s="233">
        <v>35</v>
      </c>
      <c r="H18" s="233">
        <v>9</v>
      </c>
      <c r="I18" s="233">
        <v>46</v>
      </c>
      <c r="J18" s="29"/>
      <c r="K18" s="29"/>
      <c r="L18" s="29"/>
      <c r="M18" s="29"/>
    </row>
    <row r="19" spans="1:13" ht="17.25" customHeight="1" x14ac:dyDescent="0.2">
      <c r="A19" s="238" t="s">
        <v>1036</v>
      </c>
      <c r="B19" s="233">
        <v>0</v>
      </c>
      <c r="C19" s="233">
        <v>0</v>
      </c>
      <c r="D19" s="233">
        <v>0</v>
      </c>
      <c r="E19" s="233">
        <v>0</v>
      </c>
      <c r="F19" s="233">
        <v>0</v>
      </c>
      <c r="G19" s="233">
        <v>0</v>
      </c>
      <c r="H19" s="233">
        <v>4</v>
      </c>
      <c r="I19" s="233">
        <v>0</v>
      </c>
      <c r="J19" s="29"/>
      <c r="K19" s="29"/>
      <c r="L19" s="29"/>
      <c r="M19" s="29"/>
    </row>
    <row r="20" spans="1:13" ht="17.25" customHeight="1" x14ac:dyDescent="0.2">
      <c r="A20" s="238" t="s">
        <v>1037</v>
      </c>
      <c r="B20" s="233">
        <v>0</v>
      </c>
      <c r="C20" s="233">
        <v>0</v>
      </c>
      <c r="D20" s="233">
        <v>0</v>
      </c>
      <c r="E20" s="233">
        <v>0</v>
      </c>
      <c r="F20" s="233">
        <v>0</v>
      </c>
      <c r="G20" s="233">
        <v>0</v>
      </c>
      <c r="H20" s="233">
        <v>0</v>
      </c>
      <c r="I20" s="233">
        <v>1</v>
      </c>
      <c r="J20" s="29"/>
      <c r="K20" s="29"/>
      <c r="L20" s="29"/>
      <c r="M20" s="29"/>
    </row>
    <row r="21" spans="1:13" ht="17.25" customHeight="1" x14ac:dyDescent="0.2">
      <c r="A21" s="238" t="s">
        <v>1038</v>
      </c>
      <c r="B21" s="233">
        <v>0</v>
      </c>
      <c r="C21" s="233">
        <v>0</v>
      </c>
      <c r="D21" s="233">
        <v>0</v>
      </c>
      <c r="E21" s="233">
        <v>0</v>
      </c>
      <c r="F21" s="233">
        <v>0</v>
      </c>
      <c r="G21" s="233">
        <v>0</v>
      </c>
      <c r="H21" s="233">
        <v>0</v>
      </c>
      <c r="I21" s="233">
        <v>0</v>
      </c>
      <c r="J21" s="29"/>
      <c r="K21" s="29"/>
      <c r="L21" s="29"/>
      <c r="M21" s="29"/>
    </row>
    <row r="22" spans="1:13" ht="18.25" customHeight="1" x14ac:dyDescent="0.2">
      <c r="A22" s="403" t="s">
        <v>1039</v>
      </c>
      <c r="B22" s="403"/>
      <c r="C22" s="403"/>
      <c r="D22" s="403"/>
      <c r="E22" s="403"/>
      <c r="F22" s="403"/>
      <c r="G22" s="403"/>
      <c r="H22" s="403"/>
      <c r="I22" s="403"/>
      <c r="J22" s="403"/>
      <c r="K22" s="403"/>
      <c r="L22" s="403"/>
      <c r="M22" s="403"/>
    </row>
    <row r="23" spans="1:13" x14ac:dyDescent="0.2">
      <c r="A23" s="29"/>
      <c r="B23" s="29"/>
      <c r="C23" s="29"/>
      <c r="D23" s="29"/>
      <c r="E23" s="29"/>
      <c r="F23" s="29"/>
      <c r="G23" s="29"/>
      <c r="H23" s="29"/>
      <c r="I23" s="29"/>
      <c r="J23" s="29"/>
      <c r="K23" s="29"/>
      <c r="L23" s="29"/>
      <c r="M23" s="29"/>
    </row>
    <row r="24" spans="1:13" ht="18.5" customHeight="1" x14ac:dyDescent="0.2">
      <c r="A24" s="345" t="s">
        <v>1042</v>
      </c>
      <c r="B24" s="345"/>
      <c r="C24" s="345"/>
      <c r="D24" s="345"/>
      <c r="E24" s="345"/>
      <c r="F24" s="345"/>
      <c r="G24" s="345"/>
      <c r="H24" s="345"/>
      <c r="I24" s="345"/>
      <c r="J24" s="345"/>
      <c r="K24" s="345"/>
      <c r="L24" s="345"/>
      <c r="M24" s="345"/>
    </row>
    <row r="25" spans="1:13" ht="31.5" customHeight="1" x14ac:dyDescent="0.2">
      <c r="A25" s="406" t="s">
        <v>1043</v>
      </c>
      <c r="B25" s="397">
        <v>30.46</v>
      </c>
      <c r="C25" s="155" t="s">
        <v>1050</v>
      </c>
      <c r="D25" s="155"/>
      <c r="E25" s="155"/>
      <c r="F25" s="155"/>
      <c r="G25" s="155"/>
      <c r="H25" s="155"/>
      <c r="I25" s="155"/>
      <c r="J25" s="155"/>
      <c r="K25" s="155"/>
      <c r="L25" s="155"/>
      <c r="M25" s="155"/>
    </row>
    <row r="26" spans="1:13" ht="31.5" customHeight="1" x14ac:dyDescent="0.2">
      <c r="A26" s="316" t="s">
        <v>1044</v>
      </c>
      <c r="B26" s="233">
        <f>J7</f>
        <v>320.14999999999998</v>
      </c>
      <c r="C26" s="155" t="s">
        <v>1051</v>
      </c>
      <c r="D26" s="155"/>
      <c r="E26" s="155"/>
      <c r="F26" s="155"/>
      <c r="G26" s="155"/>
      <c r="H26" s="155"/>
      <c r="I26" s="155"/>
      <c r="J26" s="155"/>
      <c r="K26" s="155"/>
      <c r="L26" s="155"/>
      <c r="M26" s="155"/>
    </row>
    <row r="27" spans="1:13" ht="31.5" customHeight="1" x14ac:dyDescent="0.2">
      <c r="A27" s="316" t="s">
        <v>1045</v>
      </c>
      <c r="B27" s="233">
        <f>D7*(Scenarios!$F$11+(1-Scenarios!$F$11-Scenarios!$F$12)*B25/100)*(B25/100)*(1-Scenarios!$F$13)</f>
        <v>27.574102024399998</v>
      </c>
      <c r="C27" s="155"/>
      <c r="D27" s="155"/>
      <c r="E27" s="155"/>
      <c r="F27" s="155"/>
      <c r="G27" s="155"/>
      <c r="H27" s="155"/>
      <c r="I27" s="155"/>
      <c r="J27" s="155"/>
      <c r="K27" s="155"/>
      <c r="L27" s="155"/>
      <c r="M27" s="155"/>
    </row>
    <row r="28" spans="1:13" ht="34" customHeight="1" x14ac:dyDescent="0.2">
      <c r="A28" s="407" t="s">
        <v>1046</v>
      </c>
      <c r="B28" s="386">
        <f>B26-B27</f>
        <v>292.57589797559996</v>
      </c>
      <c r="C28" s="155" t="s">
        <v>1052</v>
      </c>
      <c r="D28" s="155"/>
      <c r="E28" s="155"/>
      <c r="F28" s="155"/>
      <c r="G28" s="155"/>
      <c r="H28" s="155"/>
      <c r="I28" s="155"/>
      <c r="J28" s="155"/>
      <c r="K28" s="155"/>
      <c r="L28" s="155"/>
      <c r="M28" s="155"/>
    </row>
    <row r="29" spans="1:13" ht="18.25" customHeight="1" x14ac:dyDescent="0.2">
      <c r="A29" s="408" t="s">
        <v>1047</v>
      </c>
      <c r="B29" s="398">
        <v>1800</v>
      </c>
      <c r="C29" s="155" t="s">
        <v>1053</v>
      </c>
      <c r="D29" s="155"/>
      <c r="E29" s="155"/>
      <c r="F29" s="155"/>
      <c r="G29" s="155"/>
      <c r="H29" s="155"/>
      <c r="I29" s="155"/>
      <c r="J29" s="155"/>
      <c r="K29" s="155"/>
      <c r="L29" s="155"/>
      <c r="M29" s="155"/>
    </row>
    <row r="30" spans="1:13" ht="18.25" customHeight="1" x14ac:dyDescent="0.2">
      <c r="A30" s="406" t="s">
        <v>1048</v>
      </c>
      <c r="B30" s="236">
        <f>B29-B28</f>
        <v>1507.4241020244001</v>
      </c>
      <c r="C30" s="155" t="s">
        <v>1041</v>
      </c>
      <c r="D30" s="155"/>
      <c r="E30" s="155"/>
      <c r="F30" s="155"/>
      <c r="G30" s="155"/>
      <c r="H30" s="155"/>
      <c r="I30" s="155"/>
      <c r="J30" s="155"/>
      <c r="K30" s="155"/>
      <c r="L30" s="155"/>
      <c r="M30" s="155"/>
    </row>
    <row r="31" spans="1:13" ht="31.5" customHeight="1" x14ac:dyDescent="0.2">
      <c r="A31" s="316" t="s">
        <v>1049</v>
      </c>
      <c r="B31" s="233">
        <f>J7+J8+J10</f>
        <v>1745.1499999999996</v>
      </c>
      <c r="C31" s="155" t="s">
        <v>1054</v>
      </c>
      <c r="D31" s="155"/>
      <c r="E31" s="155"/>
      <c r="F31" s="155"/>
      <c r="G31" s="155"/>
      <c r="H31" s="155"/>
      <c r="I31" s="155"/>
      <c r="J31" s="155"/>
      <c r="K31" s="155"/>
      <c r="L31" s="155"/>
      <c r="M31" s="155"/>
    </row>
    <row r="32" spans="1:13" ht="18.25" customHeight="1" x14ac:dyDescent="0.2">
      <c r="A32" s="406" t="s">
        <v>1040</v>
      </c>
      <c r="B32" s="306"/>
      <c r="C32" s="155" t="s">
        <v>1055</v>
      </c>
      <c r="D32" s="155"/>
      <c r="E32" s="155"/>
      <c r="F32" s="155"/>
      <c r="G32" s="155"/>
      <c r="H32" s="155"/>
      <c r="I32" s="155"/>
      <c r="J32" s="155"/>
      <c r="K32" s="155"/>
      <c r="L32" s="155"/>
      <c r="M32" s="155"/>
    </row>
    <row r="33" spans="1:13" x14ac:dyDescent="0.2">
      <c r="A33" s="29"/>
      <c r="B33" s="29"/>
      <c r="C33" s="29"/>
      <c r="D33" s="29"/>
      <c r="E33" s="29"/>
      <c r="F33" s="29"/>
      <c r="G33" s="29"/>
      <c r="H33" s="29"/>
      <c r="I33" s="29"/>
      <c r="J33" s="29"/>
      <c r="K33" s="29"/>
      <c r="L33" s="29"/>
      <c r="M33" s="29"/>
    </row>
    <row r="34" spans="1:13" ht="48.5" customHeight="1" x14ac:dyDescent="0.2">
      <c r="A34" s="387" t="s">
        <v>1056</v>
      </c>
      <c r="B34" s="345"/>
      <c r="C34" s="345"/>
      <c r="D34" s="345"/>
      <c r="E34" s="345"/>
      <c r="F34" s="345"/>
      <c r="G34" s="345"/>
      <c r="H34" s="345"/>
      <c r="I34" s="345"/>
      <c r="J34" s="345"/>
      <c r="K34" s="345"/>
      <c r="L34" s="345"/>
      <c r="M34" s="345"/>
    </row>
    <row r="35" spans="1:13" ht="44.5" customHeight="1" x14ac:dyDescent="0.2">
      <c r="A35" s="385" t="s">
        <v>1057</v>
      </c>
      <c r="B35" s="395" t="s">
        <v>1058</v>
      </c>
      <c r="C35" s="395" t="s">
        <v>1059</v>
      </c>
      <c r="D35" s="395" t="s">
        <v>14</v>
      </c>
      <c r="E35" s="385" t="s">
        <v>1060</v>
      </c>
      <c r="F35" s="29"/>
      <c r="G35" s="29"/>
      <c r="H35" s="29"/>
      <c r="I35" s="29"/>
      <c r="J35" s="29"/>
      <c r="K35" s="29"/>
      <c r="L35" s="29"/>
      <c r="M35" s="29"/>
    </row>
    <row r="36" spans="1:13" ht="47" customHeight="1" x14ac:dyDescent="0.2">
      <c r="A36" s="400">
        <v>0</v>
      </c>
      <c r="B36" s="233">
        <f>('Cash flow'!$E$94-Dashboard!$D$5)+$A36</f>
        <v>1181.1253546270411</v>
      </c>
      <c r="C36" s="272">
        <f>IF('Cash flow'!$C$94&gt;0,$B36/'Cash flow'!$C$94,"")</f>
        <v>0.64322687794529132</v>
      </c>
      <c r="D36" s="233">
        <f>MAX(0,'Cash flow'!$C$94-$B36)</f>
        <v>655.12464537295887</v>
      </c>
      <c r="E36" s="163" t="str">
        <f>"Nothing counted — "&amp;IF($C36&gt;=1,"covered","NOT covered")</f>
        <v>Nothing counted — NOT covered</v>
      </c>
      <c r="F36" s="29"/>
      <c r="G36" s="29"/>
      <c r="H36" s="29"/>
      <c r="I36" s="29"/>
      <c r="J36" s="29"/>
      <c r="K36" s="29"/>
      <c r="L36" s="29"/>
      <c r="M36" s="29"/>
    </row>
    <row r="37" spans="1:13" ht="61" customHeight="1" x14ac:dyDescent="0.2">
      <c r="A37" s="400">
        <f>$B$28</f>
        <v>292.57589797559996</v>
      </c>
      <c r="B37" s="233">
        <f>('Cash flow'!$E$94-Dashboard!$D$5)+$A37</f>
        <v>1473.701252602641</v>
      </c>
      <c r="C37" s="272">
        <f>IF('Cash flow'!$C$94&gt;0,$B37/'Cash flow'!$C$94,"")</f>
        <v>0.80256024648203728</v>
      </c>
      <c r="D37" s="233">
        <f>MAX(0,'Cash flow'!$C$94-$B37)</f>
        <v>362.54874739735897</v>
      </c>
      <c r="E37" s="163" t="str">
        <f>"What the register supports — "&amp;IF($C37&gt;=1,"covered","NOT covered")</f>
        <v>What the register supports — NOT covered</v>
      </c>
      <c r="F37" s="29"/>
      <c r="G37" s="29"/>
      <c r="H37" s="29"/>
      <c r="I37" s="29"/>
      <c r="J37" s="29"/>
      <c r="K37" s="29"/>
      <c r="L37" s="29"/>
      <c r="M37" s="29"/>
    </row>
    <row r="38" spans="1:13" ht="61" customHeight="1" x14ac:dyDescent="0.2">
      <c r="A38" s="399">
        <f>$B$29</f>
        <v>1800</v>
      </c>
      <c r="B38" s="399">
        <f>('Cash flow'!$E$94-Dashboard!$D$5)+$A38</f>
        <v>2981.1253546270409</v>
      </c>
      <c r="C38" s="419">
        <f>IF('Cash flow'!$C$94&gt;0,$B38/'Cash flow'!$C$94,"")</f>
        <v>1.6234855573190148</v>
      </c>
      <c r="D38" s="399">
        <f>MAX(0,'Cash flow'!$C$94-$B38)</f>
        <v>0</v>
      </c>
      <c r="E38" s="402" t="str">
        <f>"The company's claim at face value — "&amp;IF($C38&gt;=1,"covered","NOT covered")</f>
        <v>The company's claim at face value — covered</v>
      </c>
      <c r="F38" s="29"/>
      <c r="G38" s="29"/>
      <c r="H38" s="29"/>
      <c r="I38" s="29"/>
      <c r="J38" s="29"/>
      <c r="K38" s="29"/>
      <c r="L38" s="29"/>
      <c r="M38" s="29"/>
    </row>
    <row r="39" spans="1:13" ht="33" customHeight="1" x14ac:dyDescent="0.2">
      <c r="A39" s="405" t="s">
        <v>1101</v>
      </c>
      <c r="B39" s="314">
        <f>($C37-Dashboard!$C$12)+($D37-Dashboard!$D$12)</f>
        <v>0</v>
      </c>
      <c r="C39" s="155" t="s">
        <v>1102</v>
      </c>
      <c r="D39" s="155"/>
      <c r="E39" s="155"/>
      <c r="F39" s="1"/>
      <c r="G39" s="1"/>
      <c r="H39" s="1"/>
      <c r="I39" s="1"/>
      <c r="J39" s="1"/>
      <c r="K39" s="1"/>
      <c r="L39" s="1"/>
      <c r="M39" s="1"/>
    </row>
    <row r="40" spans="1:13" ht="31.5" customHeight="1" x14ac:dyDescent="0.2">
      <c r="A40" s="403" t="s">
        <v>1061</v>
      </c>
      <c r="B40" s="403"/>
      <c r="C40" s="403"/>
      <c r="D40" s="403"/>
      <c r="E40" s="403"/>
      <c r="F40" s="403"/>
      <c r="G40" s="403"/>
      <c r="H40" s="403"/>
      <c r="I40" s="403"/>
      <c r="J40" s="403"/>
      <c r="K40" s="403"/>
      <c r="L40" s="403"/>
      <c r="M40" s="403"/>
    </row>
    <row r="41" spans="1:13" x14ac:dyDescent="0.2">
      <c r="A41" s="29"/>
      <c r="B41" s="29"/>
      <c r="C41" s="29"/>
      <c r="D41" s="29"/>
      <c r="E41" s="29"/>
      <c r="F41" s="29"/>
      <c r="G41" s="29"/>
      <c r="H41" s="29"/>
      <c r="I41" s="29"/>
      <c r="J41" s="29"/>
      <c r="K41" s="29"/>
      <c r="L41" s="29"/>
      <c r="M41" s="29"/>
    </row>
    <row r="42" spans="1:13" ht="18.5" customHeight="1" x14ac:dyDescent="0.2">
      <c r="A42" s="345" t="s">
        <v>1062</v>
      </c>
      <c r="B42" s="345"/>
      <c r="C42" s="345"/>
      <c r="D42" s="345"/>
      <c r="E42" s="345"/>
      <c r="F42" s="345"/>
      <c r="G42" s="345"/>
      <c r="H42" s="345"/>
      <c r="I42" s="345"/>
      <c r="J42" s="345"/>
      <c r="K42" s="345"/>
      <c r="L42" s="345"/>
      <c r="M42" s="345"/>
    </row>
    <row r="43" spans="1:13" ht="31.5" customHeight="1" x14ac:dyDescent="0.2">
      <c r="A43" s="403" t="s">
        <v>1063</v>
      </c>
      <c r="B43" s="403"/>
      <c r="C43" s="403"/>
      <c r="D43" s="403"/>
      <c r="E43" s="403"/>
      <c r="F43" s="403"/>
      <c r="G43" s="403"/>
      <c r="H43" s="403"/>
      <c r="I43" s="403"/>
      <c r="J43" s="403"/>
      <c r="K43" s="403"/>
      <c r="L43" s="403"/>
      <c r="M43" s="403"/>
    </row>
  </sheetData>
  <mergeCells count="15">
    <mergeCell ref="C28:M28"/>
    <mergeCell ref="C29:M29"/>
    <mergeCell ref="C30:M30"/>
    <mergeCell ref="C31:M31"/>
    <mergeCell ref="C39:M39"/>
    <mergeCell ref="A1:M1"/>
    <mergeCell ref="A2:M2"/>
    <mergeCell ref="A16:M16"/>
    <mergeCell ref="A22:M22"/>
    <mergeCell ref="A40:M40"/>
    <mergeCell ref="A43:M43"/>
    <mergeCell ref="C32:M32"/>
    <mergeCell ref="C25:M25"/>
    <mergeCell ref="C26:M26"/>
    <mergeCell ref="C27:M27"/>
  </mergeCells>
  <pageMargins left="0.7" right="0.7" top="0.75" bottom="0.75" header="0.3" footer="0.3"/>
  <pageSetup paperSize="0" scale="40" fitToHeight="0" orientation="landscape" horizontalDpi="0" verticalDpi="0" copie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C8A"/>
  </sheetPr>
  <dimension ref="A1:G22"/>
  <sheetViews>
    <sheetView showGridLines="0" zoomScaleNormal="100" workbookViewId="0">
      <pane xSplit="1" ySplit="4" topLeftCell="B5" activePane="bottomRight" state="frozen"/>
      <selection pane="topRight" activeCell="B1" sqref="B1"/>
      <selection pane="bottomLeft" activeCell="A5" sqref="A5"/>
      <selection pane="bottomRight" sqref="A1:G1"/>
    </sheetView>
  </sheetViews>
  <sheetFormatPr baseColWidth="10" defaultColWidth="8.6640625" defaultRowHeight="15" x14ac:dyDescent="0.2"/>
  <cols>
    <col min="1" max="1" width="65" customWidth="1"/>
    <col min="2" max="2" width="16.5" customWidth="1"/>
    <col min="3" max="3" width="14" customWidth="1"/>
    <col min="4" max="4" width="16" customWidth="1"/>
    <col min="5" max="5" width="14" customWidth="1"/>
    <col min="6" max="6" width="12" customWidth="1"/>
    <col min="7" max="7" width="90" customWidth="1"/>
  </cols>
  <sheetData>
    <row r="1" spans="1:7" ht="27.5" customHeight="1" x14ac:dyDescent="0.2">
      <c r="A1" s="339" t="s">
        <v>58</v>
      </c>
      <c r="B1" s="339"/>
      <c r="C1" s="339"/>
      <c r="D1" s="339"/>
      <c r="E1" s="339"/>
      <c r="F1" s="339"/>
      <c r="G1" s="339"/>
    </row>
    <row r="2" spans="1:7" ht="19" customHeight="1" x14ac:dyDescent="0.2">
      <c r="A2" s="340" t="s">
        <v>59</v>
      </c>
      <c r="B2" s="340"/>
      <c r="C2" s="340"/>
      <c r="D2" s="340"/>
      <c r="E2" s="340"/>
      <c r="F2" s="340"/>
      <c r="G2" s="340"/>
    </row>
    <row r="3" spans="1:7" ht="17.25" customHeight="1" x14ac:dyDescent="0.2">
      <c r="A3" s="8" t="s">
        <v>60</v>
      </c>
      <c r="B3" s="359">
        <v>1</v>
      </c>
      <c r="C3" s="2" t="str" cm="1">
        <f t="array" ref="C3">INDEX($B$4:$E$4,1,$B$3)</f>
        <v>Base</v>
      </c>
      <c r="D3" s="2"/>
      <c r="E3" s="2"/>
      <c r="F3" s="2"/>
      <c r="G3" s="2"/>
    </row>
    <row r="4" spans="1:7" ht="31.5" customHeight="1" x14ac:dyDescent="0.2">
      <c r="A4" s="132" t="s">
        <v>61</v>
      </c>
      <c r="B4" s="133" t="s">
        <v>16</v>
      </c>
      <c r="C4" s="133" t="s">
        <v>17</v>
      </c>
      <c r="D4" s="133" t="s">
        <v>18</v>
      </c>
      <c r="E4" s="133" t="s">
        <v>19</v>
      </c>
      <c r="F4" s="133" t="s">
        <v>62</v>
      </c>
      <c r="G4" s="134" t="s">
        <v>63</v>
      </c>
    </row>
    <row r="5" spans="1:7" ht="28.75" customHeight="1" x14ac:dyDescent="0.2">
      <c r="A5" s="135" t="s">
        <v>64</v>
      </c>
      <c r="B5" s="136">
        <v>0</v>
      </c>
      <c r="C5" s="136">
        <v>6</v>
      </c>
      <c r="D5" s="136">
        <v>0</v>
      </c>
      <c r="E5" s="136">
        <v>0</v>
      </c>
      <c r="F5" s="137" cm="1">
        <f t="array" ref="F5">INDEX($B5:$E5,1,$B$3)</f>
        <v>0</v>
      </c>
      <c r="G5" s="138" t="s">
        <v>65</v>
      </c>
    </row>
    <row r="6" spans="1:7" ht="28.75" customHeight="1" x14ac:dyDescent="0.2">
      <c r="A6" s="135" t="s">
        <v>66</v>
      </c>
      <c r="B6" s="136">
        <v>6</v>
      </c>
      <c r="C6" s="136">
        <v>12</v>
      </c>
      <c r="D6" s="136">
        <v>6</v>
      </c>
      <c r="E6" s="136">
        <v>6</v>
      </c>
      <c r="F6" s="137" cm="1">
        <f t="array" ref="F6">INDEX($B6:$E6,1,$B$3)</f>
        <v>6</v>
      </c>
      <c r="G6" s="138" t="s">
        <v>67</v>
      </c>
    </row>
    <row r="7" spans="1:7" ht="17.25" customHeight="1" x14ac:dyDescent="0.2">
      <c r="A7" s="135" t="s">
        <v>68</v>
      </c>
      <c r="B7" s="136">
        <v>24</v>
      </c>
      <c r="C7" s="136">
        <v>30</v>
      </c>
      <c r="D7" s="136">
        <v>24</v>
      </c>
      <c r="E7" s="136">
        <v>24</v>
      </c>
      <c r="F7" s="137" cm="1">
        <f t="array" ref="F7">INDEX($B7:$E7,1,$B$3)</f>
        <v>24</v>
      </c>
      <c r="G7" s="138" t="s">
        <v>69</v>
      </c>
    </row>
    <row r="8" spans="1:7" ht="17.25" customHeight="1" x14ac:dyDescent="0.2">
      <c r="A8" s="135" t="s">
        <v>70</v>
      </c>
      <c r="B8" s="139">
        <v>0</v>
      </c>
      <c r="C8" s="139">
        <v>0</v>
      </c>
      <c r="D8" s="139">
        <v>0.15</v>
      </c>
      <c r="E8" s="139">
        <v>0.05</v>
      </c>
      <c r="F8" s="140" cm="1">
        <f t="array" ref="F8">INDEX($B8:$E8,1,$B$3)</f>
        <v>0</v>
      </c>
      <c r="G8" s="138" t="s">
        <v>71</v>
      </c>
    </row>
    <row r="9" spans="1:7" ht="17.25" customHeight="1" x14ac:dyDescent="0.2">
      <c r="A9" s="135" t="s">
        <v>72</v>
      </c>
      <c r="B9" s="139">
        <v>0.6</v>
      </c>
      <c r="C9" s="139">
        <v>0.4</v>
      </c>
      <c r="D9" s="139">
        <v>0.4</v>
      </c>
      <c r="E9" s="139">
        <v>0.6</v>
      </c>
      <c r="F9" s="140" cm="1">
        <f t="array" ref="F9">INDEX($B9:$E9,1,$B$3)</f>
        <v>0.6</v>
      </c>
      <c r="G9" s="138" t="s">
        <v>73</v>
      </c>
    </row>
    <row r="10" spans="1:7" ht="17.25" customHeight="1" x14ac:dyDescent="0.2">
      <c r="A10" s="135" t="s">
        <v>74</v>
      </c>
      <c r="B10" s="139">
        <v>0</v>
      </c>
      <c r="C10" s="139">
        <v>0</v>
      </c>
      <c r="D10" s="139">
        <v>0</v>
      </c>
      <c r="E10" s="139">
        <v>-0.15</v>
      </c>
      <c r="F10" s="140" cm="1">
        <f t="array" ref="F10">INDEX($B10:$E10,1,$B$3)</f>
        <v>0</v>
      </c>
      <c r="G10" s="138" t="s">
        <v>75</v>
      </c>
    </row>
    <row r="11" spans="1:7" ht="28.75" customHeight="1" x14ac:dyDescent="0.2">
      <c r="A11" s="135" t="s">
        <v>76</v>
      </c>
      <c r="B11" s="139">
        <v>0.1</v>
      </c>
      <c r="C11" s="139">
        <v>0.1</v>
      </c>
      <c r="D11" s="139">
        <v>0.1</v>
      </c>
      <c r="E11" s="139">
        <v>0.1</v>
      </c>
      <c r="F11" s="140" cm="1">
        <f t="array" ref="F11">INDEX($B11:$E11,1,$B$3)</f>
        <v>0.1</v>
      </c>
      <c r="G11" s="138" t="s">
        <v>77</v>
      </c>
    </row>
    <row r="12" spans="1:7" ht="17.25" customHeight="1" x14ac:dyDescent="0.2">
      <c r="A12" s="135" t="s">
        <v>78</v>
      </c>
      <c r="B12" s="139">
        <v>0.3</v>
      </c>
      <c r="C12" s="139">
        <v>0.3</v>
      </c>
      <c r="D12" s="139">
        <v>0.3</v>
      </c>
      <c r="E12" s="139">
        <v>0.3</v>
      </c>
      <c r="F12" s="140" cm="1">
        <f t="array" ref="F12">INDEX($B12:$E12,1,$B$3)</f>
        <v>0.3</v>
      </c>
      <c r="G12" s="138" t="s">
        <v>79</v>
      </c>
    </row>
    <row r="13" spans="1:7" ht="17.25" customHeight="1" x14ac:dyDescent="0.2">
      <c r="A13" s="135" t="s">
        <v>80</v>
      </c>
      <c r="B13" s="139">
        <v>0.05</v>
      </c>
      <c r="C13" s="139">
        <v>0.05</v>
      </c>
      <c r="D13" s="139">
        <v>0.05</v>
      </c>
      <c r="E13" s="139">
        <v>0.05</v>
      </c>
      <c r="F13" s="140" cm="1">
        <f t="array" ref="F13">INDEX($B13:$E13,1,$B$3)</f>
        <v>0.05</v>
      </c>
      <c r="G13" s="138" t="s">
        <v>81</v>
      </c>
    </row>
    <row r="14" spans="1:7" ht="28.75" customHeight="1" x14ac:dyDescent="0.2">
      <c r="A14" s="141" t="s">
        <v>82</v>
      </c>
      <c r="B14" s="142">
        <v>8</v>
      </c>
      <c r="C14" s="142">
        <v>6</v>
      </c>
      <c r="D14" s="142">
        <v>8</v>
      </c>
      <c r="E14" s="142">
        <v>8</v>
      </c>
      <c r="F14" s="143" cm="1">
        <f t="array" ref="F14">INDEX($B14:$E14,1,$B$3)</f>
        <v>8</v>
      </c>
      <c r="G14" s="144" t="s">
        <v>83</v>
      </c>
    </row>
    <row r="15" spans="1:7" ht="44.5" customHeight="1" x14ac:dyDescent="0.2">
      <c r="A15" s="98" t="s">
        <v>707</v>
      </c>
      <c r="B15" s="210">
        <v>0.55000000000000004</v>
      </c>
      <c r="C15" s="211">
        <v>0.55000000000000004</v>
      </c>
      <c r="D15" s="211">
        <v>0.55000000000000004</v>
      </c>
      <c r="E15" s="211">
        <v>0.55000000000000004</v>
      </c>
      <c r="F15" s="213" cm="1">
        <f t="array" ref="F15">INDEX($B15:$E15,1,$B$3)</f>
        <v>0.55000000000000004</v>
      </c>
      <c r="G15" s="247" t="s">
        <v>708</v>
      </c>
    </row>
    <row r="16" spans="1:7" ht="31.5" customHeight="1" x14ac:dyDescent="0.2">
      <c r="A16" s="214" t="s">
        <v>709</v>
      </c>
      <c r="B16" s="215">
        <v>4.2000000000000003E-2</v>
      </c>
      <c r="C16" s="216">
        <v>4.2000000000000003E-2</v>
      </c>
      <c r="D16" s="216">
        <v>4.2000000000000003E-2</v>
      </c>
      <c r="E16" s="216">
        <v>4.2000000000000003E-2</v>
      </c>
      <c r="F16" s="217" cm="1">
        <f t="array" ref="F16">INDEX($B16:$E16,1,$B$3)</f>
        <v>4.2000000000000003E-2</v>
      </c>
      <c r="G16" s="218" t="s">
        <v>710</v>
      </c>
    </row>
    <row r="17" spans="1:7" ht="18.25" customHeight="1" x14ac:dyDescent="0.2">
      <c r="A17" s="214" t="s">
        <v>711</v>
      </c>
      <c r="B17" s="219">
        <v>2.3800000000000002E-2</v>
      </c>
      <c r="C17" s="220">
        <v>2.3800000000000002E-2</v>
      </c>
      <c r="D17" s="220">
        <v>2.3800000000000002E-2</v>
      </c>
      <c r="E17" s="220">
        <v>2.3800000000000002E-2</v>
      </c>
      <c r="F17" s="221" cm="1">
        <f t="array" ref="F17">INDEX($B17:$E17,1,$B$3)</f>
        <v>2.3800000000000002E-2</v>
      </c>
      <c r="G17" s="218" t="s">
        <v>712</v>
      </c>
    </row>
    <row r="18" spans="1:7" ht="31.5" customHeight="1" x14ac:dyDescent="0.2">
      <c r="A18" s="214" t="s">
        <v>713</v>
      </c>
      <c r="B18" s="209" t="s">
        <v>714</v>
      </c>
      <c r="C18" s="63" t="s">
        <v>714</v>
      </c>
      <c r="D18" s="63" t="s">
        <v>714</v>
      </c>
      <c r="E18" s="63" t="s">
        <v>714</v>
      </c>
      <c r="F18" s="212" t="str" cm="1">
        <f t="array" ref="F18">INDEX($B18:$E18,1,$B$3)</f>
        <v>No</v>
      </c>
      <c r="G18" s="248" t="s">
        <v>715</v>
      </c>
    </row>
    <row r="19" spans="1:7" ht="31.5" customHeight="1" x14ac:dyDescent="0.2">
      <c r="A19" s="214" t="s">
        <v>716</v>
      </c>
      <c r="B19" s="219">
        <v>0.02</v>
      </c>
      <c r="C19" s="220">
        <v>0.03</v>
      </c>
      <c r="D19" s="220">
        <v>0.04</v>
      </c>
      <c r="E19" s="220">
        <v>0.03</v>
      </c>
      <c r="F19" s="221" cm="1">
        <f t="array" ref="F19">INDEX($B19:$E19,1,$B$3)</f>
        <v>0.02</v>
      </c>
      <c r="G19" s="41" t="s">
        <v>717</v>
      </c>
    </row>
    <row r="20" spans="1:7" x14ac:dyDescent="0.2">
      <c r="A20" s="2"/>
      <c r="B20" s="2"/>
      <c r="C20" s="2"/>
      <c r="D20" s="2"/>
      <c r="E20" s="2"/>
      <c r="F20" s="2"/>
      <c r="G20" s="2"/>
    </row>
    <row r="21" spans="1:7" ht="17.25" customHeight="1" x14ac:dyDescent="0.2">
      <c r="A21" s="8" t="s">
        <v>84</v>
      </c>
      <c r="B21" s="2"/>
      <c r="C21" s="2"/>
      <c r="D21" s="2"/>
      <c r="E21" s="2"/>
      <c r="F21" s="2"/>
      <c r="G21" s="2"/>
    </row>
    <row r="22" spans="1:7" ht="40.75" customHeight="1" x14ac:dyDescent="0.2">
      <c r="A22" s="1" t="s">
        <v>85</v>
      </c>
      <c r="B22" s="1"/>
      <c r="C22" s="1"/>
      <c r="D22" s="1"/>
      <c r="E22" s="1"/>
      <c r="F22" s="1"/>
      <c r="G22" s="1"/>
    </row>
  </sheetData>
  <mergeCells count="3">
    <mergeCell ref="A22:G22"/>
    <mergeCell ref="A1:G1"/>
    <mergeCell ref="A2:G2"/>
  </mergeCells>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C8A"/>
    <pageSetUpPr fitToPage="1"/>
  </sheetPr>
  <dimension ref="A1:CA44"/>
  <sheetViews>
    <sheetView showGridLines="0" zoomScaleNormal="100" workbookViewId="0">
      <pane xSplit="2" ySplit="7" topLeftCell="O8" activePane="bottomRight" state="frozen"/>
      <selection pane="topRight" activeCell="C1" sqref="C1"/>
      <selection pane="bottomLeft" activeCell="A8" sqref="A8"/>
      <selection pane="bottomRight" activeCell="A5" sqref="A5:I5"/>
    </sheetView>
  </sheetViews>
  <sheetFormatPr baseColWidth="10" defaultColWidth="8.6640625" defaultRowHeight="15" outlineLevelCol="1" x14ac:dyDescent="0.2"/>
  <cols>
    <col min="1" max="1" width="10" customWidth="1"/>
    <col min="2" max="2" width="34" customWidth="1"/>
    <col min="3" max="4" width="11" customWidth="1"/>
    <col min="5" max="5" width="8" customWidth="1"/>
    <col min="6" max="6" width="9" customWidth="1"/>
    <col min="7" max="7" width="13" customWidth="1"/>
    <col min="8" max="8" width="10" customWidth="1"/>
    <col min="9" max="9" width="13" customWidth="1"/>
    <col min="10" max="10" width="12" customWidth="1"/>
    <col min="11" max="11" width="9" customWidth="1"/>
    <col min="12" max="12" width="8" customWidth="1"/>
    <col min="13" max="13" width="13" customWidth="1"/>
    <col min="14" max="15" width="9" customWidth="1"/>
    <col min="16" max="21" width="13" customWidth="1"/>
    <col min="22" max="49" width="8" customWidth="1"/>
    <col min="51" max="78" width="8" customWidth="1" outlineLevel="1"/>
  </cols>
  <sheetData>
    <row r="1" spans="1:79" ht="27.5" customHeight="1" x14ac:dyDescent="0.2">
      <c r="A1" s="339" t="s">
        <v>86</v>
      </c>
      <c r="B1" s="339"/>
      <c r="C1" s="339"/>
      <c r="D1" s="339"/>
      <c r="E1" s="339"/>
      <c r="F1" s="339"/>
      <c r="G1" s="339"/>
      <c r="H1" s="339"/>
      <c r="I1" s="339"/>
      <c r="J1" s="339"/>
      <c r="K1" s="339"/>
      <c r="L1" s="339"/>
      <c r="M1" s="339"/>
      <c r="N1" s="339"/>
      <c r="O1" s="339"/>
      <c r="P1" s="339"/>
      <c r="Q1" s="339"/>
      <c r="R1" s="339"/>
      <c r="S1" s="339"/>
      <c r="T1" s="339"/>
      <c r="U1" s="339"/>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row>
    <row r="2" spans="1:79" ht="19" customHeight="1" x14ac:dyDescent="0.2">
      <c r="A2" s="340" t="s">
        <v>87</v>
      </c>
      <c r="B2" s="340"/>
      <c r="C2" s="340"/>
      <c r="D2" s="340"/>
      <c r="E2" s="340"/>
      <c r="F2" s="340"/>
      <c r="G2" s="340"/>
      <c r="H2" s="340"/>
      <c r="I2" s="340"/>
      <c r="J2" s="340"/>
      <c r="K2" s="340"/>
      <c r="L2" s="340"/>
      <c r="M2" s="340"/>
      <c r="N2" s="340"/>
      <c r="O2" s="340"/>
      <c r="P2" s="340"/>
      <c r="Q2" s="340"/>
      <c r="R2" s="340"/>
      <c r="S2" s="340"/>
      <c r="T2" s="340"/>
      <c r="U2" s="340"/>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row>
    <row r="3" spans="1:79" ht="17.25" customHeight="1" x14ac:dyDescent="0.2">
      <c r="A3" s="2" t="s">
        <v>2</v>
      </c>
      <c r="B3" s="2"/>
      <c r="C3" s="24">
        <v>46275</v>
      </c>
      <c r="D3" s="2"/>
      <c r="E3" s="1" t="s">
        <v>88</v>
      </c>
      <c r="F3" s="1"/>
      <c r="G3" s="1"/>
      <c r="H3" s="1"/>
      <c r="I3" s="1"/>
      <c r="J3" s="1"/>
      <c r="K3" s="1"/>
      <c r="L3" s="1"/>
      <c r="M3" s="1"/>
      <c r="N3" s="1"/>
      <c r="O3" s="1"/>
      <c r="P3" s="1"/>
      <c r="Q3" s="1"/>
      <c r="R3" s="1"/>
      <c r="S3" s="1"/>
      <c r="T3" s="1"/>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row>
    <row r="4" spans="1:79" ht="17.25" customHeight="1" x14ac:dyDescent="0.2">
      <c r="A4" s="2" t="s">
        <v>3</v>
      </c>
      <c r="B4" s="2"/>
      <c r="C4" s="5" t="str">
        <f>Scenarios!$C$3</f>
        <v>Base</v>
      </c>
      <c r="D4" s="2"/>
      <c r="E4" s="1"/>
      <c r="F4" s="1"/>
      <c r="G4" s="1"/>
      <c r="H4" s="1"/>
      <c r="I4" s="1"/>
      <c r="J4" s="1"/>
      <c r="K4" s="1"/>
      <c r="L4" s="1"/>
      <c r="M4" s="1"/>
      <c r="N4" s="1"/>
      <c r="O4" s="1"/>
      <c r="P4" s="1"/>
      <c r="Q4" s="1"/>
      <c r="R4" s="1"/>
      <c r="S4" s="1"/>
      <c r="T4" s="1"/>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row>
    <row r="5" spans="1:79" ht="17.25" customHeight="1" x14ac:dyDescent="0.2">
      <c r="A5" s="2"/>
      <c r="B5" s="2"/>
      <c r="C5" s="2"/>
      <c r="D5" s="2"/>
      <c r="E5" s="2"/>
      <c r="F5" s="2"/>
      <c r="G5" s="2"/>
      <c r="H5" s="2"/>
      <c r="I5" s="2"/>
      <c r="J5" s="2"/>
      <c r="K5" s="2"/>
      <c r="L5" s="2"/>
      <c r="M5" s="2"/>
      <c r="N5" s="2"/>
      <c r="O5" s="2"/>
      <c r="P5" s="2"/>
      <c r="Q5" s="2"/>
      <c r="R5" s="2"/>
      <c r="S5" s="2"/>
      <c r="T5" s="2"/>
      <c r="U5" s="2"/>
      <c r="V5" s="8" t="s">
        <v>89</v>
      </c>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8" t="s">
        <v>90</v>
      </c>
      <c r="AZ5" s="2"/>
      <c r="BA5" s="2"/>
      <c r="BB5" s="2"/>
      <c r="BC5" s="2"/>
      <c r="BD5" s="2"/>
      <c r="BE5" s="2"/>
      <c r="BF5" s="8" t="s">
        <v>91</v>
      </c>
      <c r="BG5" s="2"/>
      <c r="BH5" s="2"/>
      <c r="BI5" s="2"/>
      <c r="BJ5" s="2"/>
      <c r="BK5" s="2"/>
      <c r="BL5" s="2"/>
      <c r="BM5" s="8" t="s">
        <v>92</v>
      </c>
      <c r="BN5" s="2"/>
      <c r="BO5" s="2"/>
      <c r="BP5" s="2"/>
      <c r="BQ5" s="2"/>
      <c r="BR5" s="2"/>
      <c r="BS5" s="2"/>
      <c r="BT5" s="8" t="s">
        <v>93</v>
      </c>
      <c r="BU5" s="2"/>
      <c r="BV5" s="2"/>
      <c r="BW5" s="2"/>
      <c r="BX5" s="2"/>
      <c r="BY5" s="2"/>
      <c r="BZ5" s="2"/>
      <c r="CA5" s="2"/>
    </row>
    <row r="6" spans="1:79" x14ac:dyDescent="0.2">
      <c r="A6" s="2"/>
      <c r="B6" s="2"/>
      <c r="C6" s="2"/>
      <c r="D6" s="2"/>
      <c r="E6" s="2"/>
      <c r="F6" s="2"/>
      <c r="G6" s="2"/>
      <c r="H6" s="2"/>
      <c r="I6" s="2"/>
      <c r="J6" s="2"/>
      <c r="K6" s="2"/>
      <c r="L6" s="2"/>
      <c r="M6" s="2"/>
      <c r="N6" s="2"/>
      <c r="O6" s="2"/>
      <c r="P6" s="2"/>
      <c r="Q6" s="2"/>
      <c r="R6" s="2"/>
      <c r="S6" s="2"/>
      <c r="T6" s="2"/>
      <c r="U6" s="2"/>
      <c r="V6" s="360">
        <v>1</v>
      </c>
      <c r="W6" s="361">
        <v>2</v>
      </c>
      <c r="X6" s="361">
        <v>3</v>
      </c>
      <c r="Y6" s="361">
        <v>4</v>
      </c>
      <c r="Z6" s="361">
        <v>5</v>
      </c>
      <c r="AA6" s="361">
        <v>6</v>
      </c>
      <c r="AB6" s="361">
        <v>7</v>
      </c>
      <c r="AC6" s="361">
        <v>8</v>
      </c>
      <c r="AD6" s="361">
        <v>9</v>
      </c>
      <c r="AE6" s="361">
        <v>10</v>
      </c>
      <c r="AF6" s="361">
        <v>11</v>
      </c>
      <c r="AG6" s="361">
        <v>12</v>
      </c>
      <c r="AH6" s="361">
        <v>13</v>
      </c>
      <c r="AI6" s="361">
        <v>14</v>
      </c>
      <c r="AJ6" s="361">
        <v>15</v>
      </c>
      <c r="AK6" s="361">
        <v>16</v>
      </c>
      <c r="AL6" s="361">
        <v>17</v>
      </c>
      <c r="AM6" s="361">
        <v>18</v>
      </c>
      <c r="AN6" s="361">
        <v>19</v>
      </c>
      <c r="AO6" s="361">
        <v>20</v>
      </c>
      <c r="AP6" s="361">
        <v>21</v>
      </c>
      <c r="AQ6" s="361">
        <v>22</v>
      </c>
      <c r="AR6" s="361">
        <v>23</v>
      </c>
      <c r="AS6" s="361">
        <v>24</v>
      </c>
      <c r="AT6" s="361">
        <v>25</v>
      </c>
      <c r="AU6" s="361">
        <v>26</v>
      </c>
      <c r="AV6" s="361">
        <v>27</v>
      </c>
      <c r="AW6" s="362">
        <v>28</v>
      </c>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row>
    <row r="7" spans="1:79" ht="57.75" customHeight="1" x14ac:dyDescent="0.2">
      <c r="A7" s="132" t="s">
        <v>94</v>
      </c>
      <c r="B7" s="133" t="s">
        <v>30</v>
      </c>
      <c r="C7" s="133" t="s">
        <v>31</v>
      </c>
      <c r="D7" s="133" t="s">
        <v>95</v>
      </c>
      <c r="E7" s="133" t="s">
        <v>96</v>
      </c>
      <c r="F7" s="133" t="s">
        <v>97</v>
      </c>
      <c r="G7" s="133" t="s">
        <v>98</v>
      </c>
      <c r="H7" s="133" t="s">
        <v>32</v>
      </c>
      <c r="I7" s="133" t="s">
        <v>33</v>
      </c>
      <c r="J7" s="133" t="s">
        <v>99</v>
      </c>
      <c r="K7" s="133" t="s">
        <v>100</v>
      </c>
      <c r="L7" s="133" t="s">
        <v>35</v>
      </c>
      <c r="M7" s="133" t="s">
        <v>34</v>
      </c>
      <c r="N7" s="133" t="s">
        <v>101</v>
      </c>
      <c r="O7" s="133" t="s">
        <v>102</v>
      </c>
      <c r="P7" s="133" t="s">
        <v>103</v>
      </c>
      <c r="Q7" s="133" t="s">
        <v>104</v>
      </c>
      <c r="R7" s="133" t="s">
        <v>105</v>
      </c>
      <c r="S7" s="133" t="s">
        <v>106</v>
      </c>
      <c r="T7" s="133" t="s">
        <v>107</v>
      </c>
      <c r="U7" s="134" t="s">
        <v>108</v>
      </c>
      <c r="V7" s="198">
        <v>46296</v>
      </c>
      <c r="W7" s="199">
        <v>46327</v>
      </c>
      <c r="X7" s="199">
        <v>46357</v>
      </c>
      <c r="Y7" s="199">
        <v>46388</v>
      </c>
      <c r="Z7" s="199">
        <v>46419</v>
      </c>
      <c r="AA7" s="199">
        <v>46447</v>
      </c>
      <c r="AB7" s="199">
        <v>46478</v>
      </c>
      <c r="AC7" s="199">
        <v>46508</v>
      </c>
      <c r="AD7" s="199">
        <v>46539</v>
      </c>
      <c r="AE7" s="199">
        <v>46569</v>
      </c>
      <c r="AF7" s="199">
        <v>46600</v>
      </c>
      <c r="AG7" s="199">
        <v>46631</v>
      </c>
      <c r="AH7" s="199">
        <v>46661</v>
      </c>
      <c r="AI7" s="199">
        <v>46692</v>
      </c>
      <c r="AJ7" s="199">
        <v>46722</v>
      </c>
      <c r="AK7" s="199">
        <v>46753</v>
      </c>
      <c r="AL7" s="199">
        <v>46784</v>
      </c>
      <c r="AM7" s="199">
        <v>46813</v>
      </c>
      <c r="AN7" s="199">
        <v>46844</v>
      </c>
      <c r="AO7" s="199">
        <v>46874</v>
      </c>
      <c r="AP7" s="199">
        <v>46905</v>
      </c>
      <c r="AQ7" s="199">
        <v>46935</v>
      </c>
      <c r="AR7" s="199">
        <v>46966</v>
      </c>
      <c r="AS7" s="199">
        <v>46997</v>
      </c>
      <c r="AT7" s="199">
        <v>47027</v>
      </c>
      <c r="AU7" s="199">
        <v>47058</v>
      </c>
      <c r="AV7" s="199">
        <v>47088</v>
      </c>
      <c r="AW7" s="200">
        <v>47119</v>
      </c>
      <c r="AX7" s="2"/>
      <c r="AY7" s="132" t="s">
        <v>109</v>
      </c>
      <c r="AZ7" s="133" t="s">
        <v>110</v>
      </c>
      <c r="BA7" s="133" t="s">
        <v>111</v>
      </c>
      <c r="BB7" s="133" t="s">
        <v>112</v>
      </c>
      <c r="BC7" s="133" t="s">
        <v>113</v>
      </c>
      <c r="BD7" s="133" t="s">
        <v>114</v>
      </c>
      <c r="BE7" s="133" t="s">
        <v>115</v>
      </c>
      <c r="BF7" s="133" t="s">
        <v>109</v>
      </c>
      <c r="BG7" s="133" t="s">
        <v>110</v>
      </c>
      <c r="BH7" s="133" t="s">
        <v>111</v>
      </c>
      <c r="BI7" s="133" t="s">
        <v>112</v>
      </c>
      <c r="BJ7" s="133" t="s">
        <v>113</v>
      </c>
      <c r="BK7" s="133" t="s">
        <v>114</v>
      </c>
      <c r="BL7" s="133" t="s">
        <v>115</v>
      </c>
      <c r="BM7" s="133" t="s">
        <v>109</v>
      </c>
      <c r="BN7" s="133" t="s">
        <v>110</v>
      </c>
      <c r="BO7" s="133" t="s">
        <v>111</v>
      </c>
      <c r="BP7" s="133" t="s">
        <v>112</v>
      </c>
      <c r="BQ7" s="133" t="s">
        <v>113</v>
      </c>
      <c r="BR7" s="133" t="s">
        <v>114</v>
      </c>
      <c r="BS7" s="133" t="s">
        <v>115</v>
      </c>
      <c r="BT7" s="133" t="s">
        <v>109</v>
      </c>
      <c r="BU7" s="133" t="s">
        <v>110</v>
      </c>
      <c r="BV7" s="133" t="s">
        <v>111</v>
      </c>
      <c r="BW7" s="133" t="s">
        <v>112</v>
      </c>
      <c r="BX7" s="133" t="s">
        <v>113</v>
      </c>
      <c r="BY7" s="133" t="s">
        <v>114</v>
      </c>
      <c r="BZ7" s="133" t="s">
        <v>115</v>
      </c>
      <c r="CA7" s="197" t="s">
        <v>116</v>
      </c>
    </row>
    <row r="8" spans="1:79" ht="17.25" customHeight="1" x14ac:dyDescent="0.2">
      <c r="A8" s="135" t="s">
        <v>117</v>
      </c>
      <c r="B8" s="145" t="s">
        <v>118</v>
      </c>
      <c r="C8" s="145" t="s">
        <v>62</v>
      </c>
      <c r="D8" s="147">
        <v>46188</v>
      </c>
      <c r="E8" s="136">
        <v>275</v>
      </c>
      <c r="F8" s="136">
        <v>253</v>
      </c>
      <c r="G8" s="136">
        <v>1000431</v>
      </c>
      <c r="H8" s="191">
        <v>37.729999999999997</v>
      </c>
      <c r="I8" s="150">
        <v>46022</v>
      </c>
      <c r="J8" s="146">
        <f t="shared" ref="J8:J39" si="0">F8*G8/1000000</f>
        <v>253.10904300000001</v>
      </c>
      <c r="K8" s="146">
        <f t="shared" ref="K8:K39" si="1">MAX(0,E8-F8)</f>
        <v>22</v>
      </c>
      <c r="L8" s="192">
        <f t="shared" ref="L8:L39" si="2">IF(E8&gt;0,F8/E8,0)</f>
        <v>0.92</v>
      </c>
      <c r="M8" s="147">
        <f>IF(I8="",EDATE($C$3,Scenarios!$F$7),IF(I8&lt;$C$3,EDATE($C$3,Scenarios!$F$6),EDATE(I8,Scenarios!$F$5)))</f>
        <v>46456</v>
      </c>
      <c r="N8" s="146">
        <f t="shared" ref="N8:N39" si="3">MAX(1,(YEAR(M8)-YEAR($C$3))*12+MONTH(M8)-MONTH($C$3))</f>
        <v>6</v>
      </c>
      <c r="O8" s="178">
        <f>MIN(Scenarios!$F$14,(100-H8)/N8)</f>
        <v>8</v>
      </c>
      <c r="P8" s="146">
        <f>J8*(1-Scenarios!$F$8)+K8*G8/1000000*Scenarios!$F$9*(1+Scenarios!$F$10)</f>
        <v>266.31473220000004</v>
      </c>
      <c r="Q8" s="146">
        <f>J8*(IF(H8&gt;=100,1,Scenarios!$F$11+(1-Scenarios!$F$11-Scenarios!$F$12)*H8/100)*MIN(1,H8/100))*(1-Scenarios!$F$13)</f>
        <v>29.610218376966355</v>
      </c>
      <c r="R8" s="146">
        <f t="shared" ref="R8:R39" si="4">Z8</f>
        <v>81.771874456369588</v>
      </c>
      <c r="S8" s="146">
        <f t="shared" ref="S8:S39" si="5">AJ8</f>
        <v>223.38877721303368</v>
      </c>
      <c r="T8" s="146">
        <f t="shared" ref="T8:T39" si="6">AV8</f>
        <v>223.38877721303368</v>
      </c>
      <c r="U8" s="193">
        <f>J8*IF(H8&gt;=100,1,Scenarios!$F$11+(1-Scenarios!$F$11-Scenarios!$F$12)*H8/100)</f>
        <v>82.609729454340012</v>
      </c>
      <c r="V8" s="201">
        <f>MAX(0,$P8*(IF(MIN(100,$H8+$O8*V$6)&gt;=100,1,Scenarios!$F$11+(1-Scenarios!$F$11-Scenarios!$F$12)*MIN(100,$H8+$O8*V$6)/100)*MIN(1,MIN(100,$H8+$O8*V$6)/100))*(1-Scenarios!$F$13)-$Q8)</f>
        <v>13.70421508605013</v>
      </c>
      <c r="W8" s="146">
        <f>MAX(0,$P8*(IF(MIN(100,$H8+$O8*W$6)&gt;=100,1,Scenarios!$F$11+(1-Scenarios!$F$11-Scenarios!$F$12)*MIN(100,$H8+$O8*W$6)/100)*MIN(1,MIN(100,$H8+$O8*W$6)/100))*(1-Scenarios!$F$13)-$Q8)</f>
        <v>27.806581499433189</v>
      </c>
      <c r="X8" s="146">
        <f>MAX(0,$P8*(IF(MIN(100,$H8+$O8*X$6)&gt;=100,1,Scenarios!$F$11+(1-Scenarios!$F$11-Scenarios!$F$12)*MIN(100,$H8+$O8*X$6)/100)*MIN(1,MIN(100,$H8+$O8*X$6)/100))*(1-Scenarios!$F$13)-$Q8)</f>
        <v>43.851980198947473</v>
      </c>
      <c r="Y8" s="146">
        <f>MAX(0,$P8*(IF(MIN(100,$H8+$O8*Y$6)&gt;=100,1,Scenarios!$F$11+(1-Scenarios!$F$11-Scenarios!$F$12)*MIN(100,$H8+$O8*Y$6)/100)*MIN(1,MIN(100,$H8+$O8*Y$6)/100))*(1-Scenarios!$F$13)-$Q8)</f>
        <v>61.840411184592938</v>
      </c>
      <c r="Z8" s="146">
        <f>MAX(0,$P8*(IF(MIN(100,$H8+$O8*Z$6)&gt;=100,1,Scenarios!$F$11+(1-Scenarios!$F$11-Scenarios!$F$12)*MIN(100,$H8+$O8*Z$6)/100)*MIN(1,MIN(100,$H8+$O8*Z$6)/100))*(1-Scenarios!$F$13)-$Q8)</f>
        <v>81.771874456369588</v>
      </c>
      <c r="AA8" s="146">
        <f>MAX(0,$P8*(IF(MIN(100,$H8+$O8*AA$6)&gt;=100,1,Scenarios!$F$11+(1-Scenarios!$F$11-Scenarios!$F$12)*MIN(100,$H8+$O8*AA$6)/100)*MIN(1,MIN(100,$H8+$O8*AA$6)/100))*(1-Scenarios!$F$13)-$Q8)</f>
        <v>103.64637001427751</v>
      </c>
      <c r="AB8" s="146">
        <f>MAX(0,$P8*(IF(MIN(100,$H8+$O8*AB$6)&gt;=100,1,Scenarios!$F$11+(1-Scenarios!$F$11-Scenarios!$F$12)*MIN(100,$H8+$O8*AB$6)/100)*MIN(1,MIN(100,$H8+$O8*AB$6)/100))*(1-Scenarios!$F$13)-$Q8)</f>
        <v>127.46389785831657</v>
      </c>
      <c r="AC8" s="146">
        <f>MAX(0,$P8*(IF(MIN(100,$H8+$O8*AC$6)&gt;=100,1,Scenarios!$F$11+(1-Scenarios!$F$11-Scenarios!$F$12)*MIN(100,$H8+$O8*AC$6)/100)*MIN(1,MIN(100,$H8+$O8*AC$6)/100))*(1-Scenarios!$F$13)-$Q8)</f>
        <v>223.38877721303368</v>
      </c>
      <c r="AD8" s="146">
        <f>MAX(0,$P8*(IF(MIN(100,$H8+$O8*AD$6)&gt;=100,1,Scenarios!$F$11+(1-Scenarios!$F$11-Scenarios!$F$12)*MIN(100,$H8+$O8*AD$6)/100)*MIN(1,MIN(100,$H8+$O8*AD$6)/100))*(1-Scenarios!$F$13)-$Q8)</f>
        <v>223.38877721303368</v>
      </c>
      <c r="AE8" s="146">
        <f>MAX(0,$P8*(IF(MIN(100,$H8+$O8*AE$6)&gt;=100,1,Scenarios!$F$11+(1-Scenarios!$F$11-Scenarios!$F$12)*MIN(100,$H8+$O8*AE$6)/100)*MIN(1,MIN(100,$H8+$O8*AE$6)/100))*(1-Scenarios!$F$13)-$Q8)</f>
        <v>223.38877721303368</v>
      </c>
      <c r="AF8" s="146">
        <f>MAX(0,$P8*(IF(MIN(100,$H8+$O8*AF$6)&gt;=100,1,Scenarios!$F$11+(1-Scenarios!$F$11-Scenarios!$F$12)*MIN(100,$H8+$O8*AF$6)/100)*MIN(1,MIN(100,$H8+$O8*AF$6)/100))*(1-Scenarios!$F$13)-$Q8)</f>
        <v>223.38877721303368</v>
      </c>
      <c r="AG8" s="146">
        <f>MAX(0,$P8*(IF(MIN(100,$H8+$O8*AG$6)&gt;=100,1,Scenarios!$F$11+(1-Scenarios!$F$11-Scenarios!$F$12)*MIN(100,$H8+$O8*AG$6)/100)*MIN(1,MIN(100,$H8+$O8*AG$6)/100))*(1-Scenarios!$F$13)-$Q8)</f>
        <v>223.38877721303368</v>
      </c>
      <c r="AH8" s="146">
        <f>MAX(0,$P8*(IF(MIN(100,$H8+$O8*AH$6)&gt;=100,1,Scenarios!$F$11+(1-Scenarios!$F$11-Scenarios!$F$12)*MIN(100,$H8+$O8*AH$6)/100)*MIN(1,MIN(100,$H8+$O8*AH$6)/100))*(1-Scenarios!$F$13)-$Q8)</f>
        <v>223.38877721303368</v>
      </c>
      <c r="AI8" s="146">
        <f>MAX(0,$P8*(IF(MIN(100,$H8+$O8*AI$6)&gt;=100,1,Scenarios!$F$11+(1-Scenarios!$F$11-Scenarios!$F$12)*MIN(100,$H8+$O8*AI$6)/100)*MIN(1,MIN(100,$H8+$O8*AI$6)/100))*(1-Scenarios!$F$13)-$Q8)</f>
        <v>223.38877721303368</v>
      </c>
      <c r="AJ8" s="146">
        <f>MAX(0,$P8*(IF(MIN(100,$H8+$O8*AJ$6)&gt;=100,1,Scenarios!$F$11+(1-Scenarios!$F$11-Scenarios!$F$12)*MIN(100,$H8+$O8*AJ$6)/100)*MIN(1,MIN(100,$H8+$O8*AJ$6)/100))*(1-Scenarios!$F$13)-$Q8)</f>
        <v>223.38877721303368</v>
      </c>
      <c r="AK8" s="146">
        <f>MAX(0,$P8*(IF(MIN(100,$H8+$O8*AK$6)&gt;=100,1,Scenarios!$F$11+(1-Scenarios!$F$11-Scenarios!$F$12)*MIN(100,$H8+$O8*AK$6)/100)*MIN(1,MIN(100,$H8+$O8*AK$6)/100))*(1-Scenarios!$F$13)-$Q8)</f>
        <v>223.38877721303368</v>
      </c>
      <c r="AL8" s="146">
        <f>MAX(0,$P8*(IF(MIN(100,$H8+$O8*AL$6)&gt;=100,1,Scenarios!$F$11+(1-Scenarios!$F$11-Scenarios!$F$12)*MIN(100,$H8+$O8*AL$6)/100)*MIN(1,MIN(100,$H8+$O8*AL$6)/100))*(1-Scenarios!$F$13)-$Q8)</f>
        <v>223.38877721303368</v>
      </c>
      <c r="AM8" s="146">
        <f>MAX(0,$P8*(IF(MIN(100,$H8+$O8*AM$6)&gt;=100,1,Scenarios!$F$11+(1-Scenarios!$F$11-Scenarios!$F$12)*MIN(100,$H8+$O8*AM$6)/100)*MIN(1,MIN(100,$H8+$O8*AM$6)/100))*(1-Scenarios!$F$13)-$Q8)</f>
        <v>223.38877721303368</v>
      </c>
      <c r="AN8" s="146">
        <f>MAX(0,$P8*(IF(MIN(100,$H8+$O8*AN$6)&gt;=100,1,Scenarios!$F$11+(1-Scenarios!$F$11-Scenarios!$F$12)*MIN(100,$H8+$O8*AN$6)/100)*MIN(1,MIN(100,$H8+$O8*AN$6)/100))*(1-Scenarios!$F$13)-$Q8)</f>
        <v>223.38877721303368</v>
      </c>
      <c r="AO8" s="146">
        <f>MAX(0,$P8*(IF(MIN(100,$H8+$O8*AO$6)&gt;=100,1,Scenarios!$F$11+(1-Scenarios!$F$11-Scenarios!$F$12)*MIN(100,$H8+$O8*AO$6)/100)*MIN(1,MIN(100,$H8+$O8*AO$6)/100))*(1-Scenarios!$F$13)-$Q8)</f>
        <v>223.38877721303368</v>
      </c>
      <c r="AP8" s="146">
        <f>MAX(0,$P8*(IF(MIN(100,$H8+$O8*AP$6)&gt;=100,1,Scenarios!$F$11+(1-Scenarios!$F$11-Scenarios!$F$12)*MIN(100,$H8+$O8*AP$6)/100)*MIN(1,MIN(100,$H8+$O8*AP$6)/100))*(1-Scenarios!$F$13)-$Q8)</f>
        <v>223.38877721303368</v>
      </c>
      <c r="AQ8" s="146">
        <f>MAX(0,$P8*(IF(MIN(100,$H8+$O8*AQ$6)&gt;=100,1,Scenarios!$F$11+(1-Scenarios!$F$11-Scenarios!$F$12)*MIN(100,$H8+$O8*AQ$6)/100)*MIN(1,MIN(100,$H8+$O8*AQ$6)/100))*(1-Scenarios!$F$13)-$Q8)</f>
        <v>223.38877721303368</v>
      </c>
      <c r="AR8" s="146">
        <f>MAX(0,$P8*(IF(MIN(100,$H8+$O8*AR$6)&gt;=100,1,Scenarios!$F$11+(1-Scenarios!$F$11-Scenarios!$F$12)*MIN(100,$H8+$O8*AR$6)/100)*MIN(1,MIN(100,$H8+$O8*AR$6)/100))*(1-Scenarios!$F$13)-$Q8)</f>
        <v>223.38877721303368</v>
      </c>
      <c r="AS8" s="146">
        <f>MAX(0,$P8*(IF(MIN(100,$H8+$O8*AS$6)&gt;=100,1,Scenarios!$F$11+(1-Scenarios!$F$11-Scenarios!$F$12)*MIN(100,$H8+$O8*AS$6)/100)*MIN(1,MIN(100,$H8+$O8*AS$6)/100))*(1-Scenarios!$F$13)-$Q8)</f>
        <v>223.38877721303368</v>
      </c>
      <c r="AT8" s="146">
        <f>MAX(0,$P8*(IF(MIN(100,$H8+$O8*AT$6)&gt;=100,1,Scenarios!$F$11+(1-Scenarios!$F$11-Scenarios!$F$12)*MIN(100,$H8+$O8*AT$6)/100)*MIN(1,MIN(100,$H8+$O8*AT$6)/100))*(1-Scenarios!$F$13)-$Q8)</f>
        <v>223.38877721303368</v>
      </c>
      <c r="AU8" s="146">
        <f>MAX(0,$P8*(IF(MIN(100,$H8+$O8*AU$6)&gt;=100,1,Scenarios!$F$11+(1-Scenarios!$F$11-Scenarios!$F$12)*MIN(100,$H8+$O8*AU$6)/100)*MIN(1,MIN(100,$H8+$O8*AU$6)/100))*(1-Scenarios!$F$13)-$Q8)</f>
        <v>223.38877721303368</v>
      </c>
      <c r="AV8" s="146">
        <f>MAX(0,$P8*(IF(MIN(100,$H8+$O8*AV$6)&gt;=100,1,Scenarios!$F$11+(1-Scenarios!$F$11-Scenarios!$F$12)*MIN(100,$H8+$O8*AV$6)/100)*MIN(1,MIN(100,$H8+$O8*AV$6)/100))*(1-Scenarios!$F$13)-$Q8)</f>
        <v>223.38877721303368</v>
      </c>
      <c r="AW8" s="193">
        <f>MAX(0,$P8*(IF(MIN(100,$H8+$O8*AW$6)&gt;=100,1,Scenarios!$F$11+(1-Scenarios!$F$11-Scenarios!$F$12)*MIN(100,$H8+$O8*AW$6)/100)*MIN(1,MIN(100,$H8+$O8*AW$6)/100))*(1-Scenarios!$F$13)-$Q8)</f>
        <v>223.38877721303368</v>
      </c>
      <c r="AX8" s="2"/>
      <c r="AY8" s="201">
        <f>MAX(1,(YEAR(IF(I8="",EDATE($C$3,Scenarios!$B$7),IF(I8&lt;$C$3,EDATE($C$3,Scenarios!$B$6),EDATE(I8,Scenarios!$B$5))))-YEAR($C$3))*12+MONTH(IF(I8="",EDATE($C$3,Scenarios!$B$7),IF(I8&lt;$C$3,EDATE($C$3,Scenarios!$B$6),EDATE(I8,Scenarios!$B$5))))-MONTH($C$3))</f>
        <v>6</v>
      </c>
      <c r="AZ8" s="178">
        <f>MIN(Scenarios!$B$14,(100-H8)/AY8)</f>
        <v>8</v>
      </c>
      <c r="BA8" s="146">
        <f>J8*(1-Scenarios!$B$8)+K8*G8/1000000*Scenarios!$B$9*(1+Scenarios!$B$10)</f>
        <v>266.31473220000004</v>
      </c>
      <c r="BB8" s="146">
        <f>J8*(IF(H8&gt;=100,1,Scenarios!$B$11+(1-Scenarios!$B$11-Scenarios!$B$12)*H8/100)*MIN(1,H8/100))*(1-Scenarios!$B$13)</f>
        <v>29.610218376966355</v>
      </c>
      <c r="BC8" s="146">
        <f>MAX(0,BA8*(IF(MIN(100,$H8+AZ8*5)&gt;=100,1,Scenarios!$B$11+(1-Scenarios!$B$11-Scenarios!$B$12)*MIN(100,$H8+AZ8*5)/100)*MIN(1,MIN(100,$H8+AZ8*5)/100))*(1-Scenarios!$B$13)-BB8)</f>
        <v>81.771874456369588</v>
      </c>
      <c r="BD8" s="146">
        <f>MAX(0,BA8*(IF(MIN(100,$H8+AZ8*15)&gt;=100,1,Scenarios!$B$11+(1-Scenarios!$B$11-Scenarios!$B$12)*MIN(100,$H8+AZ8*15)/100)*MIN(1,MIN(100,$H8+AZ8*15)/100))*(1-Scenarios!$B$13)-BB8)</f>
        <v>223.38877721303368</v>
      </c>
      <c r="BE8" s="146">
        <f>MAX(0,BA8*(IF(MIN(100,$H8+AZ8*27)&gt;=100,1,Scenarios!$B$11+(1-Scenarios!$B$11-Scenarios!$B$12)*MIN(100,$H8+AZ8*27)/100)*MIN(1,MIN(100,$H8+AZ8*27)/100))*(1-Scenarios!$B$13)-BB8)</f>
        <v>223.38877721303368</v>
      </c>
      <c r="BF8" s="146">
        <f>MAX(1,(YEAR(IF(I8="",EDATE($C$3,Scenarios!$C$7),IF(I8&lt;$C$3,EDATE($C$3,Scenarios!$C$6),EDATE(I8,Scenarios!$C$5))))-YEAR($C$3))*12+MONTH(IF(I8="",EDATE($C$3,Scenarios!$C$7),IF(I8&lt;$C$3,EDATE($C$3,Scenarios!$C$6),EDATE(I8,Scenarios!$C$5))))-MONTH($C$3))</f>
        <v>12</v>
      </c>
      <c r="BG8" s="178">
        <f>MIN(Scenarios!$C$14,(100-H8)/BF8)</f>
        <v>5.1891666666666669</v>
      </c>
      <c r="BH8" s="146">
        <f>J8*(1-Scenarios!$C$8)+K8*G8/1000000*Scenarios!$C$9*(1+Scenarios!$C$10)</f>
        <v>261.91283580000004</v>
      </c>
      <c r="BI8" s="146">
        <f>J8*(IF(H8&gt;=100,1,Scenarios!$C$11+(1-Scenarios!$C$11-Scenarios!$C$12)*H8/100)*MIN(1,H8/100))*(1-Scenarios!$C$13)</f>
        <v>29.610218376966355</v>
      </c>
      <c r="BJ8" s="146">
        <f>MAX(0,BH8*(IF(MIN(100,$H8+BG8*5)&gt;=100,1,Scenarios!$C$11+(1-Scenarios!$C$11-Scenarios!$C$12)*MIN(100,$H8+BG8*5)/100)*MIN(1,MIN(100,$H8+BG8*5)/100))*(1-Scenarios!$C$13)-BI8)</f>
        <v>46.764850915747985</v>
      </c>
      <c r="BK8" s="146">
        <f>MAX(0,BH8*(IF(MIN(100,$H8+BG8*15)&gt;=100,1,Scenarios!$C$11+(1-Scenarios!$C$11-Scenarios!$C$12)*MIN(100,$H8+BG8*15)/100)*MIN(1,MIN(100,$H8+BG8*15)/100))*(1-Scenarios!$C$13)-BI8)</f>
        <v>219.20697563303369</v>
      </c>
      <c r="BL8" s="146">
        <f>MAX(0,BH8*(IF(MIN(100,$H8+BG8*27)&gt;=100,1,Scenarios!$C$11+(1-Scenarios!$C$11-Scenarios!$C$12)*MIN(100,$H8+BG8*27)/100)*MIN(1,MIN(100,$H8+BG8*27)/100))*(1-Scenarios!$C$13)-BI8)</f>
        <v>219.20697563303369</v>
      </c>
      <c r="BM8" s="146">
        <f>MAX(1,(YEAR(IF(I8="",EDATE($C$3,Scenarios!$D$7),IF(I8&lt;$C$3,EDATE($C$3,Scenarios!$D$6),EDATE(I8,Scenarios!$D$5))))-YEAR($C$3))*12+MONTH(IF(I8="",EDATE($C$3,Scenarios!$D$7),IF(I8&lt;$C$3,EDATE($C$3,Scenarios!$D$6),EDATE(I8,Scenarios!$D$5))))-MONTH($C$3))</f>
        <v>6</v>
      </c>
      <c r="BN8" s="178">
        <f>MIN(Scenarios!$D$14,(100-H8)/BM8)</f>
        <v>8</v>
      </c>
      <c r="BO8" s="146">
        <f>J8*(1-Scenarios!$D$8)+K8*G8/1000000*Scenarios!$D$9*(1+Scenarios!$D$10)</f>
        <v>223.94647935</v>
      </c>
      <c r="BP8" s="146">
        <f>J8*(IF(H8&gt;=100,1,Scenarios!$D$11+(1-Scenarios!$D$11-Scenarios!$D$12)*H8/100)*MIN(1,H8/100))*(1-Scenarios!$D$13)</f>
        <v>29.610218376966355</v>
      </c>
      <c r="BQ8" s="146">
        <f>MAX(0,BO8*(IF(MIN(100,$H8+BN8*5)&gt;=100,1,Scenarios!$D$11+(1-Scenarios!$D$11-Scenarios!$D$12)*MIN(100,$H8+BN8*5)/100)*MIN(1,MIN(100,$H8+BN8*5)/100))*(1-Scenarios!$D$13)-BP8)</f>
        <v>64.051996051066141</v>
      </c>
      <c r="BR8" s="146">
        <f>MAX(0,BO8*(IF(MIN(100,$H8+BN8*15)&gt;=100,1,Scenarios!$D$11+(1-Scenarios!$D$11-Scenarios!$D$12)*MIN(100,$H8+BN8*15)/100)*MIN(1,MIN(100,$H8+BN8*15)/100))*(1-Scenarios!$D$13)-BP8)</f>
        <v>183.13893700553365</v>
      </c>
      <c r="BS8" s="146">
        <f>MAX(0,BO8*(IF(MIN(100,$H8+BN8*27)&gt;=100,1,Scenarios!$D$11+(1-Scenarios!$D$11-Scenarios!$D$12)*MIN(100,$H8+BN8*27)/100)*MIN(1,MIN(100,$H8+BN8*27)/100))*(1-Scenarios!$D$13)-BP8)</f>
        <v>183.13893700553365</v>
      </c>
      <c r="BT8" s="146">
        <f>MAX(1,(YEAR(IF(I8="",EDATE($C$3,Scenarios!$E$7),IF(I8&lt;$C$3,EDATE($C$3,Scenarios!$E$6),EDATE(I8,Scenarios!$E$5))))-YEAR($C$3))*12+MONTH(IF(I8="",EDATE($C$3,Scenarios!$E$7),IF(I8&lt;$C$3,EDATE($C$3,Scenarios!$E$6),EDATE(I8,Scenarios!$E$5))))-MONTH($C$3))</f>
        <v>6</v>
      </c>
      <c r="BU8" s="178">
        <f>MIN(Scenarios!$E$14,(100-H8)/BT8)</f>
        <v>8</v>
      </c>
      <c r="BV8" s="146">
        <f>J8*(1-Scenarios!$E$8)+K8*G8/1000000*Scenarios!$E$9*(1+Scenarios!$E$10)</f>
        <v>251.67842667000002</v>
      </c>
      <c r="BW8" s="146">
        <f>J8*(IF(H8&gt;=100,1,Scenarios!$E$11+(1-Scenarios!$E$11-Scenarios!$E$12)*H8/100)*MIN(1,H8/100))*(1-Scenarios!$E$13)</f>
        <v>29.610218376966355</v>
      </c>
      <c r="BX8" s="146">
        <f>MAX(0,BV8*(IF(MIN(100,$H8+BU8*5)&gt;=100,1,Scenarios!$E$11+(1-Scenarios!$E$11-Scenarios!$E$12)*MIN(100,$H8+BU8*5)/100)*MIN(1,MIN(100,$H8+BU8*5)/100))*(1-Scenarios!$E$13)-BW8)</f>
        <v>75.650461916355667</v>
      </c>
      <c r="BY8" s="146">
        <f>MAX(0,BV8*(IF(MIN(100,$H8+BU8*15)&gt;=100,1,Scenarios!$E$11+(1-Scenarios!$E$11-Scenarios!$E$12)*MIN(100,$H8+BU8*15)/100)*MIN(1,MIN(100,$H8+BU8*15)/100))*(1-Scenarios!$E$13)-BW8)</f>
        <v>209.48428695953368</v>
      </c>
      <c r="BZ8" s="146">
        <f>MAX(0,BV8*(IF(MIN(100,$H8+BU8*27)&gt;=100,1,Scenarios!$E$11+(1-Scenarios!$E$11-Scenarios!$E$12)*MIN(100,$H8+BU8*27)/100)*MIN(1,MIN(100,$H8+BU8*27)/100))*(1-Scenarios!$E$13)-BW8)</f>
        <v>209.48428695953368</v>
      </c>
      <c r="CA8" s="206">
        <f t="shared" ref="CA8:CA39" si="7">R8+ROW()/1000000</f>
        <v>81.771882456369582</v>
      </c>
    </row>
    <row r="9" spans="1:79" ht="17.25" customHeight="1" x14ac:dyDescent="0.2">
      <c r="A9" s="135" t="s">
        <v>119</v>
      </c>
      <c r="B9" s="145" t="s">
        <v>120</v>
      </c>
      <c r="C9" s="145" t="s">
        <v>62</v>
      </c>
      <c r="D9" s="147">
        <v>46188</v>
      </c>
      <c r="E9" s="136">
        <v>332</v>
      </c>
      <c r="F9" s="136">
        <v>325</v>
      </c>
      <c r="G9" s="136">
        <v>1669089</v>
      </c>
      <c r="H9" s="191">
        <v>30.1</v>
      </c>
      <c r="I9" s="150">
        <v>46022</v>
      </c>
      <c r="J9" s="146">
        <f t="shared" si="0"/>
        <v>542.45392500000003</v>
      </c>
      <c r="K9" s="146">
        <f t="shared" si="1"/>
        <v>7</v>
      </c>
      <c r="L9" s="192">
        <f t="shared" si="2"/>
        <v>0.97891566265060237</v>
      </c>
      <c r="M9" s="147">
        <f>IF(I9="",EDATE($C$3,Scenarios!$F$7),IF(I9&lt;$C$3,EDATE($C$3,Scenarios!$F$6),EDATE(I9,Scenarios!$F$5)))</f>
        <v>46456</v>
      </c>
      <c r="N9" s="146">
        <f t="shared" si="3"/>
        <v>6</v>
      </c>
      <c r="O9" s="178">
        <f>MIN(Scenarios!$F$14,(100-H9)/N9)</f>
        <v>8</v>
      </c>
      <c r="P9" s="146">
        <f>J9*(1-Scenarios!$F$8)+K9*G9/1000000*Scenarios!$F$9*(1+Scenarios!$F$10)</f>
        <v>549.46409879999999</v>
      </c>
      <c r="Q9" s="146">
        <f>J9*(IF(H9&gt;=100,1,Scenarios!$F$11+(1-Scenarios!$F$11-Scenarios!$F$12)*H9/100)*MIN(1,H9/100))*(1-Scenarios!$F$13)</f>
        <v>43.525184778962249</v>
      </c>
      <c r="R9" s="146">
        <f t="shared" si="4"/>
        <v>146.97048522084245</v>
      </c>
      <c r="S9" s="146">
        <f t="shared" si="5"/>
        <v>478.46570908103769</v>
      </c>
      <c r="T9" s="146">
        <f t="shared" si="6"/>
        <v>478.46570908103769</v>
      </c>
      <c r="U9" s="193">
        <f>J9*IF(H9&gt;=100,1,Scenarios!$F$11+(1-Scenarios!$F$11-Scenarios!$F$12)*H9/100)</f>
        <v>152.21257135500002</v>
      </c>
      <c r="V9" s="201">
        <f>MAX(0,$P9*(IF(MIN(100,$H9+$O9*V$6)&gt;=100,1,Scenarios!$F$11+(1-Scenarios!$F$11-Scenarios!$F$12)*MIN(100,$H9+$O9*V$6)/100)*MIN(1,MIN(100,$H9+$O9*V$6)/100))*(1-Scenarios!$F$13)-$Q9)</f>
        <v>21.826300363270612</v>
      </c>
      <c r="W9" s="146">
        <f>MAX(0,$P9*(IF(MIN(100,$H9+$O9*W$6)&gt;=100,1,Scenarios!$F$11+(1-Scenarios!$F$11-Scenarios!$F$12)*MIN(100,$H9+$O9*W$6)/100)*MIN(1,MIN(100,$H9+$O9*W$6)/100))*(1-Scenarios!$F$13)-$Q9)</f>
        <v>47.099011480396392</v>
      </c>
      <c r="X9" s="146">
        <f>MAX(0,$P9*(IF(MIN(100,$H9+$O9*X$6)&gt;=100,1,Scenarios!$F$11+(1-Scenarios!$F$11-Scenarios!$F$12)*MIN(100,$H9+$O9*X$6)/100)*MIN(1,MIN(100,$H9+$O9*X$6)/100))*(1-Scenarios!$F$13)-$Q9)</f>
        <v>76.380612662366957</v>
      </c>
      <c r="Y9" s="146">
        <f>MAX(0,$P9*(IF(MIN(100,$H9+$O9*Y$6)&gt;=100,1,Scenarios!$F$11+(1-Scenarios!$F$11-Scenarios!$F$12)*MIN(100,$H9+$O9*Y$6)/100)*MIN(1,MIN(100,$H9+$O9*Y$6)/100))*(1-Scenarios!$F$13)-$Q9)</f>
        <v>109.67110390918228</v>
      </c>
      <c r="Z9" s="146">
        <f>MAX(0,$P9*(IF(MIN(100,$H9+$O9*Z$6)&gt;=100,1,Scenarios!$F$11+(1-Scenarios!$F$11-Scenarios!$F$12)*MIN(100,$H9+$O9*Z$6)/100)*MIN(1,MIN(100,$H9+$O9*Z$6)/100))*(1-Scenarios!$F$13)-$Q9)</f>
        <v>146.97048522084245</v>
      </c>
      <c r="AA9" s="146">
        <f>MAX(0,$P9*(IF(MIN(100,$H9+$O9*AA$6)&gt;=100,1,Scenarios!$F$11+(1-Scenarios!$F$11-Scenarios!$F$12)*MIN(100,$H9+$O9*AA$6)/100)*MIN(1,MIN(100,$H9+$O9*AA$6)/100))*(1-Scenarios!$F$13)-$Q9)</f>
        <v>188.27875659734744</v>
      </c>
      <c r="AB9" s="146">
        <f>MAX(0,$P9*(IF(MIN(100,$H9+$O9*AB$6)&gt;=100,1,Scenarios!$F$11+(1-Scenarios!$F$11-Scenarios!$F$12)*MIN(100,$H9+$O9*AB$6)/100)*MIN(1,MIN(100,$H9+$O9*AB$6)/100))*(1-Scenarios!$F$13)-$Q9)</f>
        <v>233.59591803869719</v>
      </c>
      <c r="AC9" s="146">
        <f>MAX(0,$P9*(IF(MIN(100,$H9+$O9*AC$6)&gt;=100,1,Scenarios!$F$11+(1-Scenarios!$F$11-Scenarios!$F$12)*MIN(100,$H9+$O9*AC$6)/100)*MIN(1,MIN(100,$H9+$O9*AC$6)/100))*(1-Scenarios!$F$13)-$Q9)</f>
        <v>282.92196954489179</v>
      </c>
      <c r="AD9" s="146">
        <f>MAX(0,$P9*(IF(MIN(100,$H9+$O9*AD$6)&gt;=100,1,Scenarios!$F$11+(1-Scenarios!$F$11-Scenarios!$F$12)*MIN(100,$H9+$O9*AD$6)/100)*MIN(1,MIN(100,$H9+$O9*AD$6)/100))*(1-Scenarios!$F$13)-$Q9)</f>
        <v>478.46570908103769</v>
      </c>
      <c r="AE9" s="146">
        <f>MAX(0,$P9*(IF(MIN(100,$H9+$O9*AE$6)&gt;=100,1,Scenarios!$F$11+(1-Scenarios!$F$11-Scenarios!$F$12)*MIN(100,$H9+$O9*AE$6)/100)*MIN(1,MIN(100,$H9+$O9*AE$6)/100))*(1-Scenarios!$F$13)-$Q9)</f>
        <v>478.46570908103769</v>
      </c>
      <c r="AF9" s="146">
        <f>MAX(0,$P9*(IF(MIN(100,$H9+$O9*AF$6)&gt;=100,1,Scenarios!$F$11+(1-Scenarios!$F$11-Scenarios!$F$12)*MIN(100,$H9+$O9*AF$6)/100)*MIN(1,MIN(100,$H9+$O9*AF$6)/100))*(1-Scenarios!$F$13)-$Q9)</f>
        <v>478.46570908103769</v>
      </c>
      <c r="AG9" s="146">
        <f>MAX(0,$P9*(IF(MIN(100,$H9+$O9*AG$6)&gt;=100,1,Scenarios!$F$11+(1-Scenarios!$F$11-Scenarios!$F$12)*MIN(100,$H9+$O9*AG$6)/100)*MIN(1,MIN(100,$H9+$O9*AG$6)/100))*(1-Scenarios!$F$13)-$Q9)</f>
        <v>478.46570908103769</v>
      </c>
      <c r="AH9" s="146">
        <f>MAX(0,$P9*(IF(MIN(100,$H9+$O9*AH$6)&gt;=100,1,Scenarios!$F$11+(1-Scenarios!$F$11-Scenarios!$F$12)*MIN(100,$H9+$O9*AH$6)/100)*MIN(1,MIN(100,$H9+$O9*AH$6)/100))*(1-Scenarios!$F$13)-$Q9)</f>
        <v>478.46570908103769</v>
      </c>
      <c r="AI9" s="146">
        <f>MAX(0,$P9*(IF(MIN(100,$H9+$O9*AI$6)&gt;=100,1,Scenarios!$F$11+(1-Scenarios!$F$11-Scenarios!$F$12)*MIN(100,$H9+$O9*AI$6)/100)*MIN(1,MIN(100,$H9+$O9*AI$6)/100))*(1-Scenarios!$F$13)-$Q9)</f>
        <v>478.46570908103769</v>
      </c>
      <c r="AJ9" s="146">
        <f>MAX(0,$P9*(IF(MIN(100,$H9+$O9*AJ$6)&gt;=100,1,Scenarios!$F$11+(1-Scenarios!$F$11-Scenarios!$F$12)*MIN(100,$H9+$O9*AJ$6)/100)*MIN(1,MIN(100,$H9+$O9*AJ$6)/100))*(1-Scenarios!$F$13)-$Q9)</f>
        <v>478.46570908103769</v>
      </c>
      <c r="AK9" s="146">
        <f>MAX(0,$P9*(IF(MIN(100,$H9+$O9*AK$6)&gt;=100,1,Scenarios!$F$11+(1-Scenarios!$F$11-Scenarios!$F$12)*MIN(100,$H9+$O9*AK$6)/100)*MIN(1,MIN(100,$H9+$O9*AK$6)/100))*(1-Scenarios!$F$13)-$Q9)</f>
        <v>478.46570908103769</v>
      </c>
      <c r="AL9" s="146">
        <f>MAX(0,$P9*(IF(MIN(100,$H9+$O9*AL$6)&gt;=100,1,Scenarios!$F$11+(1-Scenarios!$F$11-Scenarios!$F$12)*MIN(100,$H9+$O9*AL$6)/100)*MIN(1,MIN(100,$H9+$O9*AL$6)/100))*(1-Scenarios!$F$13)-$Q9)</f>
        <v>478.46570908103769</v>
      </c>
      <c r="AM9" s="146">
        <f>MAX(0,$P9*(IF(MIN(100,$H9+$O9*AM$6)&gt;=100,1,Scenarios!$F$11+(1-Scenarios!$F$11-Scenarios!$F$12)*MIN(100,$H9+$O9*AM$6)/100)*MIN(1,MIN(100,$H9+$O9*AM$6)/100))*(1-Scenarios!$F$13)-$Q9)</f>
        <v>478.46570908103769</v>
      </c>
      <c r="AN9" s="146">
        <f>MAX(0,$P9*(IF(MIN(100,$H9+$O9*AN$6)&gt;=100,1,Scenarios!$F$11+(1-Scenarios!$F$11-Scenarios!$F$12)*MIN(100,$H9+$O9*AN$6)/100)*MIN(1,MIN(100,$H9+$O9*AN$6)/100))*(1-Scenarios!$F$13)-$Q9)</f>
        <v>478.46570908103769</v>
      </c>
      <c r="AO9" s="146">
        <f>MAX(0,$P9*(IF(MIN(100,$H9+$O9*AO$6)&gt;=100,1,Scenarios!$F$11+(1-Scenarios!$F$11-Scenarios!$F$12)*MIN(100,$H9+$O9*AO$6)/100)*MIN(1,MIN(100,$H9+$O9*AO$6)/100))*(1-Scenarios!$F$13)-$Q9)</f>
        <v>478.46570908103769</v>
      </c>
      <c r="AP9" s="146">
        <f>MAX(0,$P9*(IF(MIN(100,$H9+$O9*AP$6)&gt;=100,1,Scenarios!$F$11+(1-Scenarios!$F$11-Scenarios!$F$12)*MIN(100,$H9+$O9*AP$6)/100)*MIN(1,MIN(100,$H9+$O9*AP$6)/100))*(1-Scenarios!$F$13)-$Q9)</f>
        <v>478.46570908103769</v>
      </c>
      <c r="AQ9" s="146">
        <f>MAX(0,$P9*(IF(MIN(100,$H9+$O9*AQ$6)&gt;=100,1,Scenarios!$F$11+(1-Scenarios!$F$11-Scenarios!$F$12)*MIN(100,$H9+$O9*AQ$6)/100)*MIN(1,MIN(100,$H9+$O9*AQ$6)/100))*(1-Scenarios!$F$13)-$Q9)</f>
        <v>478.46570908103769</v>
      </c>
      <c r="AR9" s="146">
        <f>MAX(0,$P9*(IF(MIN(100,$H9+$O9*AR$6)&gt;=100,1,Scenarios!$F$11+(1-Scenarios!$F$11-Scenarios!$F$12)*MIN(100,$H9+$O9*AR$6)/100)*MIN(1,MIN(100,$H9+$O9*AR$6)/100))*(1-Scenarios!$F$13)-$Q9)</f>
        <v>478.46570908103769</v>
      </c>
      <c r="AS9" s="146">
        <f>MAX(0,$P9*(IF(MIN(100,$H9+$O9*AS$6)&gt;=100,1,Scenarios!$F$11+(1-Scenarios!$F$11-Scenarios!$F$12)*MIN(100,$H9+$O9*AS$6)/100)*MIN(1,MIN(100,$H9+$O9*AS$6)/100))*(1-Scenarios!$F$13)-$Q9)</f>
        <v>478.46570908103769</v>
      </c>
      <c r="AT9" s="146">
        <f>MAX(0,$P9*(IF(MIN(100,$H9+$O9*AT$6)&gt;=100,1,Scenarios!$F$11+(1-Scenarios!$F$11-Scenarios!$F$12)*MIN(100,$H9+$O9*AT$6)/100)*MIN(1,MIN(100,$H9+$O9*AT$6)/100))*(1-Scenarios!$F$13)-$Q9)</f>
        <v>478.46570908103769</v>
      </c>
      <c r="AU9" s="146">
        <f>MAX(0,$P9*(IF(MIN(100,$H9+$O9*AU$6)&gt;=100,1,Scenarios!$F$11+(1-Scenarios!$F$11-Scenarios!$F$12)*MIN(100,$H9+$O9*AU$6)/100)*MIN(1,MIN(100,$H9+$O9*AU$6)/100))*(1-Scenarios!$F$13)-$Q9)</f>
        <v>478.46570908103769</v>
      </c>
      <c r="AV9" s="146">
        <f>MAX(0,$P9*(IF(MIN(100,$H9+$O9*AV$6)&gt;=100,1,Scenarios!$F$11+(1-Scenarios!$F$11-Scenarios!$F$12)*MIN(100,$H9+$O9*AV$6)/100)*MIN(1,MIN(100,$H9+$O9*AV$6)/100))*(1-Scenarios!$F$13)-$Q9)</f>
        <v>478.46570908103769</v>
      </c>
      <c r="AW9" s="193">
        <f>MAX(0,$P9*(IF(MIN(100,$H9+$O9*AW$6)&gt;=100,1,Scenarios!$F$11+(1-Scenarios!$F$11-Scenarios!$F$12)*MIN(100,$H9+$O9*AW$6)/100)*MIN(1,MIN(100,$H9+$O9*AW$6)/100))*(1-Scenarios!$F$13)-$Q9)</f>
        <v>478.46570908103769</v>
      </c>
      <c r="AX9" s="2"/>
      <c r="AY9" s="201">
        <f>MAX(1,(YEAR(IF(I9="",EDATE($C$3,Scenarios!$B$7),IF(I9&lt;$C$3,EDATE($C$3,Scenarios!$B$6),EDATE(I9,Scenarios!$B$5))))-YEAR($C$3))*12+MONTH(IF(I9="",EDATE($C$3,Scenarios!$B$7),IF(I9&lt;$C$3,EDATE($C$3,Scenarios!$B$6),EDATE(I9,Scenarios!$B$5))))-MONTH($C$3))</f>
        <v>6</v>
      </c>
      <c r="AZ9" s="178">
        <f>MIN(Scenarios!$B$14,(100-H9)/AY9)</f>
        <v>8</v>
      </c>
      <c r="BA9" s="146">
        <f>J9*(1-Scenarios!$B$8)+K9*G9/1000000*Scenarios!$B$9*(1+Scenarios!$B$10)</f>
        <v>549.46409879999999</v>
      </c>
      <c r="BB9" s="146">
        <f>J9*(IF(H9&gt;=100,1,Scenarios!$B$11+(1-Scenarios!$B$11-Scenarios!$B$12)*H9/100)*MIN(1,H9/100))*(1-Scenarios!$B$13)</f>
        <v>43.525184778962249</v>
      </c>
      <c r="BC9" s="146">
        <f>MAX(0,BA9*(IF(MIN(100,$H9+AZ9*5)&gt;=100,1,Scenarios!$B$11+(1-Scenarios!$B$11-Scenarios!$B$12)*MIN(100,$H9+AZ9*5)/100)*MIN(1,MIN(100,$H9+AZ9*5)/100))*(1-Scenarios!$B$13)-BB9)</f>
        <v>146.97048522084245</v>
      </c>
      <c r="BD9" s="146">
        <f>MAX(0,BA9*(IF(MIN(100,$H9+AZ9*15)&gt;=100,1,Scenarios!$B$11+(1-Scenarios!$B$11-Scenarios!$B$12)*MIN(100,$H9+AZ9*15)/100)*MIN(1,MIN(100,$H9+AZ9*15)/100))*(1-Scenarios!$B$13)-BB9)</f>
        <v>478.46570908103769</v>
      </c>
      <c r="BE9" s="146">
        <f>MAX(0,BA9*(IF(MIN(100,$H9+AZ9*27)&gt;=100,1,Scenarios!$B$11+(1-Scenarios!$B$11-Scenarios!$B$12)*MIN(100,$H9+AZ9*27)/100)*MIN(1,MIN(100,$H9+AZ9*27)/100))*(1-Scenarios!$B$13)-BB9)</f>
        <v>478.46570908103769</v>
      </c>
      <c r="BF9" s="146">
        <f>MAX(1,(YEAR(IF(I9="",EDATE($C$3,Scenarios!$C$7),IF(I9&lt;$C$3,EDATE($C$3,Scenarios!$C$6),EDATE(I9,Scenarios!$C$5))))-YEAR($C$3))*12+MONTH(IF(I9="",EDATE($C$3,Scenarios!$C$7),IF(I9&lt;$C$3,EDATE($C$3,Scenarios!$C$6),EDATE(I9,Scenarios!$C$5))))-MONTH($C$3))</f>
        <v>12</v>
      </c>
      <c r="BG9" s="178">
        <f>MIN(Scenarios!$C$14,(100-H9)/BF9)</f>
        <v>5.8250000000000002</v>
      </c>
      <c r="BH9" s="146">
        <f>J9*(1-Scenarios!$C$8)+K9*G9/1000000*Scenarios!$C$9*(1+Scenarios!$C$10)</f>
        <v>547.12737420000008</v>
      </c>
      <c r="BI9" s="146">
        <f>J9*(IF(H9&gt;=100,1,Scenarios!$C$11+(1-Scenarios!$C$11-Scenarios!$C$12)*H9/100)*MIN(1,H9/100))*(1-Scenarios!$C$13)</f>
        <v>43.525184778962249</v>
      </c>
      <c r="BJ9" s="146">
        <f>MAX(0,BH9*(IF(MIN(100,$H9+BG9*5)&gt;=100,1,Scenarios!$C$11+(1-Scenarios!$C$11-Scenarios!$C$12)*MIN(100,$H9+BG9*5)/100)*MIN(1,MIN(100,$H9+BG9*5)/100))*(1-Scenarios!$C$13)-BI9)</f>
        <v>96.647199243999182</v>
      </c>
      <c r="BK9" s="146">
        <f>MAX(0,BH9*(IF(MIN(100,$H9+BG9*15)&gt;=100,1,Scenarios!$C$11+(1-Scenarios!$C$11-Scenarios!$C$12)*MIN(100,$H9+BG9*15)/100)*MIN(1,MIN(100,$H9+BG9*15)/100))*(1-Scenarios!$C$13)-BI9)</f>
        <v>476.24582071103777</v>
      </c>
      <c r="BL9" s="146">
        <f>MAX(0,BH9*(IF(MIN(100,$H9+BG9*27)&gt;=100,1,Scenarios!$C$11+(1-Scenarios!$C$11-Scenarios!$C$12)*MIN(100,$H9+BG9*27)/100)*MIN(1,MIN(100,$H9+BG9*27)/100))*(1-Scenarios!$C$13)-BI9)</f>
        <v>476.24582071103777</v>
      </c>
      <c r="BM9" s="146">
        <f>MAX(1,(YEAR(IF(I9="",EDATE($C$3,Scenarios!$D$7),IF(I9&lt;$C$3,EDATE($C$3,Scenarios!$D$6),EDATE(I9,Scenarios!$D$5))))-YEAR($C$3))*12+MONTH(IF(I9="",EDATE($C$3,Scenarios!$D$7),IF(I9&lt;$C$3,EDATE($C$3,Scenarios!$D$6),EDATE(I9,Scenarios!$D$5))))-MONTH($C$3))</f>
        <v>6</v>
      </c>
      <c r="BN9" s="178">
        <f>MIN(Scenarios!$D$14,(100-H9)/BM9)</f>
        <v>8</v>
      </c>
      <c r="BO9" s="146">
        <f>J9*(1-Scenarios!$D$8)+K9*G9/1000000*Scenarios!$D$9*(1+Scenarios!$D$10)</f>
        <v>465.75928544999999</v>
      </c>
      <c r="BP9" s="146">
        <f>J9*(IF(H9&gt;=100,1,Scenarios!$D$11+(1-Scenarios!$D$11-Scenarios!$D$12)*H9/100)*MIN(1,H9/100))*(1-Scenarios!$D$13)</f>
        <v>43.525184778962249</v>
      </c>
      <c r="BQ9" s="146">
        <f>MAX(0,BO9*(IF(MIN(100,$H9+BN9*5)&gt;=100,1,Scenarios!$D$11+(1-Scenarios!$D$11-Scenarios!$D$12)*MIN(100,$H9+BN9*5)/100)*MIN(1,MIN(100,$H9+BN9*5)/100))*(1-Scenarios!$D$13)-BP9)</f>
        <v>117.95056465434729</v>
      </c>
      <c r="BR9" s="146">
        <f>MAX(0,BO9*(IF(MIN(100,$H9+BN9*15)&gt;=100,1,Scenarios!$D$11+(1-Scenarios!$D$11-Scenarios!$D$12)*MIN(100,$H9+BN9*15)/100)*MIN(1,MIN(100,$H9+BN9*15)/100))*(1-Scenarios!$D$13)-BP9)</f>
        <v>398.94613639853776</v>
      </c>
      <c r="BS9" s="146">
        <f>MAX(0,BO9*(IF(MIN(100,$H9+BN9*27)&gt;=100,1,Scenarios!$D$11+(1-Scenarios!$D$11-Scenarios!$D$12)*MIN(100,$H9+BN9*27)/100)*MIN(1,MIN(100,$H9+BN9*27)/100))*(1-Scenarios!$D$13)-BP9)</f>
        <v>398.94613639853776</v>
      </c>
      <c r="BT9" s="146">
        <f>MAX(1,(YEAR(IF(I9="",EDATE($C$3,Scenarios!$E$7),IF(I9&lt;$C$3,EDATE($C$3,Scenarios!$E$6),EDATE(I9,Scenarios!$E$5))))-YEAR($C$3))*12+MONTH(IF(I9="",EDATE($C$3,Scenarios!$E$7),IF(I9&lt;$C$3,EDATE($C$3,Scenarios!$E$6),EDATE(I9,Scenarios!$E$5))))-MONTH($C$3))</f>
        <v>6</v>
      </c>
      <c r="BU9" s="178">
        <f>MIN(Scenarios!$E$14,(100-H9)/BT9)</f>
        <v>8</v>
      </c>
      <c r="BV9" s="146">
        <f>J9*(1-Scenarios!$E$8)+K9*G9/1000000*Scenarios!$E$9*(1+Scenarios!$E$10)</f>
        <v>521.28987648000009</v>
      </c>
      <c r="BW9" s="146">
        <f>J9*(IF(H9&gt;=100,1,Scenarios!$E$11+(1-Scenarios!$E$11-Scenarios!$E$12)*H9/100)*MIN(1,H9/100))*(1-Scenarios!$E$13)</f>
        <v>43.525184778962249</v>
      </c>
      <c r="BX9" s="146">
        <f>MAX(0,BV9*(IF(MIN(100,$H9+BU9*5)&gt;=100,1,Scenarios!$E$11+(1-Scenarios!$E$11-Scenarios!$E$12)*MIN(100,$H9+BU9*5)/100)*MIN(1,MIN(100,$H9+BU9*5)/100))*(1-Scenarios!$E$13)-BW9)</f>
        <v>137.20266350274801</v>
      </c>
      <c r="BY9" s="146">
        <f>MAX(0,BV9*(IF(MIN(100,$H9+BU9*15)&gt;=100,1,Scenarios!$E$11+(1-Scenarios!$E$11-Scenarios!$E$12)*MIN(100,$H9+BU9*15)/100)*MIN(1,MIN(100,$H9+BU9*15)/100))*(1-Scenarios!$E$13)-BW9)</f>
        <v>451.70019787703785</v>
      </c>
      <c r="BZ9" s="146">
        <f>MAX(0,BV9*(IF(MIN(100,$H9+BU9*27)&gt;=100,1,Scenarios!$E$11+(1-Scenarios!$E$11-Scenarios!$E$12)*MIN(100,$H9+BU9*27)/100)*MIN(1,MIN(100,$H9+BU9*27)/100))*(1-Scenarios!$E$13)-BW9)</f>
        <v>451.70019787703785</v>
      </c>
      <c r="CA9" s="206">
        <f t="shared" si="7"/>
        <v>146.97049422084245</v>
      </c>
    </row>
    <row r="10" spans="1:79" ht="17.25" customHeight="1" x14ac:dyDescent="0.2">
      <c r="A10" s="135" t="s">
        <v>121</v>
      </c>
      <c r="B10" s="145" t="s">
        <v>122</v>
      </c>
      <c r="C10" s="145" t="s">
        <v>62</v>
      </c>
      <c r="D10" s="147">
        <v>46188</v>
      </c>
      <c r="E10" s="136">
        <v>190</v>
      </c>
      <c r="F10" s="136">
        <v>112</v>
      </c>
      <c r="G10" s="136">
        <v>32259383</v>
      </c>
      <c r="H10" s="191">
        <v>20.04</v>
      </c>
      <c r="I10" s="150">
        <v>46022</v>
      </c>
      <c r="J10" s="146">
        <f t="shared" si="0"/>
        <v>3613.0508960000002</v>
      </c>
      <c r="K10" s="146">
        <f t="shared" si="1"/>
        <v>78</v>
      </c>
      <c r="L10" s="192">
        <f t="shared" si="2"/>
        <v>0.58947368421052626</v>
      </c>
      <c r="M10" s="147">
        <f>IF(I10="",EDATE($C$3,Scenarios!$F$7),IF(I10&lt;$C$3,EDATE($C$3,Scenarios!$F$6),EDATE(I10,Scenarios!$F$5)))</f>
        <v>46456</v>
      </c>
      <c r="N10" s="146">
        <f t="shared" si="3"/>
        <v>6</v>
      </c>
      <c r="O10" s="178">
        <f>MIN(Scenarios!$F$14,(100-H10)/N10)</f>
        <v>8</v>
      </c>
      <c r="P10" s="146">
        <f>J10*(1-Scenarios!$F$8)+K10*G10/1000000*Scenarios!$F$9*(1+Scenarios!$F$10)</f>
        <v>5122.7900203999998</v>
      </c>
      <c r="Q10" s="146">
        <f>J10*(IF(H10&gt;=100,1,Scenarios!$F$11+(1-Scenarios!$F$11-Scenarios!$F$12)*H10/100)*MIN(1,H10/100))*(1-Scenarios!$F$13)</f>
        <v>151.49266313880491</v>
      </c>
      <c r="R10" s="146">
        <f t="shared" si="4"/>
        <v>1193.299608778882</v>
      </c>
      <c r="S10" s="146">
        <f t="shared" si="5"/>
        <v>4715.1578562411942</v>
      </c>
      <c r="T10" s="146">
        <f t="shared" si="6"/>
        <v>4715.1578562411942</v>
      </c>
      <c r="U10" s="193">
        <f>J10*IF(H10&gt;=100,1,Scenarios!$F$11+(1-Scenarios!$F$11-Scenarios!$F$12)*H10/100)</f>
        <v>795.73832933504013</v>
      </c>
      <c r="V10" s="201">
        <f>MAX(0,$P10*(IF(MIN(100,$H10+$O10*V$6)&gt;=100,1,Scenarios!$F$11+(1-Scenarios!$F$11-Scenarios!$F$12)*MIN(100,$H10+$O10*V$6)/100)*MIN(1,MIN(100,$H10+$O10*V$6)/100))*(1-Scenarios!$F$13)-$Q10)</f>
        <v>214.55000288450003</v>
      </c>
      <c r="W10" s="146">
        <f>MAX(0,$P10*(IF(MIN(100,$H10+$O10*W$6)&gt;=100,1,Scenarios!$F$11+(1-Scenarios!$F$11-Scenarios!$F$12)*MIN(100,$H10+$O10*W$6)/100)*MIN(1,MIN(100,$H10+$O10*W$6)/100))*(1-Scenarios!$F$13)-$Q10)</f>
        <v>403.17359037483777</v>
      </c>
      <c r="X10" s="146">
        <f>MAX(0,$P10*(IF(MIN(100,$H10+$O10*X$6)&gt;=100,1,Scenarios!$F$11+(1-Scenarios!$F$11-Scenarios!$F$12)*MIN(100,$H10+$O10*X$6)/100)*MIN(1,MIN(100,$H10+$O10*X$6)/100))*(1-Scenarios!$F$13)-$Q10)</f>
        <v>629.17305385401403</v>
      </c>
      <c r="Y10" s="146">
        <f>MAX(0,$P10*(IF(MIN(100,$H10+$O10*Y$6)&gt;=100,1,Scenarios!$F$11+(1-Scenarios!$F$11-Scenarios!$F$12)*MIN(100,$H10+$O10*Y$6)/100)*MIN(1,MIN(100,$H10+$O10*Y$6)/100))*(1-Scenarios!$F$13)-$Q10)</f>
        <v>892.54839332202857</v>
      </c>
      <c r="Z10" s="146">
        <f>MAX(0,$P10*(IF(MIN(100,$H10+$O10*Z$6)&gt;=100,1,Scenarios!$F$11+(1-Scenarios!$F$11-Scenarios!$F$12)*MIN(100,$H10+$O10*Z$6)/100)*MIN(1,MIN(100,$H10+$O10*Z$6)/100))*(1-Scenarios!$F$13)-$Q10)</f>
        <v>1193.299608778882</v>
      </c>
      <c r="AA10" s="146">
        <f>MAX(0,$P10*(IF(MIN(100,$H10+$O10*AA$6)&gt;=100,1,Scenarios!$F$11+(1-Scenarios!$F$11-Scenarios!$F$12)*MIN(100,$H10+$O10*AA$6)/100)*MIN(1,MIN(100,$H10+$O10*AA$6)/100))*(1-Scenarios!$F$13)-$Q10)</f>
        <v>1531.4267002245729</v>
      </c>
      <c r="AB10" s="146">
        <f>MAX(0,$P10*(IF(MIN(100,$H10+$O10*AB$6)&gt;=100,1,Scenarios!$F$11+(1-Scenarios!$F$11-Scenarios!$F$12)*MIN(100,$H10+$O10*AB$6)/100)*MIN(1,MIN(100,$H10+$O10*AB$6)/100))*(1-Scenarios!$F$13)-$Q10)</f>
        <v>1906.929667659103</v>
      </c>
      <c r="AC10" s="146">
        <f>MAX(0,$P10*(IF(MIN(100,$H10+$O10*AC$6)&gt;=100,1,Scenarios!$F$11+(1-Scenarios!$F$11-Scenarios!$F$12)*MIN(100,$H10+$O10*AC$6)/100)*MIN(1,MIN(100,$H10+$O10*AC$6)/100))*(1-Scenarios!$F$13)-$Q10)</f>
        <v>2319.8085110824709</v>
      </c>
      <c r="AD10" s="146">
        <f>MAX(0,$P10*(IF(MIN(100,$H10+$O10*AD$6)&gt;=100,1,Scenarios!$F$11+(1-Scenarios!$F$11-Scenarios!$F$12)*MIN(100,$H10+$O10*AD$6)/100)*MIN(1,MIN(100,$H10+$O10*AD$6)/100))*(1-Scenarios!$F$13)-$Q10)</f>
        <v>2770.0632304946771</v>
      </c>
      <c r="AE10" s="146">
        <f>MAX(0,$P10*(IF(MIN(100,$H10+$O10*AE$6)&gt;=100,1,Scenarios!$F$11+(1-Scenarios!$F$11-Scenarios!$F$12)*MIN(100,$H10+$O10*AE$6)/100)*MIN(1,MIN(100,$H10+$O10*AE$6)/100))*(1-Scenarios!$F$13)-$Q10)</f>
        <v>4715.1578562411942</v>
      </c>
      <c r="AF10" s="146">
        <f>MAX(0,$P10*(IF(MIN(100,$H10+$O10*AF$6)&gt;=100,1,Scenarios!$F$11+(1-Scenarios!$F$11-Scenarios!$F$12)*MIN(100,$H10+$O10*AF$6)/100)*MIN(1,MIN(100,$H10+$O10*AF$6)/100))*(1-Scenarios!$F$13)-$Q10)</f>
        <v>4715.1578562411942</v>
      </c>
      <c r="AG10" s="146">
        <f>MAX(0,$P10*(IF(MIN(100,$H10+$O10*AG$6)&gt;=100,1,Scenarios!$F$11+(1-Scenarios!$F$11-Scenarios!$F$12)*MIN(100,$H10+$O10*AG$6)/100)*MIN(1,MIN(100,$H10+$O10*AG$6)/100))*(1-Scenarios!$F$13)-$Q10)</f>
        <v>4715.1578562411942</v>
      </c>
      <c r="AH10" s="146">
        <f>MAX(0,$P10*(IF(MIN(100,$H10+$O10*AH$6)&gt;=100,1,Scenarios!$F$11+(1-Scenarios!$F$11-Scenarios!$F$12)*MIN(100,$H10+$O10*AH$6)/100)*MIN(1,MIN(100,$H10+$O10*AH$6)/100))*(1-Scenarios!$F$13)-$Q10)</f>
        <v>4715.1578562411942</v>
      </c>
      <c r="AI10" s="146">
        <f>MAX(0,$P10*(IF(MIN(100,$H10+$O10*AI$6)&gt;=100,1,Scenarios!$F$11+(1-Scenarios!$F$11-Scenarios!$F$12)*MIN(100,$H10+$O10*AI$6)/100)*MIN(1,MIN(100,$H10+$O10*AI$6)/100))*(1-Scenarios!$F$13)-$Q10)</f>
        <v>4715.1578562411942</v>
      </c>
      <c r="AJ10" s="146">
        <f>MAX(0,$P10*(IF(MIN(100,$H10+$O10*AJ$6)&gt;=100,1,Scenarios!$F$11+(1-Scenarios!$F$11-Scenarios!$F$12)*MIN(100,$H10+$O10*AJ$6)/100)*MIN(1,MIN(100,$H10+$O10*AJ$6)/100))*(1-Scenarios!$F$13)-$Q10)</f>
        <v>4715.1578562411942</v>
      </c>
      <c r="AK10" s="146">
        <f>MAX(0,$P10*(IF(MIN(100,$H10+$O10*AK$6)&gt;=100,1,Scenarios!$F$11+(1-Scenarios!$F$11-Scenarios!$F$12)*MIN(100,$H10+$O10*AK$6)/100)*MIN(1,MIN(100,$H10+$O10*AK$6)/100))*(1-Scenarios!$F$13)-$Q10)</f>
        <v>4715.1578562411942</v>
      </c>
      <c r="AL10" s="146">
        <f>MAX(0,$P10*(IF(MIN(100,$H10+$O10*AL$6)&gt;=100,1,Scenarios!$F$11+(1-Scenarios!$F$11-Scenarios!$F$12)*MIN(100,$H10+$O10*AL$6)/100)*MIN(1,MIN(100,$H10+$O10*AL$6)/100))*(1-Scenarios!$F$13)-$Q10)</f>
        <v>4715.1578562411942</v>
      </c>
      <c r="AM10" s="146">
        <f>MAX(0,$P10*(IF(MIN(100,$H10+$O10*AM$6)&gt;=100,1,Scenarios!$F$11+(1-Scenarios!$F$11-Scenarios!$F$12)*MIN(100,$H10+$O10*AM$6)/100)*MIN(1,MIN(100,$H10+$O10*AM$6)/100))*(1-Scenarios!$F$13)-$Q10)</f>
        <v>4715.1578562411942</v>
      </c>
      <c r="AN10" s="146">
        <f>MAX(0,$P10*(IF(MIN(100,$H10+$O10*AN$6)&gt;=100,1,Scenarios!$F$11+(1-Scenarios!$F$11-Scenarios!$F$12)*MIN(100,$H10+$O10*AN$6)/100)*MIN(1,MIN(100,$H10+$O10*AN$6)/100))*(1-Scenarios!$F$13)-$Q10)</f>
        <v>4715.1578562411942</v>
      </c>
      <c r="AO10" s="146">
        <f>MAX(0,$P10*(IF(MIN(100,$H10+$O10*AO$6)&gt;=100,1,Scenarios!$F$11+(1-Scenarios!$F$11-Scenarios!$F$12)*MIN(100,$H10+$O10*AO$6)/100)*MIN(1,MIN(100,$H10+$O10*AO$6)/100))*(1-Scenarios!$F$13)-$Q10)</f>
        <v>4715.1578562411942</v>
      </c>
      <c r="AP10" s="146">
        <f>MAX(0,$P10*(IF(MIN(100,$H10+$O10*AP$6)&gt;=100,1,Scenarios!$F$11+(1-Scenarios!$F$11-Scenarios!$F$12)*MIN(100,$H10+$O10*AP$6)/100)*MIN(1,MIN(100,$H10+$O10*AP$6)/100))*(1-Scenarios!$F$13)-$Q10)</f>
        <v>4715.1578562411942</v>
      </c>
      <c r="AQ10" s="146">
        <f>MAX(0,$P10*(IF(MIN(100,$H10+$O10*AQ$6)&gt;=100,1,Scenarios!$F$11+(1-Scenarios!$F$11-Scenarios!$F$12)*MIN(100,$H10+$O10*AQ$6)/100)*MIN(1,MIN(100,$H10+$O10*AQ$6)/100))*(1-Scenarios!$F$13)-$Q10)</f>
        <v>4715.1578562411942</v>
      </c>
      <c r="AR10" s="146">
        <f>MAX(0,$P10*(IF(MIN(100,$H10+$O10*AR$6)&gt;=100,1,Scenarios!$F$11+(1-Scenarios!$F$11-Scenarios!$F$12)*MIN(100,$H10+$O10*AR$6)/100)*MIN(1,MIN(100,$H10+$O10*AR$6)/100))*(1-Scenarios!$F$13)-$Q10)</f>
        <v>4715.1578562411942</v>
      </c>
      <c r="AS10" s="146">
        <f>MAX(0,$P10*(IF(MIN(100,$H10+$O10*AS$6)&gt;=100,1,Scenarios!$F$11+(1-Scenarios!$F$11-Scenarios!$F$12)*MIN(100,$H10+$O10*AS$6)/100)*MIN(1,MIN(100,$H10+$O10*AS$6)/100))*(1-Scenarios!$F$13)-$Q10)</f>
        <v>4715.1578562411942</v>
      </c>
      <c r="AT10" s="146">
        <f>MAX(0,$P10*(IF(MIN(100,$H10+$O10*AT$6)&gt;=100,1,Scenarios!$F$11+(1-Scenarios!$F$11-Scenarios!$F$12)*MIN(100,$H10+$O10*AT$6)/100)*MIN(1,MIN(100,$H10+$O10*AT$6)/100))*(1-Scenarios!$F$13)-$Q10)</f>
        <v>4715.1578562411942</v>
      </c>
      <c r="AU10" s="146">
        <f>MAX(0,$P10*(IF(MIN(100,$H10+$O10*AU$6)&gt;=100,1,Scenarios!$F$11+(1-Scenarios!$F$11-Scenarios!$F$12)*MIN(100,$H10+$O10*AU$6)/100)*MIN(1,MIN(100,$H10+$O10*AU$6)/100))*(1-Scenarios!$F$13)-$Q10)</f>
        <v>4715.1578562411942</v>
      </c>
      <c r="AV10" s="146">
        <f>MAX(0,$P10*(IF(MIN(100,$H10+$O10*AV$6)&gt;=100,1,Scenarios!$F$11+(1-Scenarios!$F$11-Scenarios!$F$12)*MIN(100,$H10+$O10*AV$6)/100)*MIN(1,MIN(100,$H10+$O10*AV$6)/100))*(1-Scenarios!$F$13)-$Q10)</f>
        <v>4715.1578562411942</v>
      </c>
      <c r="AW10" s="193">
        <f>MAX(0,$P10*(IF(MIN(100,$H10+$O10*AW$6)&gt;=100,1,Scenarios!$F$11+(1-Scenarios!$F$11-Scenarios!$F$12)*MIN(100,$H10+$O10*AW$6)/100)*MIN(1,MIN(100,$H10+$O10*AW$6)/100))*(1-Scenarios!$F$13)-$Q10)</f>
        <v>4715.1578562411942</v>
      </c>
      <c r="AX10" s="2"/>
      <c r="AY10" s="201">
        <f>MAX(1,(YEAR(IF(I10="",EDATE($C$3,Scenarios!$B$7),IF(I10&lt;$C$3,EDATE($C$3,Scenarios!$B$6),EDATE(I10,Scenarios!$B$5))))-YEAR($C$3))*12+MONTH(IF(I10="",EDATE($C$3,Scenarios!$B$7),IF(I10&lt;$C$3,EDATE($C$3,Scenarios!$B$6),EDATE(I10,Scenarios!$B$5))))-MONTH($C$3))</f>
        <v>6</v>
      </c>
      <c r="AZ10" s="178">
        <f>MIN(Scenarios!$B$14,(100-H10)/AY10)</f>
        <v>8</v>
      </c>
      <c r="BA10" s="146">
        <f>J10*(1-Scenarios!$B$8)+K10*G10/1000000*Scenarios!$B$9*(1+Scenarios!$B$10)</f>
        <v>5122.7900203999998</v>
      </c>
      <c r="BB10" s="146">
        <f>J10*(IF(H10&gt;=100,1,Scenarios!$B$11+(1-Scenarios!$B$11-Scenarios!$B$12)*H10/100)*MIN(1,H10/100))*(1-Scenarios!$B$13)</f>
        <v>151.49266313880491</v>
      </c>
      <c r="BC10" s="146">
        <f>MAX(0,BA10*(IF(MIN(100,$H10+AZ10*5)&gt;=100,1,Scenarios!$B$11+(1-Scenarios!$B$11-Scenarios!$B$12)*MIN(100,$H10+AZ10*5)/100)*MIN(1,MIN(100,$H10+AZ10*5)/100))*(1-Scenarios!$B$13)-BB10)</f>
        <v>1193.299608778882</v>
      </c>
      <c r="BD10" s="146">
        <f>MAX(0,BA10*(IF(MIN(100,$H10+AZ10*15)&gt;=100,1,Scenarios!$B$11+(1-Scenarios!$B$11-Scenarios!$B$12)*MIN(100,$H10+AZ10*15)/100)*MIN(1,MIN(100,$H10+AZ10*15)/100))*(1-Scenarios!$B$13)-BB10)</f>
        <v>4715.1578562411942</v>
      </c>
      <c r="BE10" s="146">
        <f>MAX(0,BA10*(IF(MIN(100,$H10+AZ10*27)&gt;=100,1,Scenarios!$B$11+(1-Scenarios!$B$11-Scenarios!$B$12)*MIN(100,$H10+AZ10*27)/100)*MIN(1,MIN(100,$H10+AZ10*27)/100))*(1-Scenarios!$B$13)-BB10)</f>
        <v>4715.1578562411942</v>
      </c>
      <c r="BF10" s="146">
        <f>MAX(1,(YEAR(IF(I10="",EDATE($C$3,Scenarios!$C$7),IF(I10&lt;$C$3,EDATE($C$3,Scenarios!$C$6),EDATE(I10,Scenarios!$C$5))))-YEAR($C$3))*12+MONTH(IF(I10="",EDATE($C$3,Scenarios!$C$7),IF(I10&lt;$C$3,EDATE($C$3,Scenarios!$C$6),EDATE(I10,Scenarios!$C$5))))-MONTH($C$3))</f>
        <v>12</v>
      </c>
      <c r="BG10" s="178">
        <f>MIN(Scenarios!$C$14,(100-H10)/BF10)</f>
        <v>6</v>
      </c>
      <c r="BH10" s="146">
        <f>J10*(1-Scenarios!$C$8)+K10*G10/1000000*Scenarios!$C$9*(1+Scenarios!$C$10)</f>
        <v>4619.5436456000007</v>
      </c>
      <c r="BI10" s="146">
        <f>J10*(IF(H10&gt;=100,1,Scenarios!$C$11+(1-Scenarios!$C$11-Scenarios!$C$12)*H10/100)*MIN(1,H10/100))*(1-Scenarios!$C$13)</f>
        <v>151.49266313880491</v>
      </c>
      <c r="BJ10" s="146">
        <f>MAX(0,BH10*(IF(MIN(100,$H10+BG10*5)&gt;=100,1,Scenarios!$C$11+(1-Scenarios!$C$11-Scenarios!$C$12)*MIN(100,$H10+BG10*5)/100)*MIN(1,MIN(100,$H10+BG10*5)/100))*(1-Scenarios!$C$13)-BI10)</f>
        <v>727.44984943730515</v>
      </c>
      <c r="BK10" s="146">
        <f>MAX(0,BH10*(IF(MIN(100,$H10+BG10*15)&gt;=100,1,Scenarios!$C$11+(1-Scenarios!$C$11-Scenarios!$C$12)*MIN(100,$H10+BG10*15)/100)*MIN(1,MIN(100,$H10+BG10*15)/100))*(1-Scenarios!$C$13)-BI10)</f>
        <v>4237.0738001811951</v>
      </c>
      <c r="BL10" s="146">
        <f>MAX(0,BH10*(IF(MIN(100,$H10+BG10*27)&gt;=100,1,Scenarios!$C$11+(1-Scenarios!$C$11-Scenarios!$C$12)*MIN(100,$H10+BG10*27)/100)*MIN(1,MIN(100,$H10+BG10*27)/100))*(1-Scenarios!$C$13)-BI10)</f>
        <v>4237.0738001811951</v>
      </c>
      <c r="BM10" s="146">
        <f>MAX(1,(YEAR(IF(I10="",EDATE($C$3,Scenarios!$D$7),IF(I10&lt;$C$3,EDATE($C$3,Scenarios!$D$6),EDATE(I10,Scenarios!$D$5))))-YEAR($C$3))*12+MONTH(IF(I10="",EDATE($C$3,Scenarios!$D$7),IF(I10&lt;$C$3,EDATE($C$3,Scenarios!$D$6),EDATE(I10,Scenarios!$D$5))))-MONTH($C$3))</f>
        <v>6</v>
      </c>
      <c r="BN10" s="178">
        <f>MIN(Scenarios!$D$14,(100-H10)/BM10)</f>
        <v>8</v>
      </c>
      <c r="BO10" s="146">
        <f>J10*(1-Scenarios!$D$8)+K10*G10/1000000*Scenarios!$D$9*(1+Scenarios!$D$10)</f>
        <v>4077.5860112</v>
      </c>
      <c r="BP10" s="146">
        <f>J10*(IF(H10&gt;=100,1,Scenarios!$D$11+(1-Scenarios!$D$11-Scenarios!$D$12)*H10/100)*MIN(1,H10/100))*(1-Scenarios!$D$13)</f>
        <v>151.49266313880491</v>
      </c>
      <c r="BQ10" s="146">
        <f>MAX(0,BO10*(IF(MIN(100,$H10+BN10*5)&gt;=100,1,Scenarios!$D$11+(1-Scenarios!$D$11-Scenarios!$D$12)*MIN(100,$H10+BN10*5)/100)*MIN(1,MIN(100,$H10+BN10*5)/100))*(1-Scenarios!$D$13)-BP10)</f>
        <v>918.92133667476958</v>
      </c>
      <c r="BR10" s="146">
        <f>MAX(0,BO10*(IF(MIN(100,$H10+BN10*15)&gt;=100,1,Scenarios!$D$11+(1-Scenarios!$D$11-Scenarios!$D$12)*MIN(100,$H10+BN10*15)/100)*MIN(1,MIN(100,$H10+BN10*15)/100))*(1-Scenarios!$D$13)-BP10)</f>
        <v>3722.2140475011952</v>
      </c>
      <c r="BS10" s="146">
        <f>MAX(0,BO10*(IF(MIN(100,$H10+BN10*27)&gt;=100,1,Scenarios!$D$11+(1-Scenarios!$D$11-Scenarios!$D$12)*MIN(100,$H10+BN10*27)/100)*MIN(1,MIN(100,$H10+BN10*27)/100))*(1-Scenarios!$D$13)-BP10)</f>
        <v>3722.2140475011952</v>
      </c>
      <c r="BT10" s="146">
        <f>MAX(1,(YEAR(IF(I10="",EDATE($C$3,Scenarios!$E$7),IF(I10&lt;$C$3,EDATE($C$3,Scenarios!$E$6),EDATE(I10,Scenarios!$E$5))))-YEAR($C$3))*12+MONTH(IF(I10="",EDATE($C$3,Scenarios!$E$7),IF(I10&lt;$C$3,EDATE($C$3,Scenarios!$E$6),EDATE(I10,Scenarios!$E$5))))-MONTH($C$3))</f>
        <v>6</v>
      </c>
      <c r="BU10" s="178">
        <f>MIN(Scenarios!$E$14,(100-H10)/BT10)</f>
        <v>8</v>
      </c>
      <c r="BV10" s="146">
        <f>J10*(1-Scenarios!$E$8)+K10*G10/1000000*Scenarios!$E$9*(1+Scenarios!$E$10)</f>
        <v>4715.6766069400001</v>
      </c>
      <c r="BW10" s="146">
        <f>J10*(IF(H10&gt;=100,1,Scenarios!$E$11+(1-Scenarios!$E$11-Scenarios!$E$12)*H10/100)*MIN(1,H10/100))*(1-Scenarios!$E$13)</f>
        <v>151.49266313880491</v>
      </c>
      <c r="BX10" s="146">
        <f>MAX(0,BV10*(IF(MIN(100,$H10+BU10*5)&gt;=100,1,Scenarios!$E$11+(1-Scenarios!$E$11-Scenarios!$E$12)*MIN(100,$H10+BU10*5)/100)*MIN(1,MIN(100,$H10+BU10*5)/100))*(1-Scenarios!$E$13)-BW10)</f>
        <v>1086.4275781012925</v>
      </c>
      <c r="BY10" s="146">
        <f>MAX(0,BV10*(IF(MIN(100,$H10+BU10*15)&gt;=100,1,Scenarios!$E$11+(1-Scenarios!$E$11-Scenarios!$E$12)*MIN(100,$H10+BU10*15)/100)*MIN(1,MIN(100,$H10+BU10*15)/100))*(1-Scenarios!$E$13)-BW10)</f>
        <v>4328.400113454195</v>
      </c>
      <c r="BZ10" s="146">
        <f>MAX(0,BV10*(IF(MIN(100,$H10+BU10*27)&gt;=100,1,Scenarios!$E$11+(1-Scenarios!$E$11-Scenarios!$E$12)*MIN(100,$H10+BU10*27)/100)*MIN(1,MIN(100,$H10+BU10*27)/100))*(1-Scenarios!$E$13)-BW10)</f>
        <v>4328.400113454195</v>
      </c>
      <c r="CA10" s="206">
        <f t="shared" si="7"/>
        <v>1193.2996187788819</v>
      </c>
    </row>
    <row r="11" spans="1:79" ht="17.25" customHeight="1" x14ac:dyDescent="0.2">
      <c r="A11" s="135" t="s">
        <v>123</v>
      </c>
      <c r="B11" s="145" t="s">
        <v>124</v>
      </c>
      <c r="C11" s="145" t="s">
        <v>62</v>
      </c>
      <c r="D11" s="147">
        <v>46264</v>
      </c>
      <c r="E11" s="136">
        <v>710</v>
      </c>
      <c r="F11" s="136">
        <v>671</v>
      </c>
      <c r="G11" s="136">
        <v>1185345</v>
      </c>
      <c r="H11" s="191">
        <v>38</v>
      </c>
      <c r="I11" s="150">
        <v>46081</v>
      </c>
      <c r="J11" s="146">
        <f t="shared" si="0"/>
        <v>795.36649499999999</v>
      </c>
      <c r="K11" s="146">
        <f t="shared" si="1"/>
        <v>39</v>
      </c>
      <c r="L11" s="192">
        <f t="shared" si="2"/>
        <v>0.94507042253521123</v>
      </c>
      <c r="M11" s="147">
        <f>IF(I11="",EDATE($C$3,Scenarios!$F$7),IF(I11&lt;$C$3,EDATE($C$3,Scenarios!$F$6),EDATE(I11,Scenarios!$F$5)))</f>
        <v>46456</v>
      </c>
      <c r="N11" s="146">
        <f t="shared" si="3"/>
        <v>6</v>
      </c>
      <c r="O11" s="178">
        <f>MIN(Scenarios!$F$14,(100-H11)/N11)</f>
        <v>8</v>
      </c>
      <c r="P11" s="146">
        <f>J11*(1-Scenarios!$F$8)+K11*G11/1000000*Scenarios!$F$9*(1+Scenarios!$F$10)</f>
        <v>823.103568</v>
      </c>
      <c r="Q11" s="146">
        <f>J11*(IF(H11&gt;=100,1,Scenarios!$F$11+(1-Scenarios!$F$11-Scenarios!$F$12)*H11/100)*MIN(1,H11/100))*(1-Scenarios!$F$13)</f>
        <v>94.177755939960008</v>
      </c>
      <c r="R11" s="146">
        <f t="shared" si="4"/>
        <v>252.25665858842402</v>
      </c>
      <c r="S11" s="146">
        <f t="shared" si="5"/>
        <v>687.77063366003995</v>
      </c>
      <c r="T11" s="146">
        <f t="shared" si="6"/>
        <v>687.77063366003995</v>
      </c>
      <c r="U11" s="193">
        <f>J11*IF(H11&gt;=100,1,Scenarios!$F$11+(1-Scenarios!$F$11-Scenarios!$F$12)*H11/100)</f>
        <v>260.88021036000004</v>
      </c>
      <c r="V11" s="201">
        <f>MAX(0,$P11*(IF(MIN(100,$H11+$O11*V$6)&gt;=100,1,Scenarios!$F$11+(1-Scenarios!$F$11-Scenarios!$F$12)*MIN(100,$H11+$O11*V$6)/100)*MIN(1,MIN(100,$H11+$O11*V$6)/100))*(1-Scenarios!$F$13)-$Q11)</f>
        <v>41.068037525255988</v>
      </c>
      <c r="W11" s="146">
        <f>MAX(0,$P11*(IF(MIN(100,$H11+$O11*W$6)&gt;=100,1,Scenarios!$F$11+(1-Scenarios!$F$11-Scenarios!$F$12)*MIN(100,$H11+$O11*W$6)/100)*MIN(1,MIN(100,$H11+$O11*W$6)/100))*(1-Scenarios!$F$13)-$Q11)</f>
        <v>84.857147342856024</v>
      </c>
      <c r="X11" s="146">
        <f>MAX(0,$P11*(IF(MIN(100,$H11+$O11*X$6)&gt;=100,1,Scenarios!$F$11+(1-Scenarios!$F$11-Scenarios!$F$12)*MIN(100,$H11+$O11*X$6)/100)*MIN(1,MIN(100,$H11+$O11*X$6)/100))*(1-Scenarios!$F$13)-$Q11)</f>
        <v>134.65162079258403</v>
      </c>
      <c r="Y11" s="146">
        <f>MAX(0,$P11*(IF(MIN(100,$H11+$O11*Y$6)&gt;=100,1,Scenarios!$F$11+(1-Scenarios!$F$11-Scenarios!$F$12)*MIN(100,$H11+$O11*Y$6)/100)*MIN(1,MIN(100,$H11+$O11*Y$6)/100))*(1-Scenarios!$F$13)-$Q11)</f>
        <v>190.45145787444002</v>
      </c>
      <c r="Z11" s="146">
        <f>MAX(0,$P11*(IF(MIN(100,$H11+$O11*Z$6)&gt;=100,1,Scenarios!$F$11+(1-Scenarios!$F$11-Scenarios!$F$12)*MIN(100,$H11+$O11*Z$6)/100)*MIN(1,MIN(100,$H11+$O11*Z$6)/100))*(1-Scenarios!$F$13)-$Q11)</f>
        <v>252.25665858842402</v>
      </c>
      <c r="AA11" s="146">
        <f>MAX(0,$P11*(IF(MIN(100,$H11+$O11*AA$6)&gt;=100,1,Scenarios!$F$11+(1-Scenarios!$F$11-Scenarios!$F$12)*MIN(100,$H11+$O11*AA$6)/100)*MIN(1,MIN(100,$H11+$O11*AA$6)/100))*(1-Scenarios!$F$13)-$Q11)</f>
        <v>320.06722293453606</v>
      </c>
      <c r="AB11" s="146">
        <f>MAX(0,$P11*(IF(MIN(100,$H11+$O11*AB$6)&gt;=100,1,Scenarios!$F$11+(1-Scenarios!$F$11-Scenarios!$F$12)*MIN(100,$H11+$O11*AB$6)/100)*MIN(1,MIN(100,$H11+$O11*AB$6)/100))*(1-Scenarios!$F$13)-$Q11)</f>
        <v>393.88315091277605</v>
      </c>
      <c r="AC11" s="146">
        <f>MAX(0,$P11*(IF(MIN(100,$H11+$O11*AC$6)&gt;=100,1,Scenarios!$F$11+(1-Scenarios!$F$11-Scenarios!$F$12)*MIN(100,$H11+$O11*AC$6)/100)*MIN(1,MIN(100,$H11+$O11*AC$6)/100))*(1-Scenarios!$F$13)-$Q11)</f>
        <v>687.77063366003995</v>
      </c>
      <c r="AD11" s="146">
        <f>MAX(0,$P11*(IF(MIN(100,$H11+$O11*AD$6)&gt;=100,1,Scenarios!$F$11+(1-Scenarios!$F$11-Scenarios!$F$12)*MIN(100,$H11+$O11*AD$6)/100)*MIN(1,MIN(100,$H11+$O11*AD$6)/100))*(1-Scenarios!$F$13)-$Q11)</f>
        <v>687.77063366003995</v>
      </c>
      <c r="AE11" s="146">
        <f>MAX(0,$P11*(IF(MIN(100,$H11+$O11*AE$6)&gt;=100,1,Scenarios!$F$11+(1-Scenarios!$F$11-Scenarios!$F$12)*MIN(100,$H11+$O11*AE$6)/100)*MIN(1,MIN(100,$H11+$O11*AE$6)/100))*(1-Scenarios!$F$13)-$Q11)</f>
        <v>687.77063366003995</v>
      </c>
      <c r="AF11" s="146">
        <f>MAX(0,$P11*(IF(MIN(100,$H11+$O11*AF$6)&gt;=100,1,Scenarios!$F$11+(1-Scenarios!$F$11-Scenarios!$F$12)*MIN(100,$H11+$O11*AF$6)/100)*MIN(1,MIN(100,$H11+$O11*AF$6)/100))*(1-Scenarios!$F$13)-$Q11)</f>
        <v>687.77063366003995</v>
      </c>
      <c r="AG11" s="146">
        <f>MAX(0,$P11*(IF(MIN(100,$H11+$O11*AG$6)&gt;=100,1,Scenarios!$F$11+(1-Scenarios!$F$11-Scenarios!$F$12)*MIN(100,$H11+$O11*AG$6)/100)*MIN(1,MIN(100,$H11+$O11*AG$6)/100))*(1-Scenarios!$F$13)-$Q11)</f>
        <v>687.77063366003995</v>
      </c>
      <c r="AH11" s="146">
        <f>MAX(0,$P11*(IF(MIN(100,$H11+$O11*AH$6)&gt;=100,1,Scenarios!$F$11+(1-Scenarios!$F$11-Scenarios!$F$12)*MIN(100,$H11+$O11*AH$6)/100)*MIN(1,MIN(100,$H11+$O11*AH$6)/100))*(1-Scenarios!$F$13)-$Q11)</f>
        <v>687.77063366003995</v>
      </c>
      <c r="AI11" s="146">
        <f>MAX(0,$P11*(IF(MIN(100,$H11+$O11*AI$6)&gt;=100,1,Scenarios!$F$11+(1-Scenarios!$F$11-Scenarios!$F$12)*MIN(100,$H11+$O11*AI$6)/100)*MIN(1,MIN(100,$H11+$O11*AI$6)/100))*(1-Scenarios!$F$13)-$Q11)</f>
        <v>687.77063366003995</v>
      </c>
      <c r="AJ11" s="146">
        <f>MAX(0,$P11*(IF(MIN(100,$H11+$O11*AJ$6)&gt;=100,1,Scenarios!$F$11+(1-Scenarios!$F$11-Scenarios!$F$12)*MIN(100,$H11+$O11*AJ$6)/100)*MIN(1,MIN(100,$H11+$O11*AJ$6)/100))*(1-Scenarios!$F$13)-$Q11)</f>
        <v>687.77063366003995</v>
      </c>
      <c r="AK11" s="146">
        <f>MAX(0,$P11*(IF(MIN(100,$H11+$O11*AK$6)&gt;=100,1,Scenarios!$F$11+(1-Scenarios!$F$11-Scenarios!$F$12)*MIN(100,$H11+$O11*AK$6)/100)*MIN(1,MIN(100,$H11+$O11*AK$6)/100))*(1-Scenarios!$F$13)-$Q11)</f>
        <v>687.77063366003995</v>
      </c>
      <c r="AL11" s="146">
        <f>MAX(0,$P11*(IF(MIN(100,$H11+$O11*AL$6)&gt;=100,1,Scenarios!$F$11+(1-Scenarios!$F$11-Scenarios!$F$12)*MIN(100,$H11+$O11*AL$6)/100)*MIN(1,MIN(100,$H11+$O11*AL$6)/100))*(1-Scenarios!$F$13)-$Q11)</f>
        <v>687.77063366003995</v>
      </c>
      <c r="AM11" s="146">
        <f>MAX(0,$P11*(IF(MIN(100,$H11+$O11*AM$6)&gt;=100,1,Scenarios!$F$11+(1-Scenarios!$F$11-Scenarios!$F$12)*MIN(100,$H11+$O11*AM$6)/100)*MIN(1,MIN(100,$H11+$O11*AM$6)/100))*(1-Scenarios!$F$13)-$Q11)</f>
        <v>687.77063366003995</v>
      </c>
      <c r="AN11" s="146">
        <f>MAX(0,$P11*(IF(MIN(100,$H11+$O11*AN$6)&gt;=100,1,Scenarios!$F$11+(1-Scenarios!$F$11-Scenarios!$F$12)*MIN(100,$H11+$O11*AN$6)/100)*MIN(1,MIN(100,$H11+$O11*AN$6)/100))*(1-Scenarios!$F$13)-$Q11)</f>
        <v>687.77063366003995</v>
      </c>
      <c r="AO11" s="146">
        <f>MAX(0,$P11*(IF(MIN(100,$H11+$O11*AO$6)&gt;=100,1,Scenarios!$F$11+(1-Scenarios!$F$11-Scenarios!$F$12)*MIN(100,$H11+$O11*AO$6)/100)*MIN(1,MIN(100,$H11+$O11*AO$6)/100))*(1-Scenarios!$F$13)-$Q11)</f>
        <v>687.77063366003995</v>
      </c>
      <c r="AP11" s="146">
        <f>MAX(0,$P11*(IF(MIN(100,$H11+$O11*AP$6)&gt;=100,1,Scenarios!$F$11+(1-Scenarios!$F$11-Scenarios!$F$12)*MIN(100,$H11+$O11*AP$6)/100)*MIN(1,MIN(100,$H11+$O11*AP$6)/100))*(1-Scenarios!$F$13)-$Q11)</f>
        <v>687.77063366003995</v>
      </c>
      <c r="AQ11" s="146">
        <f>MAX(0,$P11*(IF(MIN(100,$H11+$O11*AQ$6)&gt;=100,1,Scenarios!$F$11+(1-Scenarios!$F$11-Scenarios!$F$12)*MIN(100,$H11+$O11*AQ$6)/100)*MIN(1,MIN(100,$H11+$O11*AQ$6)/100))*(1-Scenarios!$F$13)-$Q11)</f>
        <v>687.77063366003995</v>
      </c>
      <c r="AR11" s="146">
        <f>MAX(0,$P11*(IF(MIN(100,$H11+$O11*AR$6)&gt;=100,1,Scenarios!$F$11+(1-Scenarios!$F$11-Scenarios!$F$12)*MIN(100,$H11+$O11*AR$6)/100)*MIN(1,MIN(100,$H11+$O11*AR$6)/100))*(1-Scenarios!$F$13)-$Q11)</f>
        <v>687.77063366003995</v>
      </c>
      <c r="AS11" s="146">
        <f>MAX(0,$P11*(IF(MIN(100,$H11+$O11*AS$6)&gt;=100,1,Scenarios!$F$11+(1-Scenarios!$F$11-Scenarios!$F$12)*MIN(100,$H11+$O11*AS$6)/100)*MIN(1,MIN(100,$H11+$O11*AS$6)/100))*(1-Scenarios!$F$13)-$Q11)</f>
        <v>687.77063366003995</v>
      </c>
      <c r="AT11" s="146">
        <f>MAX(0,$P11*(IF(MIN(100,$H11+$O11*AT$6)&gt;=100,1,Scenarios!$F$11+(1-Scenarios!$F$11-Scenarios!$F$12)*MIN(100,$H11+$O11*AT$6)/100)*MIN(1,MIN(100,$H11+$O11*AT$6)/100))*(1-Scenarios!$F$13)-$Q11)</f>
        <v>687.77063366003995</v>
      </c>
      <c r="AU11" s="146">
        <f>MAX(0,$P11*(IF(MIN(100,$H11+$O11*AU$6)&gt;=100,1,Scenarios!$F$11+(1-Scenarios!$F$11-Scenarios!$F$12)*MIN(100,$H11+$O11*AU$6)/100)*MIN(1,MIN(100,$H11+$O11*AU$6)/100))*(1-Scenarios!$F$13)-$Q11)</f>
        <v>687.77063366003995</v>
      </c>
      <c r="AV11" s="146">
        <f>MAX(0,$P11*(IF(MIN(100,$H11+$O11*AV$6)&gt;=100,1,Scenarios!$F$11+(1-Scenarios!$F$11-Scenarios!$F$12)*MIN(100,$H11+$O11*AV$6)/100)*MIN(1,MIN(100,$H11+$O11*AV$6)/100))*(1-Scenarios!$F$13)-$Q11)</f>
        <v>687.77063366003995</v>
      </c>
      <c r="AW11" s="193">
        <f>MAX(0,$P11*(IF(MIN(100,$H11+$O11*AW$6)&gt;=100,1,Scenarios!$F$11+(1-Scenarios!$F$11-Scenarios!$F$12)*MIN(100,$H11+$O11*AW$6)/100)*MIN(1,MIN(100,$H11+$O11*AW$6)/100))*(1-Scenarios!$F$13)-$Q11)</f>
        <v>687.77063366003995</v>
      </c>
      <c r="AX11" s="2"/>
      <c r="AY11" s="201">
        <f>MAX(1,(YEAR(IF(I11="",EDATE($C$3,Scenarios!$B$7),IF(I11&lt;$C$3,EDATE($C$3,Scenarios!$B$6),EDATE(I11,Scenarios!$B$5))))-YEAR($C$3))*12+MONTH(IF(I11="",EDATE($C$3,Scenarios!$B$7),IF(I11&lt;$C$3,EDATE($C$3,Scenarios!$B$6),EDATE(I11,Scenarios!$B$5))))-MONTH($C$3))</f>
        <v>6</v>
      </c>
      <c r="AZ11" s="178">
        <f>MIN(Scenarios!$B$14,(100-H11)/AY11)</f>
        <v>8</v>
      </c>
      <c r="BA11" s="146">
        <f>J11*(1-Scenarios!$B$8)+K11*G11/1000000*Scenarios!$B$9*(1+Scenarios!$B$10)</f>
        <v>823.103568</v>
      </c>
      <c r="BB11" s="146">
        <f>J11*(IF(H11&gt;=100,1,Scenarios!$B$11+(1-Scenarios!$B$11-Scenarios!$B$12)*H11/100)*MIN(1,H11/100))*(1-Scenarios!$B$13)</f>
        <v>94.177755939960008</v>
      </c>
      <c r="BC11" s="146">
        <f>MAX(0,BA11*(IF(MIN(100,$H11+AZ11*5)&gt;=100,1,Scenarios!$B$11+(1-Scenarios!$B$11-Scenarios!$B$12)*MIN(100,$H11+AZ11*5)/100)*MIN(1,MIN(100,$H11+AZ11*5)/100))*(1-Scenarios!$B$13)-BB11)</f>
        <v>252.25665858842402</v>
      </c>
      <c r="BD11" s="146">
        <f>MAX(0,BA11*(IF(MIN(100,$H11+AZ11*15)&gt;=100,1,Scenarios!$B$11+(1-Scenarios!$B$11-Scenarios!$B$12)*MIN(100,$H11+AZ11*15)/100)*MIN(1,MIN(100,$H11+AZ11*15)/100))*(1-Scenarios!$B$13)-BB11)</f>
        <v>687.77063366003995</v>
      </c>
      <c r="BE11" s="146">
        <f>MAX(0,BA11*(IF(MIN(100,$H11+AZ11*27)&gt;=100,1,Scenarios!$B$11+(1-Scenarios!$B$11-Scenarios!$B$12)*MIN(100,$H11+AZ11*27)/100)*MIN(1,MIN(100,$H11+AZ11*27)/100))*(1-Scenarios!$B$13)-BB11)</f>
        <v>687.77063366003995</v>
      </c>
      <c r="BF11" s="146">
        <f>MAX(1,(YEAR(IF(I11="",EDATE($C$3,Scenarios!$C$7),IF(I11&lt;$C$3,EDATE($C$3,Scenarios!$C$6),EDATE(I11,Scenarios!$C$5))))-YEAR($C$3))*12+MONTH(IF(I11="",EDATE($C$3,Scenarios!$C$7),IF(I11&lt;$C$3,EDATE($C$3,Scenarios!$C$6),EDATE(I11,Scenarios!$C$5))))-MONTH($C$3))</f>
        <v>12</v>
      </c>
      <c r="BG11" s="178">
        <f>MIN(Scenarios!$C$14,(100-H11)/BF11)</f>
        <v>5.166666666666667</v>
      </c>
      <c r="BH11" s="146">
        <f>J11*(1-Scenarios!$C$8)+K11*G11/1000000*Scenarios!$C$9*(1+Scenarios!$C$10)</f>
        <v>813.85787700000003</v>
      </c>
      <c r="BI11" s="146">
        <f>J11*(IF(H11&gt;=100,1,Scenarios!$C$11+(1-Scenarios!$C$11-Scenarios!$C$12)*H11/100)*MIN(1,H11/100))*(1-Scenarios!$C$13)</f>
        <v>94.177755939960008</v>
      </c>
      <c r="BJ11" s="146">
        <f>MAX(0,BH11*(IF(MIN(100,$H11+BG11*5)&gt;=100,1,Scenarios!$C$11+(1-Scenarios!$C$11-Scenarios!$C$12)*MIN(100,$H11+BG11*5)/100)*MIN(1,MIN(100,$H11+BG11*5)/100))*(1-Scenarios!$C$13)-BI11)</f>
        <v>144.20060583993228</v>
      </c>
      <c r="BK11" s="146">
        <f>MAX(0,BH11*(IF(MIN(100,$H11+BG11*15)&gt;=100,1,Scenarios!$C$11+(1-Scenarios!$C$11-Scenarios!$C$12)*MIN(100,$H11+BG11*15)/100)*MIN(1,MIN(100,$H11+BG11*15)/100))*(1-Scenarios!$C$13)-BI11)</f>
        <v>678.98722721004003</v>
      </c>
      <c r="BL11" s="146">
        <f>MAX(0,BH11*(IF(MIN(100,$H11+BG11*27)&gt;=100,1,Scenarios!$C$11+(1-Scenarios!$C$11-Scenarios!$C$12)*MIN(100,$H11+BG11*27)/100)*MIN(1,MIN(100,$H11+BG11*27)/100))*(1-Scenarios!$C$13)-BI11)</f>
        <v>678.98722721004003</v>
      </c>
      <c r="BM11" s="146">
        <f>MAX(1,(YEAR(IF(I11="",EDATE($C$3,Scenarios!$D$7),IF(I11&lt;$C$3,EDATE($C$3,Scenarios!$D$6),EDATE(I11,Scenarios!$D$5))))-YEAR($C$3))*12+MONTH(IF(I11="",EDATE($C$3,Scenarios!$D$7),IF(I11&lt;$C$3,EDATE($C$3,Scenarios!$D$6),EDATE(I11,Scenarios!$D$5))))-MONTH($C$3))</f>
        <v>6</v>
      </c>
      <c r="BN11" s="178">
        <f>MIN(Scenarios!$D$14,(100-H11)/BM11)</f>
        <v>8</v>
      </c>
      <c r="BO11" s="146">
        <f>J11*(1-Scenarios!$D$8)+K11*G11/1000000*Scenarios!$D$9*(1+Scenarios!$D$10)</f>
        <v>694.55290275000004</v>
      </c>
      <c r="BP11" s="146">
        <f>J11*(IF(H11&gt;=100,1,Scenarios!$D$11+(1-Scenarios!$D$11-Scenarios!$D$12)*H11/100)*MIN(1,H11/100))*(1-Scenarios!$D$13)</f>
        <v>94.177755939960008</v>
      </c>
      <c r="BQ11" s="146">
        <f>MAX(0,BO11*(IF(MIN(100,$H11+BN11*5)&gt;=100,1,Scenarios!$D$11+(1-Scenarios!$D$11-Scenarios!$D$12)*MIN(100,$H11+BN11*5)/100)*MIN(1,MIN(100,$H11+BN11*5)/100))*(1-Scenarios!$D$13)-BP11)</f>
        <v>198.151226192682</v>
      </c>
      <c r="BR11" s="146">
        <f>MAX(0,BO11*(IF(MIN(100,$H11+BN11*15)&gt;=100,1,Scenarios!$D$11+(1-Scenarios!$D$11-Scenarios!$D$12)*MIN(100,$H11+BN11*15)/100)*MIN(1,MIN(100,$H11+BN11*15)/100))*(1-Scenarios!$D$13)-BP11)</f>
        <v>565.64750167253999</v>
      </c>
      <c r="BS11" s="146">
        <f>MAX(0,BO11*(IF(MIN(100,$H11+BN11*27)&gt;=100,1,Scenarios!$D$11+(1-Scenarios!$D$11-Scenarios!$D$12)*MIN(100,$H11+BN11*27)/100)*MIN(1,MIN(100,$H11+BN11*27)/100))*(1-Scenarios!$D$13)-BP11)</f>
        <v>565.64750167253999</v>
      </c>
      <c r="BT11" s="146">
        <f>MAX(1,(YEAR(IF(I11="",EDATE($C$3,Scenarios!$E$7),IF(I11&lt;$C$3,EDATE($C$3,Scenarios!$E$6),EDATE(I11,Scenarios!$E$5))))-YEAR($C$3))*12+MONTH(IF(I11="",EDATE($C$3,Scenarios!$E$7),IF(I11&lt;$C$3,EDATE($C$3,Scenarios!$E$6),EDATE(I11,Scenarios!$E$5))))-MONTH($C$3))</f>
        <v>6</v>
      </c>
      <c r="BU11" s="178">
        <f>MIN(Scenarios!$E$14,(100-H11)/BT11)</f>
        <v>8</v>
      </c>
      <c r="BV11" s="146">
        <f>J11*(1-Scenarios!$E$8)+K11*G11/1000000*Scenarios!$E$9*(1+Scenarios!$E$10)</f>
        <v>779.17468229999997</v>
      </c>
      <c r="BW11" s="146">
        <f>J11*(IF(H11&gt;=100,1,Scenarios!$E$11+(1-Scenarios!$E$11-Scenarios!$E$12)*H11/100)*MIN(1,H11/100))*(1-Scenarios!$E$13)</f>
        <v>94.177755939960008</v>
      </c>
      <c r="BX11" s="146">
        <f>MAX(0,BV11*(IF(MIN(100,$H11+BU11*5)&gt;=100,1,Scenarios!$E$11+(1-Scenarios!$E$11-Scenarios!$E$12)*MIN(100,$H11+BU11*5)/100)*MIN(1,MIN(100,$H11+BU11*5)/100))*(1-Scenarios!$E$13)-BW11)</f>
        <v>233.76751774392241</v>
      </c>
      <c r="BY11" s="146">
        <f>MAX(0,BV11*(IF(MIN(100,$H11+BU11*15)&gt;=100,1,Scenarios!$E$11+(1-Scenarios!$E$11-Scenarios!$E$12)*MIN(100,$H11+BU11*15)/100)*MIN(1,MIN(100,$H11+BU11*15)/100))*(1-Scenarios!$E$13)-BW11)</f>
        <v>646.03819224503991</v>
      </c>
      <c r="BZ11" s="146">
        <f>MAX(0,BV11*(IF(MIN(100,$H11+BU11*27)&gt;=100,1,Scenarios!$E$11+(1-Scenarios!$E$11-Scenarios!$E$12)*MIN(100,$H11+BU11*27)/100)*MIN(1,MIN(100,$H11+BU11*27)/100))*(1-Scenarios!$E$13)-BW11)</f>
        <v>646.03819224503991</v>
      </c>
      <c r="CA11" s="206">
        <f t="shared" si="7"/>
        <v>252.25666958842402</v>
      </c>
    </row>
    <row r="12" spans="1:79" ht="17.25" customHeight="1" x14ac:dyDescent="0.2">
      <c r="A12" s="135" t="s">
        <v>125</v>
      </c>
      <c r="B12" s="145" t="s">
        <v>126</v>
      </c>
      <c r="C12" s="145" t="s">
        <v>62</v>
      </c>
      <c r="D12" s="147">
        <v>46264</v>
      </c>
      <c r="E12" s="136">
        <v>628</v>
      </c>
      <c r="F12" s="136">
        <v>599</v>
      </c>
      <c r="G12" s="136">
        <v>1275909</v>
      </c>
      <c r="H12" s="191">
        <v>46</v>
      </c>
      <c r="I12" s="150">
        <v>46081</v>
      </c>
      <c r="J12" s="146">
        <f t="shared" si="0"/>
        <v>764.26949100000002</v>
      </c>
      <c r="K12" s="146">
        <f t="shared" si="1"/>
        <v>29</v>
      </c>
      <c r="L12" s="192">
        <f t="shared" si="2"/>
        <v>0.95382165605095537</v>
      </c>
      <c r="M12" s="147">
        <f>IF(I12="",EDATE($C$3,Scenarios!$F$7),IF(I12&lt;$C$3,EDATE($C$3,Scenarios!$F$6),EDATE(I12,Scenarios!$F$5)))</f>
        <v>46456</v>
      </c>
      <c r="N12" s="146">
        <f t="shared" si="3"/>
        <v>6</v>
      </c>
      <c r="O12" s="178">
        <f>MIN(Scenarios!$F$14,(100-H12)/N12)</f>
        <v>8</v>
      </c>
      <c r="P12" s="146">
        <f>J12*(1-Scenarios!$F$8)+K12*G12/1000000*Scenarios!$F$9*(1+Scenarios!$F$10)</f>
        <v>786.47030760000007</v>
      </c>
      <c r="Q12" s="146">
        <f>J12*(IF(H12&gt;=100,1,Scenarios!$F$11+(1-Scenarios!$F$11-Scenarios!$F$12)*H12/100)*MIN(1,H12/100))*(1-Scenarios!$F$13)</f>
        <v>125.578648605192</v>
      </c>
      <c r="R12" s="146">
        <f t="shared" si="4"/>
        <v>270.22983604127535</v>
      </c>
      <c r="S12" s="146">
        <f t="shared" si="5"/>
        <v>621.56814361480804</v>
      </c>
      <c r="T12" s="146">
        <f t="shared" si="6"/>
        <v>621.56814361480804</v>
      </c>
      <c r="U12" s="193">
        <f>J12*IF(H12&gt;=100,1,Scenarios!$F$11+(1-Scenarios!$F$11-Scenarios!$F$12)*H12/100)</f>
        <v>287.365328616</v>
      </c>
      <c r="V12" s="201">
        <f>MAX(0,$P12*(IF(MIN(100,$H12+$O12*V$6)&gt;=100,1,Scenarios!$F$11+(1-Scenarios!$F$11-Scenarios!$F$12)*MIN(100,$H12+$O12*V$6)/100)*MIN(1,MIN(100,$H12+$O12*V$6)/100))*(1-Scenarios!$F$13)-$Q12)</f>
        <v>45.488080941499248</v>
      </c>
      <c r="W12" s="146">
        <f>MAX(0,$P12*(IF(MIN(100,$H12+$O12*W$6)&gt;=100,1,Scenarios!$F$11+(1-Scenarios!$F$11-Scenarios!$F$12)*MIN(100,$H12+$O12*W$6)/100)*MIN(1,MIN(100,$H12+$O12*W$6)/100))*(1-Scenarios!$F$13)-$Q12)</f>
        <v>93.066388670068847</v>
      </c>
      <c r="X12" s="146">
        <f>MAX(0,$P12*(IF(MIN(100,$H12+$O12*X$6)&gt;=100,1,Scenarios!$F$11+(1-Scenarios!$F$11-Scenarios!$F$12)*MIN(100,$H12+$O12*X$6)/100)*MIN(1,MIN(100,$H12+$O12*X$6)/100))*(1-Scenarios!$F$13)-$Q12)</f>
        <v>146.38278376288807</v>
      </c>
      <c r="Y12" s="146">
        <f>MAX(0,$P12*(IF(MIN(100,$H12+$O12*Y$6)&gt;=100,1,Scenarios!$F$11+(1-Scenarios!$F$11-Scenarios!$F$12)*MIN(100,$H12+$O12*Y$6)/100)*MIN(1,MIN(100,$H12+$O12*Y$6)/100))*(1-Scenarios!$F$13)-$Q12)</f>
        <v>205.43726621995685</v>
      </c>
      <c r="Z12" s="146">
        <f>MAX(0,$P12*(IF(MIN(100,$H12+$O12*Z$6)&gt;=100,1,Scenarios!$F$11+(1-Scenarios!$F$11-Scenarios!$F$12)*MIN(100,$H12+$O12*Z$6)/100)*MIN(1,MIN(100,$H12+$O12*Z$6)/100))*(1-Scenarios!$F$13)-$Q12)</f>
        <v>270.22983604127535</v>
      </c>
      <c r="AA12" s="146">
        <f>MAX(0,$P12*(IF(MIN(100,$H12+$O12*AA$6)&gt;=100,1,Scenarios!$F$11+(1-Scenarios!$F$11-Scenarios!$F$12)*MIN(100,$H12+$O12*AA$6)/100)*MIN(1,MIN(100,$H12+$O12*AA$6)/100))*(1-Scenarios!$F$13)-$Q12)</f>
        <v>340.76049322684332</v>
      </c>
      <c r="AB12" s="146">
        <f>MAX(0,$P12*(IF(MIN(100,$H12+$O12*AB$6)&gt;=100,1,Scenarios!$F$11+(1-Scenarios!$F$11-Scenarios!$F$12)*MIN(100,$H12+$O12*AB$6)/100)*MIN(1,MIN(100,$H12+$O12*AB$6)/100))*(1-Scenarios!$F$13)-$Q12)</f>
        <v>621.56814361480804</v>
      </c>
      <c r="AC12" s="146">
        <f>MAX(0,$P12*(IF(MIN(100,$H12+$O12*AC$6)&gt;=100,1,Scenarios!$F$11+(1-Scenarios!$F$11-Scenarios!$F$12)*MIN(100,$H12+$O12*AC$6)/100)*MIN(1,MIN(100,$H12+$O12*AC$6)/100))*(1-Scenarios!$F$13)-$Q12)</f>
        <v>621.56814361480804</v>
      </c>
      <c r="AD12" s="146">
        <f>MAX(0,$P12*(IF(MIN(100,$H12+$O12*AD$6)&gt;=100,1,Scenarios!$F$11+(1-Scenarios!$F$11-Scenarios!$F$12)*MIN(100,$H12+$O12*AD$6)/100)*MIN(1,MIN(100,$H12+$O12*AD$6)/100))*(1-Scenarios!$F$13)-$Q12)</f>
        <v>621.56814361480804</v>
      </c>
      <c r="AE12" s="146">
        <f>MAX(0,$P12*(IF(MIN(100,$H12+$O12*AE$6)&gt;=100,1,Scenarios!$F$11+(1-Scenarios!$F$11-Scenarios!$F$12)*MIN(100,$H12+$O12*AE$6)/100)*MIN(1,MIN(100,$H12+$O12*AE$6)/100))*(1-Scenarios!$F$13)-$Q12)</f>
        <v>621.56814361480804</v>
      </c>
      <c r="AF12" s="146">
        <f>MAX(0,$P12*(IF(MIN(100,$H12+$O12*AF$6)&gt;=100,1,Scenarios!$F$11+(1-Scenarios!$F$11-Scenarios!$F$12)*MIN(100,$H12+$O12*AF$6)/100)*MIN(1,MIN(100,$H12+$O12*AF$6)/100))*(1-Scenarios!$F$13)-$Q12)</f>
        <v>621.56814361480804</v>
      </c>
      <c r="AG12" s="146">
        <f>MAX(0,$P12*(IF(MIN(100,$H12+$O12*AG$6)&gt;=100,1,Scenarios!$F$11+(1-Scenarios!$F$11-Scenarios!$F$12)*MIN(100,$H12+$O12*AG$6)/100)*MIN(1,MIN(100,$H12+$O12*AG$6)/100))*(1-Scenarios!$F$13)-$Q12)</f>
        <v>621.56814361480804</v>
      </c>
      <c r="AH12" s="146">
        <f>MAX(0,$P12*(IF(MIN(100,$H12+$O12*AH$6)&gt;=100,1,Scenarios!$F$11+(1-Scenarios!$F$11-Scenarios!$F$12)*MIN(100,$H12+$O12*AH$6)/100)*MIN(1,MIN(100,$H12+$O12*AH$6)/100))*(1-Scenarios!$F$13)-$Q12)</f>
        <v>621.56814361480804</v>
      </c>
      <c r="AI12" s="146">
        <f>MAX(0,$P12*(IF(MIN(100,$H12+$O12*AI$6)&gt;=100,1,Scenarios!$F$11+(1-Scenarios!$F$11-Scenarios!$F$12)*MIN(100,$H12+$O12*AI$6)/100)*MIN(1,MIN(100,$H12+$O12*AI$6)/100))*(1-Scenarios!$F$13)-$Q12)</f>
        <v>621.56814361480804</v>
      </c>
      <c r="AJ12" s="146">
        <f>MAX(0,$P12*(IF(MIN(100,$H12+$O12*AJ$6)&gt;=100,1,Scenarios!$F$11+(1-Scenarios!$F$11-Scenarios!$F$12)*MIN(100,$H12+$O12*AJ$6)/100)*MIN(1,MIN(100,$H12+$O12*AJ$6)/100))*(1-Scenarios!$F$13)-$Q12)</f>
        <v>621.56814361480804</v>
      </c>
      <c r="AK12" s="146">
        <f>MAX(0,$P12*(IF(MIN(100,$H12+$O12*AK$6)&gt;=100,1,Scenarios!$F$11+(1-Scenarios!$F$11-Scenarios!$F$12)*MIN(100,$H12+$O12*AK$6)/100)*MIN(1,MIN(100,$H12+$O12*AK$6)/100))*(1-Scenarios!$F$13)-$Q12)</f>
        <v>621.56814361480804</v>
      </c>
      <c r="AL12" s="146">
        <f>MAX(0,$P12*(IF(MIN(100,$H12+$O12*AL$6)&gt;=100,1,Scenarios!$F$11+(1-Scenarios!$F$11-Scenarios!$F$12)*MIN(100,$H12+$O12*AL$6)/100)*MIN(1,MIN(100,$H12+$O12*AL$6)/100))*(1-Scenarios!$F$13)-$Q12)</f>
        <v>621.56814361480804</v>
      </c>
      <c r="AM12" s="146">
        <f>MAX(0,$P12*(IF(MIN(100,$H12+$O12*AM$6)&gt;=100,1,Scenarios!$F$11+(1-Scenarios!$F$11-Scenarios!$F$12)*MIN(100,$H12+$O12*AM$6)/100)*MIN(1,MIN(100,$H12+$O12*AM$6)/100))*(1-Scenarios!$F$13)-$Q12)</f>
        <v>621.56814361480804</v>
      </c>
      <c r="AN12" s="146">
        <f>MAX(0,$P12*(IF(MIN(100,$H12+$O12*AN$6)&gt;=100,1,Scenarios!$F$11+(1-Scenarios!$F$11-Scenarios!$F$12)*MIN(100,$H12+$O12*AN$6)/100)*MIN(1,MIN(100,$H12+$O12*AN$6)/100))*(1-Scenarios!$F$13)-$Q12)</f>
        <v>621.56814361480804</v>
      </c>
      <c r="AO12" s="146">
        <f>MAX(0,$P12*(IF(MIN(100,$H12+$O12*AO$6)&gt;=100,1,Scenarios!$F$11+(1-Scenarios!$F$11-Scenarios!$F$12)*MIN(100,$H12+$O12*AO$6)/100)*MIN(1,MIN(100,$H12+$O12*AO$6)/100))*(1-Scenarios!$F$13)-$Q12)</f>
        <v>621.56814361480804</v>
      </c>
      <c r="AP12" s="146">
        <f>MAX(0,$P12*(IF(MIN(100,$H12+$O12*AP$6)&gt;=100,1,Scenarios!$F$11+(1-Scenarios!$F$11-Scenarios!$F$12)*MIN(100,$H12+$O12*AP$6)/100)*MIN(1,MIN(100,$H12+$O12*AP$6)/100))*(1-Scenarios!$F$13)-$Q12)</f>
        <v>621.56814361480804</v>
      </c>
      <c r="AQ12" s="146">
        <f>MAX(0,$P12*(IF(MIN(100,$H12+$O12*AQ$6)&gt;=100,1,Scenarios!$F$11+(1-Scenarios!$F$11-Scenarios!$F$12)*MIN(100,$H12+$O12*AQ$6)/100)*MIN(1,MIN(100,$H12+$O12*AQ$6)/100))*(1-Scenarios!$F$13)-$Q12)</f>
        <v>621.56814361480804</v>
      </c>
      <c r="AR12" s="146">
        <f>MAX(0,$P12*(IF(MIN(100,$H12+$O12*AR$6)&gt;=100,1,Scenarios!$F$11+(1-Scenarios!$F$11-Scenarios!$F$12)*MIN(100,$H12+$O12*AR$6)/100)*MIN(1,MIN(100,$H12+$O12*AR$6)/100))*(1-Scenarios!$F$13)-$Q12)</f>
        <v>621.56814361480804</v>
      </c>
      <c r="AS12" s="146">
        <f>MAX(0,$P12*(IF(MIN(100,$H12+$O12*AS$6)&gt;=100,1,Scenarios!$F$11+(1-Scenarios!$F$11-Scenarios!$F$12)*MIN(100,$H12+$O12*AS$6)/100)*MIN(1,MIN(100,$H12+$O12*AS$6)/100))*(1-Scenarios!$F$13)-$Q12)</f>
        <v>621.56814361480804</v>
      </c>
      <c r="AT12" s="146">
        <f>MAX(0,$P12*(IF(MIN(100,$H12+$O12*AT$6)&gt;=100,1,Scenarios!$F$11+(1-Scenarios!$F$11-Scenarios!$F$12)*MIN(100,$H12+$O12*AT$6)/100)*MIN(1,MIN(100,$H12+$O12*AT$6)/100))*(1-Scenarios!$F$13)-$Q12)</f>
        <v>621.56814361480804</v>
      </c>
      <c r="AU12" s="146">
        <f>MAX(0,$P12*(IF(MIN(100,$H12+$O12*AU$6)&gt;=100,1,Scenarios!$F$11+(1-Scenarios!$F$11-Scenarios!$F$12)*MIN(100,$H12+$O12*AU$6)/100)*MIN(1,MIN(100,$H12+$O12*AU$6)/100))*(1-Scenarios!$F$13)-$Q12)</f>
        <v>621.56814361480804</v>
      </c>
      <c r="AV12" s="146">
        <f>MAX(0,$P12*(IF(MIN(100,$H12+$O12*AV$6)&gt;=100,1,Scenarios!$F$11+(1-Scenarios!$F$11-Scenarios!$F$12)*MIN(100,$H12+$O12*AV$6)/100)*MIN(1,MIN(100,$H12+$O12*AV$6)/100))*(1-Scenarios!$F$13)-$Q12)</f>
        <v>621.56814361480804</v>
      </c>
      <c r="AW12" s="193">
        <f>MAX(0,$P12*(IF(MIN(100,$H12+$O12*AW$6)&gt;=100,1,Scenarios!$F$11+(1-Scenarios!$F$11-Scenarios!$F$12)*MIN(100,$H12+$O12*AW$6)/100)*MIN(1,MIN(100,$H12+$O12*AW$6)/100))*(1-Scenarios!$F$13)-$Q12)</f>
        <v>621.56814361480804</v>
      </c>
      <c r="AX12" s="2"/>
      <c r="AY12" s="201">
        <f>MAX(1,(YEAR(IF(I12="",EDATE($C$3,Scenarios!$B$7),IF(I12&lt;$C$3,EDATE($C$3,Scenarios!$B$6),EDATE(I12,Scenarios!$B$5))))-YEAR($C$3))*12+MONTH(IF(I12="",EDATE($C$3,Scenarios!$B$7),IF(I12&lt;$C$3,EDATE($C$3,Scenarios!$B$6),EDATE(I12,Scenarios!$B$5))))-MONTH($C$3))</f>
        <v>6</v>
      </c>
      <c r="AZ12" s="178">
        <f>MIN(Scenarios!$B$14,(100-H12)/AY12)</f>
        <v>8</v>
      </c>
      <c r="BA12" s="146">
        <f>J12*(1-Scenarios!$B$8)+K12*G12/1000000*Scenarios!$B$9*(1+Scenarios!$B$10)</f>
        <v>786.47030760000007</v>
      </c>
      <c r="BB12" s="146">
        <f>J12*(IF(H12&gt;=100,1,Scenarios!$B$11+(1-Scenarios!$B$11-Scenarios!$B$12)*H12/100)*MIN(1,H12/100))*(1-Scenarios!$B$13)</f>
        <v>125.578648605192</v>
      </c>
      <c r="BC12" s="146">
        <f>MAX(0,BA12*(IF(MIN(100,$H12+AZ12*5)&gt;=100,1,Scenarios!$B$11+(1-Scenarios!$B$11-Scenarios!$B$12)*MIN(100,$H12+AZ12*5)/100)*MIN(1,MIN(100,$H12+AZ12*5)/100))*(1-Scenarios!$B$13)-BB12)</f>
        <v>270.22983604127535</v>
      </c>
      <c r="BD12" s="146">
        <f>MAX(0,BA12*(IF(MIN(100,$H12+AZ12*15)&gt;=100,1,Scenarios!$B$11+(1-Scenarios!$B$11-Scenarios!$B$12)*MIN(100,$H12+AZ12*15)/100)*MIN(1,MIN(100,$H12+AZ12*15)/100))*(1-Scenarios!$B$13)-BB12)</f>
        <v>621.56814361480804</v>
      </c>
      <c r="BE12" s="146">
        <f>MAX(0,BA12*(IF(MIN(100,$H12+AZ12*27)&gt;=100,1,Scenarios!$B$11+(1-Scenarios!$B$11-Scenarios!$B$12)*MIN(100,$H12+AZ12*27)/100)*MIN(1,MIN(100,$H12+AZ12*27)/100))*(1-Scenarios!$B$13)-BB12)</f>
        <v>621.56814361480804</v>
      </c>
      <c r="BF12" s="146">
        <f>MAX(1,(YEAR(IF(I12="",EDATE($C$3,Scenarios!$C$7),IF(I12&lt;$C$3,EDATE($C$3,Scenarios!$C$6),EDATE(I12,Scenarios!$C$5))))-YEAR($C$3))*12+MONTH(IF(I12="",EDATE($C$3,Scenarios!$C$7),IF(I12&lt;$C$3,EDATE($C$3,Scenarios!$C$6),EDATE(I12,Scenarios!$C$5))))-MONTH($C$3))</f>
        <v>12</v>
      </c>
      <c r="BG12" s="178">
        <f>MIN(Scenarios!$C$14,(100-H12)/BF12)</f>
        <v>4.5</v>
      </c>
      <c r="BH12" s="146">
        <f>J12*(1-Scenarios!$C$8)+K12*G12/1000000*Scenarios!$C$9*(1+Scenarios!$C$10)</f>
        <v>779.07003540000005</v>
      </c>
      <c r="BI12" s="146">
        <f>J12*(IF(H12&gt;=100,1,Scenarios!$C$11+(1-Scenarios!$C$11-Scenarios!$C$12)*H12/100)*MIN(1,H12/100))*(1-Scenarios!$C$13)</f>
        <v>125.578648605192</v>
      </c>
      <c r="BJ12" s="146">
        <f>MAX(0,BH12*(IF(MIN(100,$H12+BG12*5)&gt;=100,1,Scenarios!$C$11+(1-Scenarios!$C$11-Scenarios!$C$12)*MIN(100,$H12+BG12*5)/100)*MIN(1,MIN(100,$H12+BG12*5)/100))*(1-Scenarios!$C$13)-BI12)</f>
        <v>133.48804224398512</v>
      </c>
      <c r="BK12" s="146">
        <f>MAX(0,BH12*(IF(MIN(100,$H12+BG12*15)&gt;=100,1,Scenarios!$C$11+(1-Scenarios!$C$11-Scenarios!$C$12)*MIN(100,$H12+BG12*15)/100)*MIN(1,MIN(100,$H12+BG12*15)/100))*(1-Scenarios!$C$13)-BI12)</f>
        <v>614.53788502480802</v>
      </c>
      <c r="BL12" s="146">
        <f>MAX(0,BH12*(IF(MIN(100,$H12+BG12*27)&gt;=100,1,Scenarios!$C$11+(1-Scenarios!$C$11-Scenarios!$C$12)*MIN(100,$H12+BG12*27)/100)*MIN(1,MIN(100,$H12+BG12*27)/100))*(1-Scenarios!$C$13)-BI12)</f>
        <v>614.53788502480802</v>
      </c>
      <c r="BM12" s="146">
        <f>MAX(1,(YEAR(IF(I12="",EDATE($C$3,Scenarios!$D$7),IF(I12&lt;$C$3,EDATE($C$3,Scenarios!$D$6),EDATE(I12,Scenarios!$D$5))))-YEAR($C$3))*12+MONTH(IF(I12="",EDATE($C$3,Scenarios!$D$7),IF(I12&lt;$C$3,EDATE($C$3,Scenarios!$D$6),EDATE(I12,Scenarios!$D$5))))-MONTH($C$3))</f>
        <v>6</v>
      </c>
      <c r="BN12" s="178">
        <f>MIN(Scenarios!$D$14,(100-H12)/BM12)</f>
        <v>8</v>
      </c>
      <c r="BO12" s="146">
        <f>J12*(1-Scenarios!$D$8)+K12*G12/1000000*Scenarios!$D$9*(1+Scenarios!$D$10)</f>
        <v>664.42961175000005</v>
      </c>
      <c r="BP12" s="146">
        <f>J12*(IF(H12&gt;=100,1,Scenarios!$D$11+(1-Scenarios!$D$11-Scenarios!$D$12)*H12/100)*MIN(1,H12/100))*(1-Scenarios!$D$13)</f>
        <v>125.578648605192</v>
      </c>
      <c r="BQ12" s="146">
        <f>MAX(0,BO12*(IF(MIN(100,$H12+BN12*5)&gt;=100,1,Scenarios!$D$11+(1-Scenarios!$D$11-Scenarios!$D$12)*MIN(100,$H12+BN12*5)/100)*MIN(1,MIN(100,$H12+BN12*5)/100))*(1-Scenarios!$D$13)-BP12)</f>
        <v>208.8101709594541</v>
      </c>
      <c r="BR12" s="146">
        <f>MAX(0,BO12*(IF(MIN(100,$H12+BN12*15)&gt;=100,1,Scenarios!$D$11+(1-Scenarios!$D$11-Scenarios!$D$12)*MIN(100,$H12+BN12*15)/100)*MIN(1,MIN(100,$H12+BN12*15)/100))*(1-Scenarios!$D$13)-BP12)</f>
        <v>505.62948255730794</v>
      </c>
      <c r="BS12" s="146">
        <f>MAX(0,BO12*(IF(MIN(100,$H12+BN12*27)&gt;=100,1,Scenarios!$D$11+(1-Scenarios!$D$11-Scenarios!$D$12)*MIN(100,$H12+BN12*27)/100)*MIN(1,MIN(100,$H12+BN12*27)/100))*(1-Scenarios!$D$13)-BP12)</f>
        <v>505.62948255730794</v>
      </c>
      <c r="BT12" s="146">
        <f>MAX(1,(YEAR(IF(I12="",EDATE($C$3,Scenarios!$E$7),IF(I12&lt;$C$3,EDATE($C$3,Scenarios!$E$6),EDATE(I12,Scenarios!$E$5))))-YEAR($C$3))*12+MONTH(IF(I12="",EDATE($C$3,Scenarios!$E$7),IF(I12&lt;$C$3,EDATE($C$3,Scenarios!$E$6),EDATE(I12,Scenarios!$E$5))))-MONTH($C$3))</f>
        <v>6</v>
      </c>
      <c r="BU12" s="178">
        <f>MIN(Scenarios!$E$14,(100-H12)/BT12)</f>
        <v>8</v>
      </c>
      <c r="BV12" s="146">
        <f>J12*(1-Scenarios!$E$8)+K12*G12/1000000*Scenarios!$E$9*(1+Scenarios!$E$10)</f>
        <v>744.92671056000006</v>
      </c>
      <c r="BW12" s="146">
        <f>J12*(IF(H12&gt;=100,1,Scenarios!$E$11+(1-Scenarios!$E$11-Scenarios!$E$12)*H12/100)*MIN(1,H12/100))*(1-Scenarios!$E$13)</f>
        <v>125.578648605192</v>
      </c>
      <c r="BX12" s="146">
        <f>MAX(0,BV12*(IF(MIN(100,$H12+BU12*5)&gt;=100,1,Scenarios!$E$11+(1-Scenarios!$E$11-Scenarios!$E$12)*MIN(100,$H12+BU12*5)/100)*MIN(1,MIN(100,$H12+BU12*5)/100))*(1-Scenarios!$E$13)-BW12)</f>
        <v>249.32210687176044</v>
      </c>
      <c r="BY12" s="146">
        <f>MAX(0,BV12*(IF(MIN(100,$H12+BU12*15)&gt;=100,1,Scenarios!$E$11+(1-Scenarios!$E$11-Scenarios!$E$12)*MIN(100,$H12+BU12*15)/100)*MIN(1,MIN(100,$H12+BU12*15)/100))*(1-Scenarios!$E$13)-BW12)</f>
        <v>582.101726426808</v>
      </c>
      <c r="BZ12" s="146">
        <f>MAX(0,BV12*(IF(MIN(100,$H12+BU12*27)&gt;=100,1,Scenarios!$E$11+(1-Scenarios!$E$11-Scenarios!$E$12)*MIN(100,$H12+BU12*27)/100)*MIN(1,MIN(100,$H12+BU12*27)/100))*(1-Scenarios!$E$13)-BW12)</f>
        <v>582.101726426808</v>
      </c>
      <c r="CA12" s="206">
        <f t="shared" si="7"/>
        <v>270.22984804127537</v>
      </c>
    </row>
    <row r="13" spans="1:79" ht="17.25" customHeight="1" x14ac:dyDescent="0.2">
      <c r="A13" s="135" t="s">
        <v>127</v>
      </c>
      <c r="B13" s="145" t="s">
        <v>128</v>
      </c>
      <c r="C13" s="145" t="s">
        <v>62</v>
      </c>
      <c r="D13" s="147">
        <v>46264</v>
      </c>
      <c r="E13" s="136">
        <v>785</v>
      </c>
      <c r="F13" s="136">
        <v>694</v>
      </c>
      <c r="G13" s="136">
        <v>1242892</v>
      </c>
      <c r="H13" s="191">
        <v>99</v>
      </c>
      <c r="I13" s="150">
        <v>46112</v>
      </c>
      <c r="J13" s="146">
        <f t="shared" si="0"/>
        <v>862.567048</v>
      </c>
      <c r="K13" s="146">
        <f t="shared" si="1"/>
        <v>91</v>
      </c>
      <c r="L13" s="192">
        <f t="shared" si="2"/>
        <v>0.88407643312101913</v>
      </c>
      <c r="M13" s="147">
        <f>IF(I13="",EDATE($C$3,Scenarios!$F$7),IF(I13&lt;$C$3,EDATE($C$3,Scenarios!$F$6),EDATE(I13,Scenarios!$F$5)))</f>
        <v>46456</v>
      </c>
      <c r="N13" s="146">
        <f t="shared" si="3"/>
        <v>6</v>
      </c>
      <c r="O13" s="178">
        <f>MIN(Scenarios!$F$14,(100-H13)/N13)</f>
        <v>0.16666666666666666</v>
      </c>
      <c r="P13" s="146">
        <f>J13*(1-Scenarios!$F$8)+K13*G13/1000000*Scenarios!$F$9*(1+Scenarios!$F$10)</f>
        <v>930.42895120000003</v>
      </c>
      <c r="Q13" s="146">
        <f>J13*(IF(H13&gt;=100,1,Scenarios!$F$11+(1-Scenarios!$F$11-Scenarios!$F$12)*H13/100)*MIN(1,H13/100))*(1-Scenarios!$F$13)</f>
        <v>563.00355019893607</v>
      </c>
      <c r="R13" s="146">
        <f t="shared" si="4"/>
        <v>53.818042603683466</v>
      </c>
      <c r="S13" s="146">
        <f t="shared" si="5"/>
        <v>320.90395344106389</v>
      </c>
      <c r="T13" s="146">
        <f t="shared" si="6"/>
        <v>320.90395344106389</v>
      </c>
      <c r="U13" s="193">
        <f>J13*IF(H13&gt;=100,1,Scenarios!$F$11+(1-Scenarios!$F$11-Scenarios!$F$12)*H13/100)</f>
        <v>598.621531312</v>
      </c>
      <c r="V13" s="201">
        <f>MAX(0,$P13*(IF(MIN(100,$H13+$O13*V$6)&gt;=100,1,Scenarios!$F$11+(1-Scenarios!$F$11-Scenarios!$F$12)*MIN(100,$H13+$O13*V$6)/100)*MIN(1,MIN(100,$H13+$O13*V$6)/100))*(1-Scenarios!$F$13)-$Q13)</f>
        <v>46.192867205615812</v>
      </c>
      <c r="W13" s="146">
        <f>MAX(0,$P13*(IF(MIN(100,$H13+$O13*W$6)&gt;=100,1,Scenarios!$F$11+(1-Scenarios!$F$11-Scenarios!$F$12)*MIN(100,$H13+$O13*W$6)/100)*MIN(1,MIN(100,$H13+$O13*W$6)/100))*(1-Scenarios!$F$13)-$Q13)</f>
        <v>48.094741517614352</v>
      </c>
      <c r="X13" s="146">
        <f>MAX(0,$P13*(IF(MIN(100,$H13+$O13*X$6)&gt;=100,1,Scenarios!$F$11+(1-Scenarios!$F$11-Scenarios!$F$12)*MIN(100,$H13+$O13*X$6)/100)*MIN(1,MIN(100,$H13+$O13*X$6)/100))*(1-Scenarios!$F$13)-$Q13)</f>
        <v>49.999562187958645</v>
      </c>
      <c r="Y13" s="146">
        <f>MAX(0,$P13*(IF(MIN(100,$H13+$O13*Y$6)&gt;=100,1,Scenarios!$F$11+(1-Scenarios!$F$11-Scenarios!$F$12)*MIN(100,$H13+$O13*Y$6)/100)*MIN(1,MIN(100,$H13+$O13*Y$6)/100))*(1-Scenarios!$F$13)-$Q13)</f>
        <v>51.90732921664835</v>
      </c>
      <c r="Z13" s="146">
        <f>MAX(0,$P13*(IF(MIN(100,$H13+$O13*Z$6)&gt;=100,1,Scenarios!$F$11+(1-Scenarios!$F$11-Scenarios!$F$12)*MIN(100,$H13+$O13*Z$6)/100)*MIN(1,MIN(100,$H13+$O13*Z$6)/100))*(1-Scenarios!$F$13)-$Q13)</f>
        <v>53.818042603683466</v>
      </c>
      <c r="AA13" s="146">
        <f>MAX(0,$P13*(IF(MIN(100,$H13+$O13*AA$6)&gt;=100,1,Scenarios!$F$11+(1-Scenarios!$F$11-Scenarios!$F$12)*MIN(100,$H13+$O13*AA$6)/100)*MIN(1,MIN(100,$H13+$O13*AA$6)/100))*(1-Scenarios!$F$13)-$Q13)</f>
        <v>320.90395344106389</v>
      </c>
      <c r="AB13" s="146">
        <f>MAX(0,$P13*(IF(MIN(100,$H13+$O13*AB$6)&gt;=100,1,Scenarios!$F$11+(1-Scenarios!$F$11-Scenarios!$F$12)*MIN(100,$H13+$O13*AB$6)/100)*MIN(1,MIN(100,$H13+$O13*AB$6)/100))*(1-Scenarios!$F$13)-$Q13)</f>
        <v>320.90395344106389</v>
      </c>
      <c r="AC13" s="146">
        <f>MAX(0,$P13*(IF(MIN(100,$H13+$O13*AC$6)&gt;=100,1,Scenarios!$F$11+(1-Scenarios!$F$11-Scenarios!$F$12)*MIN(100,$H13+$O13*AC$6)/100)*MIN(1,MIN(100,$H13+$O13*AC$6)/100))*(1-Scenarios!$F$13)-$Q13)</f>
        <v>320.90395344106389</v>
      </c>
      <c r="AD13" s="146">
        <f>MAX(0,$P13*(IF(MIN(100,$H13+$O13*AD$6)&gt;=100,1,Scenarios!$F$11+(1-Scenarios!$F$11-Scenarios!$F$12)*MIN(100,$H13+$O13*AD$6)/100)*MIN(1,MIN(100,$H13+$O13*AD$6)/100))*(1-Scenarios!$F$13)-$Q13)</f>
        <v>320.90395344106389</v>
      </c>
      <c r="AE13" s="146">
        <f>MAX(0,$P13*(IF(MIN(100,$H13+$O13*AE$6)&gt;=100,1,Scenarios!$F$11+(1-Scenarios!$F$11-Scenarios!$F$12)*MIN(100,$H13+$O13*AE$6)/100)*MIN(1,MIN(100,$H13+$O13*AE$6)/100))*(1-Scenarios!$F$13)-$Q13)</f>
        <v>320.90395344106389</v>
      </c>
      <c r="AF13" s="146">
        <f>MAX(0,$P13*(IF(MIN(100,$H13+$O13*AF$6)&gt;=100,1,Scenarios!$F$11+(1-Scenarios!$F$11-Scenarios!$F$12)*MIN(100,$H13+$O13*AF$6)/100)*MIN(1,MIN(100,$H13+$O13*AF$6)/100))*(1-Scenarios!$F$13)-$Q13)</f>
        <v>320.90395344106389</v>
      </c>
      <c r="AG13" s="146">
        <f>MAX(0,$P13*(IF(MIN(100,$H13+$O13*AG$6)&gt;=100,1,Scenarios!$F$11+(1-Scenarios!$F$11-Scenarios!$F$12)*MIN(100,$H13+$O13*AG$6)/100)*MIN(1,MIN(100,$H13+$O13*AG$6)/100))*(1-Scenarios!$F$13)-$Q13)</f>
        <v>320.90395344106389</v>
      </c>
      <c r="AH13" s="146">
        <f>MAX(0,$P13*(IF(MIN(100,$H13+$O13*AH$6)&gt;=100,1,Scenarios!$F$11+(1-Scenarios!$F$11-Scenarios!$F$12)*MIN(100,$H13+$O13*AH$6)/100)*MIN(1,MIN(100,$H13+$O13*AH$6)/100))*(1-Scenarios!$F$13)-$Q13)</f>
        <v>320.90395344106389</v>
      </c>
      <c r="AI13" s="146">
        <f>MAX(0,$P13*(IF(MIN(100,$H13+$O13*AI$6)&gt;=100,1,Scenarios!$F$11+(1-Scenarios!$F$11-Scenarios!$F$12)*MIN(100,$H13+$O13*AI$6)/100)*MIN(1,MIN(100,$H13+$O13*AI$6)/100))*(1-Scenarios!$F$13)-$Q13)</f>
        <v>320.90395344106389</v>
      </c>
      <c r="AJ13" s="146">
        <f>MAX(0,$P13*(IF(MIN(100,$H13+$O13*AJ$6)&gt;=100,1,Scenarios!$F$11+(1-Scenarios!$F$11-Scenarios!$F$12)*MIN(100,$H13+$O13*AJ$6)/100)*MIN(1,MIN(100,$H13+$O13*AJ$6)/100))*(1-Scenarios!$F$13)-$Q13)</f>
        <v>320.90395344106389</v>
      </c>
      <c r="AK13" s="146">
        <f>MAX(0,$P13*(IF(MIN(100,$H13+$O13*AK$6)&gt;=100,1,Scenarios!$F$11+(1-Scenarios!$F$11-Scenarios!$F$12)*MIN(100,$H13+$O13*AK$6)/100)*MIN(1,MIN(100,$H13+$O13*AK$6)/100))*(1-Scenarios!$F$13)-$Q13)</f>
        <v>320.90395344106389</v>
      </c>
      <c r="AL13" s="146">
        <f>MAX(0,$P13*(IF(MIN(100,$H13+$O13*AL$6)&gt;=100,1,Scenarios!$F$11+(1-Scenarios!$F$11-Scenarios!$F$12)*MIN(100,$H13+$O13*AL$6)/100)*MIN(1,MIN(100,$H13+$O13*AL$6)/100))*(1-Scenarios!$F$13)-$Q13)</f>
        <v>320.90395344106389</v>
      </c>
      <c r="AM13" s="146">
        <f>MAX(0,$P13*(IF(MIN(100,$H13+$O13*AM$6)&gt;=100,1,Scenarios!$F$11+(1-Scenarios!$F$11-Scenarios!$F$12)*MIN(100,$H13+$O13*AM$6)/100)*MIN(1,MIN(100,$H13+$O13*AM$6)/100))*(1-Scenarios!$F$13)-$Q13)</f>
        <v>320.90395344106389</v>
      </c>
      <c r="AN13" s="146">
        <f>MAX(0,$P13*(IF(MIN(100,$H13+$O13*AN$6)&gt;=100,1,Scenarios!$F$11+(1-Scenarios!$F$11-Scenarios!$F$12)*MIN(100,$H13+$O13*AN$6)/100)*MIN(1,MIN(100,$H13+$O13*AN$6)/100))*(1-Scenarios!$F$13)-$Q13)</f>
        <v>320.90395344106389</v>
      </c>
      <c r="AO13" s="146">
        <f>MAX(0,$P13*(IF(MIN(100,$H13+$O13*AO$6)&gt;=100,1,Scenarios!$F$11+(1-Scenarios!$F$11-Scenarios!$F$12)*MIN(100,$H13+$O13*AO$6)/100)*MIN(1,MIN(100,$H13+$O13*AO$6)/100))*(1-Scenarios!$F$13)-$Q13)</f>
        <v>320.90395344106389</v>
      </c>
      <c r="AP13" s="146">
        <f>MAX(0,$P13*(IF(MIN(100,$H13+$O13*AP$6)&gt;=100,1,Scenarios!$F$11+(1-Scenarios!$F$11-Scenarios!$F$12)*MIN(100,$H13+$O13*AP$6)/100)*MIN(1,MIN(100,$H13+$O13*AP$6)/100))*(1-Scenarios!$F$13)-$Q13)</f>
        <v>320.90395344106389</v>
      </c>
      <c r="AQ13" s="146">
        <f>MAX(0,$P13*(IF(MIN(100,$H13+$O13*AQ$6)&gt;=100,1,Scenarios!$F$11+(1-Scenarios!$F$11-Scenarios!$F$12)*MIN(100,$H13+$O13*AQ$6)/100)*MIN(1,MIN(100,$H13+$O13*AQ$6)/100))*(1-Scenarios!$F$13)-$Q13)</f>
        <v>320.90395344106389</v>
      </c>
      <c r="AR13" s="146">
        <f>MAX(0,$P13*(IF(MIN(100,$H13+$O13*AR$6)&gt;=100,1,Scenarios!$F$11+(1-Scenarios!$F$11-Scenarios!$F$12)*MIN(100,$H13+$O13*AR$6)/100)*MIN(1,MIN(100,$H13+$O13*AR$6)/100))*(1-Scenarios!$F$13)-$Q13)</f>
        <v>320.90395344106389</v>
      </c>
      <c r="AS13" s="146">
        <f>MAX(0,$P13*(IF(MIN(100,$H13+$O13*AS$6)&gt;=100,1,Scenarios!$F$11+(1-Scenarios!$F$11-Scenarios!$F$12)*MIN(100,$H13+$O13*AS$6)/100)*MIN(1,MIN(100,$H13+$O13*AS$6)/100))*(1-Scenarios!$F$13)-$Q13)</f>
        <v>320.90395344106389</v>
      </c>
      <c r="AT13" s="146">
        <f>MAX(0,$P13*(IF(MIN(100,$H13+$O13*AT$6)&gt;=100,1,Scenarios!$F$11+(1-Scenarios!$F$11-Scenarios!$F$12)*MIN(100,$H13+$O13*AT$6)/100)*MIN(1,MIN(100,$H13+$O13*AT$6)/100))*(1-Scenarios!$F$13)-$Q13)</f>
        <v>320.90395344106389</v>
      </c>
      <c r="AU13" s="146">
        <f>MAX(0,$P13*(IF(MIN(100,$H13+$O13*AU$6)&gt;=100,1,Scenarios!$F$11+(1-Scenarios!$F$11-Scenarios!$F$12)*MIN(100,$H13+$O13*AU$6)/100)*MIN(1,MIN(100,$H13+$O13*AU$6)/100))*(1-Scenarios!$F$13)-$Q13)</f>
        <v>320.90395344106389</v>
      </c>
      <c r="AV13" s="146">
        <f>MAX(0,$P13*(IF(MIN(100,$H13+$O13*AV$6)&gt;=100,1,Scenarios!$F$11+(1-Scenarios!$F$11-Scenarios!$F$12)*MIN(100,$H13+$O13*AV$6)/100)*MIN(1,MIN(100,$H13+$O13*AV$6)/100))*(1-Scenarios!$F$13)-$Q13)</f>
        <v>320.90395344106389</v>
      </c>
      <c r="AW13" s="193">
        <f>MAX(0,$P13*(IF(MIN(100,$H13+$O13*AW$6)&gt;=100,1,Scenarios!$F$11+(1-Scenarios!$F$11-Scenarios!$F$12)*MIN(100,$H13+$O13*AW$6)/100)*MIN(1,MIN(100,$H13+$O13*AW$6)/100))*(1-Scenarios!$F$13)-$Q13)</f>
        <v>320.90395344106389</v>
      </c>
      <c r="AX13" s="2"/>
      <c r="AY13" s="201">
        <f>MAX(1,(YEAR(IF(I13="",EDATE($C$3,Scenarios!$B$7),IF(I13&lt;$C$3,EDATE($C$3,Scenarios!$B$6),EDATE(I13,Scenarios!$B$5))))-YEAR($C$3))*12+MONTH(IF(I13="",EDATE($C$3,Scenarios!$B$7),IF(I13&lt;$C$3,EDATE($C$3,Scenarios!$B$6),EDATE(I13,Scenarios!$B$5))))-MONTH($C$3))</f>
        <v>6</v>
      </c>
      <c r="AZ13" s="178">
        <f>MIN(Scenarios!$B$14,(100-H13)/AY13)</f>
        <v>0.16666666666666666</v>
      </c>
      <c r="BA13" s="146">
        <f>J13*(1-Scenarios!$B$8)+K13*G13/1000000*Scenarios!$B$9*(1+Scenarios!$B$10)</f>
        <v>930.42895120000003</v>
      </c>
      <c r="BB13" s="146">
        <f>J13*(IF(H13&gt;=100,1,Scenarios!$B$11+(1-Scenarios!$B$11-Scenarios!$B$12)*H13/100)*MIN(1,H13/100))*(1-Scenarios!$B$13)</f>
        <v>563.00355019893607</v>
      </c>
      <c r="BC13" s="146">
        <f>MAX(0,BA13*(IF(MIN(100,$H13+AZ13*5)&gt;=100,1,Scenarios!$B$11+(1-Scenarios!$B$11-Scenarios!$B$12)*MIN(100,$H13+AZ13*5)/100)*MIN(1,MIN(100,$H13+AZ13*5)/100))*(1-Scenarios!$B$13)-BB13)</f>
        <v>53.818042603683466</v>
      </c>
      <c r="BD13" s="146">
        <f>MAX(0,BA13*(IF(MIN(100,$H13+AZ13*15)&gt;=100,1,Scenarios!$B$11+(1-Scenarios!$B$11-Scenarios!$B$12)*MIN(100,$H13+AZ13*15)/100)*MIN(1,MIN(100,$H13+AZ13*15)/100))*(1-Scenarios!$B$13)-BB13)</f>
        <v>320.90395344106389</v>
      </c>
      <c r="BE13" s="146">
        <f>MAX(0,BA13*(IF(MIN(100,$H13+AZ13*27)&gt;=100,1,Scenarios!$B$11+(1-Scenarios!$B$11-Scenarios!$B$12)*MIN(100,$H13+AZ13*27)/100)*MIN(1,MIN(100,$H13+AZ13*27)/100))*(1-Scenarios!$B$13)-BB13)</f>
        <v>320.90395344106389</v>
      </c>
      <c r="BF13" s="146">
        <f>MAX(1,(YEAR(IF(I13="",EDATE($C$3,Scenarios!$C$7),IF(I13&lt;$C$3,EDATE($C$3,Scenarios!$C$6),EDATE(I13,Scenarios!$C$5))))-YEAR($C$3))*12+MONTH(IF(I13="",EDATE($C$3,Scenarios!$C$7),IF(I13&lt;$C$3,EDATE($C$3,Scenarios!$C$6),EDATE(I13,Scenarios!$C$5))))-MONTH($C$3))</f>
        <v>12</v>
      </c>
      <c r="BG13" s="178">
        <f>MIN(Scenarios!$C$14,(100-H13)/BF13)</f>
        <v>8.3333333333333329E-2</v>
      </c>
      <c r="BH13" s="146">
        <f>J13*(1-Scenarios!$C$8)+K13*G13/1000000*Scenarios!$C$9*(1+Scenarios!$C$10)</f>
        <v>907.80831680000006</v>
      </c>
      <c r="BI13" s="146">
        <f>J13*(IF(H13&gt;=100,1,Scenarios!$C$11+(1-Scenarios!$C$11-Scenarios!$C$12)*H13/100)*MIN(1,H13/100))*(1-Scenarios!$C$13)</f>
        <v>563.00355019893607</v>
      </c>
      <c r="BJ13" s="146">
        <f>MAX(0,BH13*(IF(MIN(100,$H13+BG13*5)&gt;=100,1,Scenarios!$C$11+(1-Scenarios!$C$11-Scenarios!$C$12)*MIN(100,$H13+BG13*5)/100)*MIN(1,MIN(100,$H13+BG13*5)/100))*(1-Scenarios!$C$13)-BI13)</f>
        <v>34.166585756262066</v>
      </c>
      <c r="BK13" s="146">
        <f>MAX(0,BH13*(IF(MIN(100,$H13+BG13*15)&gt;=100,1,Scenarios!$C$11+(1-Scenarios!$C$11-Scenarios!$C$12)*MIN(100,$H13+BG13*15)/100)*MIN(1,MIN(100,$H13+BG13*15)/100))*(1-Scenarios!$C$13)-BI13)</f>
        <v>299.41435076106393</v>
      </c>
      <c r="BL13" s="146">
        <f>MAX(0,BH13*(IF(MIN(100,$H13+BG13*27)&gt;=100,1,Scenarios!$C$11+(1-Scenarios!$C$11-Scenarios!$C$12)*MIN(100,$H13+BG13*27)/100)*MIN(1,MIN(100,$H13+BG13*27)/100))*(1-Scenarios!$C$13)-BI13)</f>
        <v>299.41435076106393</v>
      </c>
      <c r="BM13" s="146">
        <f>MAX(1,(YEAR(IF(I13="",EDATE($C$3,Scenarios!$D$7),IF(I13&lt;$C$3,EDATE($C$3,Scenarios!$D$6),EDATE(I13,Scenarios!$D$5))))-YEAR($C$3))*12+MONTH(IF(I13="",EDATE($C$3,Scenarios!$D$7),IF(I13&lt;$C$3,EDATE($C$3,Scenarios!$D$6),EDATE(I13,Scenarios!$D$5))))-MONTH($C$3))</f>
        <v>6</v>
      </c>
      <c r="BN13" s="178">
        <f>MIN(Scenarios!$D$14,(100-H13)/BM13)</f>
        <v>0.16666666666666666</v>
      </c>
      <c r="BO13" s="146">
        <f>J13*(1-Scenarios!$D$8)+K13*G13/1000000*Scenarios!$D$9*(1+Scenarios!$D$10)</f>
        <v>778.42325959999994</v>
      </c>
      <c r="BP13" s="146">
        <f>J13*(IF(H13&gt;=100,1,Scenarios!$D$11+(1-Scenarios!$D$11-Scenarios!$D$12)*H13/100)*MIN(1,H13/100))*(1-Scenarios!$D$13)</f>
        <v>563.00355019893607</v>
      </c>
      <c r="BQ13" s="146">
        <f>MAX(0,BO13*(IF(MIN(100,$H13+BN13*5)&gt;=100,1,Scenarios!$D$11+(1-Scenarios!$D$11-Scenarios!$D$12)*MIN(100,$H13+BN13*5)/100)*MIN(1,MIN(100,$H13+BN13*5)/100))*(1-Scenarios!$D$13)-BP13)</f>
        <v>0</v>
      </c>
      <c r="BR13" s="146">
        <f>MAX(0,BO13*(IF(MIN(100,$H13+BN13*15)&gt;=100,1,Scenarios!$D$11+(1-Scenarios!$D$11-Scenarios!$D$12)*MIN(100,$H13+BN13*15)/100)*MIN(1,MIN(100,$H13+BN13*15)/100))*(1-Scenarios!$D$13)-BP13)</f>
        <v>176.49854642106379</v>
      </c>
      <c r="BS13" s="146">
        <f>MAX(0,BO13*(IF(MIN(100,$H13+BN13*27)&gt;=100,1,Scenarios!$D$11+(1-Scenarios!$D$11-Scenarios!$D$12)*MIN(100,$H13+BN13*27)/100)*MIN(1,MIN(100,$H13+BN13*27)/100))*(1-Scenarios!$D$13)-BP13)</f>
        <v>176.49854642106379</v>
      </c>
      <c r="BT13" s="146">
        <f>MAX(1,(YEAR(IF(I13="",EDATE($C$3,Scenarios!$E$7),IF(I13&lt;$C$3,EDATE($C$3,Scenarios!$E$6),EDATE(I13,Scenarios!$E$5))))-YEAR($C$3))*12+MONTH(IF(I13="",EDATE($C$3,Scenarios!$E$7),IF(I13&lt;$C$3,EDATE($C$3,Scenarios!$E$6),EDATE(I13,Scenarios!$E$5))))-MONTH($C$3))</f>
        <v>6</v>
      </c>
      <c r="BU13" s="178">
        <f>MIN(Scenarios!$E$14,(100-H13)/BT13)</f>
        <v>0.16666666666666666</v>
      </c>
      <c r="BV13" s="146">
        <f>J13*(1-Scenarios!$E$8)+K13*G13/1000000*Scenarios!$E$9*(1+Scenarios!$E$10)</f>
        <v>877.1213133199999</v>
      </c>
      <c r="BW13" s="146">
        <f>J13*(IF(H13&gt;=100,1,Scenarios!$E$11+(1-Scenarios!$E$11-Scenarios!$E$12)*H13/100)*MIN(1,H13/100))*(1-Scenarios!$E$13)</f>
        <v>563.00355019893607</v>
      </c>
      <c r="BX13" s="146">
        <f>MAX(0,BV13*(IF(MIN(100,$H13+BU13*5)&gt;=100,1,Scenarios!$E$11+(1-Scenarios!$E$11-Scenarios!$E$12)*MIN(100,$H13+BU13*5)/100)*MIN(1,MIN(100,$H13+BU13*5)/100))*(1-Scenarios!$E$13)-BW13)</f>
        <v>18.478103897693018</v>
      </c>
      <c r="BY13" s="146">
        <f>MAX(0,BV13*(IF(MIN(100,$H13+BU13*15)&gt;=100,1,Scenarios!$E$11+(1-Scenarios!$E$11-Scenarios!$E$12)*MIN(100,$H13+BU13*15)/100)*MIN(1,MIN(100,$H13+BU13*15)/100))*(1-Scenarios!$E$13)-BW13)</f>
        <v>270.26169745506377</v>
      </c>
      <c r="BZ13" s="146">
        <f>MAX(0,BV13*(IF(MIN(100,$H13+BU13*27)&gt;=100,1,Scenarios!$E$11+(1-Scenarios!$E$11-Scenarios!$E$12)*MIN(100,$H13+BU13*27)/100)*MIN(1,MIN(100,$H13+BU13*27)/100))*(1-Scenarios!$E$13)-BW13)</f>
        <v>270.26169745506377</v>
      </c>
      <c r="CA13" s="206">
        <f t="shared" si="7"/>
        <v>53.818055603683469</v>
      </c>
    </row>
    <row r="14" spans="1:79" ht="17.25" customHeight="1" x14ac:dyDescent="0.2">
      <c r="A14" s="135" t="s">
        <v>129</v>
      </c>
      <c r="B14" s="145" t="s">
        <v>130</v>
      </c>
      <c r="C14" s="145" t="s">
        <v>62</v>
      </c>
      <c r="D14" s="147">
        <v>46264</v>
      </c>
      <c r="E14" s="136">
        <v>404</v>
      </c>
      <c r="F14" s="136">
        <v>359</v>
      </c>
      <c r="G14" s="136">
        <v>1702847</v>
      </c>
      <c r="H14" s="191">
        <v>84</v>
      </c>
      <c r="I14" s="150">
        <v>46112</v>
      </c>
      <c r="J14" s="146">
        <f t="shared" si="0"/>
        <v>611.32207300000005</v>
      </c>
      <c r="K14" s="146">
        <f t="shared" si="1"/>
        <v>45</v>
      </c>
      <c r="L14" s="192">
        <f t="shared" si="2"/>
        <v>0.88861386138613863</v>
      </c>
      <c r="M14" s="147">
        <f>IF(I14="",EDATE($C$3,Scenarios!$F$7),IF(I14&lt;$C$3,EDATE($C$3,Scenarios!$F$6),EDATE(I14,Scenarios!$F$5)))</f>
        <v>46456</v>
      </c>
      <c r="N14" s="146">
        <f t="shared" si="3"/>
        <v>6</v>
      </c>
      <c r="O14" s="178">
        <f>MIN(Scenarios!$F$14,(100-H14)/N14)</f>
        <v>2.6666666666666665</v>
      </c>
      <c r="P14" s="146">
        <f>J14*(1-Scenarios!$F$8)+K14*G14/1000000*Scenarios!$F$9*(1+Scenarios!$F$10)</f>
        <v>657.29894200000001</v>
      </c>
      <c r="Q14" s="146">
        <f>J14*(IF(H14&gt;=100,1,Scenarios!$F$11+(1-Scenarios!$F$11-Scenarios!$F$12)*H14/100)*MIN(1,H14/100))*(1-Scenarios!$F$13)</f>
        <v>294.65234860941592</v>
      </c>
      <c r="R14" s="146">
        <f t="shared" si="4"/>
        <v>121.07082783520809</v>
      </c>
      <c r="S14" s="146">
        <f t="shared" si="5"/>
        <v>329.78164629058409</v>
      </c>
      <c r="T14" s="146">
        <f t="shared" si="6"/>
        <v>329.78164629058409</v>
      </c>
      <c r="U14" s="193">
        <f>J14*IF(H14&gt;=100,1,Scenarios!$F$11+(1-Scenarios!$F$11-Scenarios!$F$12)*H14/100)</f>
        <v>369.23853209200001</v>
      </c>
      <c r="V14" s="201">
        <f>MAX(0,$P14*(IF(MIN(100,$H14+$O14*V$6)&gt;=100,1,Scenarios!$F$11+(1-Scenarios!$F$11-Scenarios!$F$12)*MIN(100,$H14+$O14*V$6)/100)*MIN(1,MIN(100,$H14+$O14*V$6)/100))*(1-Scenarios!$F$13)-$Q14)</f>
        <v>40.876851316850775</v>
      </c>
      <c r="W14" s="146">
        <f>MAX(0,$P14*(IF(MIN(100,$H14+$O14*W$6)&gt;=100,1,Scenarios!$F$11+(1-Scenarios!$F$11-Scenarios!$F$12)*MIN(100,$H14+$O14*W$6)/100)*MIN(1,MIN(100,$H14+$O14*W$6)/100))*(1-Scenarios!$F$13)-$Q14)</f>
        <v>60.126069932968051</v>
      </c>
      <c r="X14" s="146">
        <f>MAX(0,$P14*(IF(MIN(100,$H14+$O14*X$6)&gt;=100,1,Scenarios!$F$11+(1-Scenarios!$F$11-Scenarios!$F$12)*MIN(100,$H14+$O14*X$6)/100)*MIN(1,MIN(100,$H14+$O14*X$6)/100))*(1-Scenarios!$F$13)-$Q14)</f>
        <v>79.908138891400085</v>
      </c>
      <c r="Y14" s="146">
        <f>MAX(0,$P14*(IF(MIN(100,$H14+$O14*Y$6)&gt;=100,1,Scenarios!$F$11+(1-Scenarios!$F$11-Scenarios!$F$12)*MIN(100,$H14+$O14*Y$6)/100)*MIN(1,MIN(100,$H14+$O14*Y$6)/100))*(1-Scenarios!$F$13)-$Q14)</f>
        <v>100.22305819214682</v>
      </c>
      <c r="Z14" s="146">
        <f>MAX(0,$P14*(IF(MIN(100,$H14+$O14*Z$6)&gt;=100,1,Scenarios!$F$11+(1-Scenarios!$F$11-Scenarios!$F$12)*MIN(100,$H14+$O14*Z$6)/100)*MIN(1,MIN(100,$H14+$O14*Z$6)/100))*(1-Scenarios!$F$13)-$Q14)</f>
        <v>121.07082783520809</v>
      </c>
      <c r="AA14" s="146">
        <f>MAX(0,$P14*(IF(MIN(100,$H14+$O14*AA$6)&gt;=100,1,Scenarios!$F$11+(1-Scenarios!$F$11-Scenarios!$F$12)*MIN(100,$H14+$O14*AA$6)/100)*MIN(1,MIN(100,$H14+$O14*AA$6)/100))*(1-Scenarios!$F$13)-$Q14)</f>
        <v>329.78164629058409</v>
      </c>
      <c r="AB14" s="146">
        <f>MAX(0,$P14*(IF(MIN(100,$H14+$O14*AB$6)&gt;=100,1,Scenarios!$F$11+(1-Scenarios!$F$11-Scenarios!$F$12)*MIN(100,$H14+$O14*AB$6)/100)*MIN(1,MIN(100,$H14+$O14*AB$6)/100))*(1-Scenarios!$F$13)-$Q14)</f>
        <v>329.78164629058409</v>
      </c>
      <c r="AC14" s="146">
        <f>MAX(0,$P14*(IF(MIN(100,$H14+$O14*AC$6)&gt;=100,1,Scenarios!$F$11+(1-Scenarios!$F$11-Scenarios!$F$12)*MIN(100,$H14+$O14*AC$6)/100)*MIN(1,MIN(100,$H14+$O14*AC$6)/100))*(1-Scenarios!$F$13)-$Q14)</f>
        <v>329.78164629058409</v>
      </c>
      <c r="AD14" s="146">
        <f>MAX(0,$P14*(IF(MIN(100,$H14+$O14*AD$6)&gt;=100,1,Scenarios!$F$11+(1-Scenarios!$F$11-Scenarios!$F$12)*MIN(100,$H14+$O14*AD$6)/100)*MIN(1,MIN(100,$H14+$O14*AD$6)/100))*(1-Scenarios!$F$13)-$Q14)</f>
        <v>329.78164629058409</v>
      </c>
      <c r="AE14" s="146">
        <f>MAX(0,$P14*(IF(MIN(100,$H14+$O14*AE$6)&gt;=100,1,Scenarios!$F$11+(1-Scenarios!$F$11-Scenarios!$F$12)*MIN(100,$H14+$O14*AE$6)/100)*MIN(1,MIN(100,$H14+$O14*AE$6)/100))*(1-Scenarios!$F$13)-$Q14)</f>
        <v>329.78164629058409</v>
      </c>
      <c r="AF14" s="146">
        <f>MAX(0,$P14*(IF(MIN(100,$H14+$O14*AF$6)&gt;=100,1,Scenarios!$F$11+(1-Scenarios!$F$11-Scenarios!$F$12)*MIN(100,$H14+$O14*AF$6)/100)*MIN(1,MIN(100,$H14+$O14*AF$6)/100))*(1-Scenarios!$F$13)-$Q14)</f>
        <v>329.78164629058409</v>
      </c>
      <c r="AG14" s="146">
        <f>MAX(0,$P14*(IF(MIN(100,$H14+$O14*AG$6)&gt;=100,1,Scenarios!$F$11+(1-Scenarios!$F$11-Scenarios!$F$12)*MIN(100,$H14+$O14*AG$6)/100)*MIN(1,MIN(100,$H14+$O14*AG$6)/100))*(1-Scenarios!$F$13)-$Q14)</f>
        <v>329.78164629058409</v>
      </c>
      <c r="AH14" s="146">
        <f>MAX(0,$P14*(IF(MIN(100,$H14+$O14*AH$6)&gt;=100,1,Scenarios!$F$11+(1-Scenarios!$F$11-Scenarios!$F$12)*MIN(100,$H14+$O14*AH$6)/100)*MIN(1,MIN(100,$H14+$O14*AH$6)/100))*(1-Scenarios!$F$13)-$Q14)</f>
        <v>329.78164629058409</v>
      </c>
      <c r="AI14" s="146">
        <f>MAX(0,$P14*(IF(MIN(100,$H14+$O14*AI$6)&gt;=100,1,Scenarios!$F$11+(1-Scenarios!$F$11-Scenarios!$F$12)*MIN(100,$H14+$O14*AI$6)/100)*MIN(1,MIN(100,$H14+$O14*AI$6)/100))*(1-Scenarios!$F$13)-$Q14)</f>
        <v>329.78164629058409</v>
      </c>
      <c r="AJ14" s="146">
        <f>MAX(0,$P14*(IF(MIN(100,$H14+$O14*AJ$6)&gt;=100,1,Scenarios!$F$11+(1-Scenarios!$F$11-Scenarios!$F$12)*MIN(100,$H14+$O14*AJ$6)/100)*MIN(1,MIN(100,$H14+$O14*AJ$6)/100))*(1-Scenarios!$F$13)-$Q14)</f>
        <v>329.78164629058409</v>
      </c>
      <c r="AK14" s="146">
        <f>MAX(0,$P14*(IF(MIN(100,$H14+$O14*AK$6)&gt;=100,1,Scenarios!$F$11+(1-Scenarios!$F$11-Scenarios!$F$12)*MIN(100,$H14+$O14*AK$6)/100)*MIN(1,MIN(100,$H14+$O14*AK$6)/100))*(1-Scenarios!$F$13)-$Q14)</f>
        <v>329.78164629058409</v>
      </c>
      <c r="AL14" s="146">
        <f>MAX(0,$P14*(IF(MIN(100,$H14+$O14*AL$6)&gt;=100,1,Scenarios!$F$11+(1-Scenarios!$F$11-Scenarios!$F$12)*MIN(100,$H14+$O14*AL$6)/100)*MIN(1,MIN(100,$H14+$O14*AL$6)/100))*(1-Scenarios!$F$13)-$Q14)</f>
        <v>329.78164629058409</v>
      </c>
      <c r="AM14" s="146">
        <f>MAX(0,$P14*(IF(MIN(100,$H14+$O14*AM$6)&gt;=100,1,Scenarios!$F$11+(1-Scenarios!$F$11-Scenarios!$F$12)*MIN(100,$H14+$O14*AM$6)/100)*MIN(1,MIN(100,$H14+$O14*AM$6)/100))*(1-Scenarios!$F$13)-$Q14)</f>
        <v>329.78164629058409</v>
      </c>
      <c r="AN14" s="146">
        <f>MAX(0,$P14*(IF(MIN(100,$H14+$O14*AN$6)&gt;=100,1,Scenarios!$F$11+(1-Scenarios!$F$11-Scenarios!$F$12)*MIN(100,$H14+$O14*AN$6)/100)*MIN(1,MIN(100,$H14+$O14*AN$6)/100))*(1-Scenarios!$F$13)-$Q14)</f>
        <v>329.78164629058409</v>
      </c>
      <c r="AO14" s="146">
        <f>MAX(0,$P14*(IF(MIN(100,$H14+$O14*AO$6)&gt;=100,1,Scenarios!$F$11+(1-Scenarios!$F$11-Scenarios!$F$12)*MIN(100,$H14+$O14*AO$6)/100)*MIN(1,MIN(100,$H14+$O14*AO$6)/100))*(1-Scenarios!$F$13)-$Q14)</f>
        <v>329.78164629058409</v>
      </c>
      <c r="AP14" s="146">
        <f>MAX(0,$P14*(IF(MIN(100,$H14+$O14*AP$6)&gt;=100,1,Scenarios!$F$11+(1-Scenarios!$F$11-Scenarios!$F$12)*MIN(100,$H14+$O14*AP$6)/100)*MIN(1,MIN(100,$H14+$O14*AP$6)/100))*(1-Scenarios!$F$13)-$Q14)</f>
        <v>329.78164629058409</v>
      </c>
      <c r="AQ14" s="146">
        <f>MAX(0,$P14*(IF(MIN(100,$H14+$O14*AQ$6)&gt;=100,1,Scenarios!$F$11+(1-Scenarios!$F$11-Scenarios!$F$12)*MIN(100,$H14+$O14*AQ$6)/100)*MIN(1,MIN(100,$H14+$O14*AQ$6)/100))*(1-Scenarios!$F$13)-$Q14)</f>
        <v>329.78164629058409</v>
      </c>
      <c r="AR14" s="146">
        <f>MAX(0,$P14*(IF(MIN(100,$H14+$O14*AR$6)&gt;=100,1,Scenarios!$F$11+(1-Scenarios!$F$11-Scenarios!$F$12)*MIN(100,$H14+$O14*AR$6)/100)*MIN(1,MIN(100,$H14+$O14*AR$6)/100))*(1-Scenarios!$F$13)-$Q14)</f>
        <v>329.78164629058409</v>
      </c>
      <c r="AS14" s="146">
        <f>MAX(0,$P14*(IF(MIN(100,$H14+$O14*AS$6)&gt;=100,1,Scenarios!$F$11+(1-Scenarios!$F$11-Scenarios!$F$12)*MIN(100,$H14+$O14*AS$6)/100)*MIN(1,MIN(100,$H14+$O14*AS$6)/100))*(1-Scenarios!$F$13)-$Q14)</f>
        <v>329.78164629058409</v>
      </c>
      <c r="AT14" s="146">
        <f>MAX(0,$P14*(IF(MIN(100,$H14+$O14*AT$6)&gt;=100,1,Scenarios!$F$11+(1-Scenarios!$F$11-Scenarios!$F$12)*MIN(100,$H14+$O14*AT$6)/100)*MIN(1,MIN(100,$H14+$O14*AT$6)/100))*(1-Scenarios!$F$13)-$Q14)</f>
        <v>329.78164629058409</v>
      </c>
      <c r="AU14" s="146">
        <f>MAX(0,$P14*(IF(MIN(100,$H14+$O14*AU$6)&gt;=100,1,Scenarios!$F$11+(1-Scenarios!$F$11-Scenarios!$F$12)*MIN(100,$H14+$O14*AU$6)/100)*MIN(1,MIN(100,$H14+$O14*AU$6)/100))*(1-Scenarios!$F$13)-$Q14)</f>
        <v>329.78164629058409</v>
      </c>
      <c r="AV14" s="146">
        <f>MAX(0,$P14*(IF(MIN(100,$H14+$O14*AV$6)&gt;=100,1,Scenarios!$F$11+(1-Scenarios!$F$11-Scenarios!$F$12)*MIN(100,$H14+$O14*AV$6)/100)*MIN(1,MIN(100,$H14+$O14*AV$6)/100))*(1-Scenarios!$F$13)-$Q14)</f>
        <v>329.78164629058409</v>
      </c>
      <c r="AW14" s="193">
        <f>MAX(0,$P14*(IF(MIN(100,$H14+$O14*AW$6)&gt;=100,1,Scenarios!$F$11+(1-Scenarios!$F$11-Scenarios!$F$12)*MIN(100,$H14+$O14*AW$6)/100)*MIN(1,MIN(100,$H14+$O14*AW$6)/100))*(1-Scenarios!$F$13)-$Q14)</f>
        <v>329.78164629058409</v>
      </c>
      <c r="AX14" s="2"/>
      <c r="AY14" s="201">
        <f>MAX(1,(YEAR(IF(I14="",EDATE($C$3,Scenarios!$B$7),IF(I14&lt;$C$3,EDATE($C$3,Scenarios!$B$6),EDATE(I14,Scenarios!$B$5))))-YEAR($C$3))*12+MONTH(IF(I14="",EDATE($C$3,Scenarios!$B$7),IF(I14&lt;$C$3,EDATE($C$3,Scenarios!$B$6),EDATE(I14,Scenarios!$B$5))))-MONTH($C$3))</f>
        <v>6</v>
      </c>
      <c r="AZ14" s="178">
        <f>MIN(Scenarios!$B$14,(100-H14)/AY14)</f>
        <v>2.6666666666666665</v>
      </c>
      <c r="BA14" s="146">
        <f>J14*(1-Scenarios!$B$8)+K14*G14/1000000*Scenarios!$B$9*(1+Scenarios!$B$10)</f>
        <v>657.29894200000001</v>
      </c>
      <c r="BB14" s="146">
        <f>J14*(IF(H14&gt;=100,1,Scenarios!$B$11+(1-Scenarios!$B$11-Scenarios!$B$12)*H14/100)*MIN(1,H14/100))*(1-Scenarios!$B$13)</f>
        <v>294.65234860941592</v>
      </c>
      <c r="BC14" s="146">
        <f>MAX(0,BA14*(IF(MIN(100,$H14+AZ14*5)&gt;=100,1,Scenarios!$B$11+(1-Scenarios!$B$11-Scenarios!$B$12)*MIN(100,$H14+AZ14*5)/100)*MIN(1,MIN(100,$H14+AZ14*5)/100))*(1-Scenarios!$B$13)-BB14)</f>
        <v>121.07082783520809</v>
      </c>
      <c r="BD14" s="146">
        <f>MAX(0,BA14*(IF(MIN(100,$H14+AZ14*15)&gt;=100,1,Scenarios!$B$11+(1-Scenarios!$B$11-Scenarios!$B$12)*MIN(100,$H14+AZ14*15)/100)*MIN(1,MIN(100,$H14+AZ14*15)/100))*(1-Scenarios!$B$13)-BB14)</f>
        <v>329.78164629058409</v>
      </c>
      <c r="BE14" s="146">
        <f>MAX(0,BA14*(IF(MIN(100,$H14+AZ14*27)&gt;=100,1,Scenarios!$B$11+(1-Scenarios!$B$11-Scenarios!$B$12)*MIN(100,$H14+AZ14*27)/100)*MIN(1,MIN(100,$H14+AZ14*27)/100))*(1-Scenarios!$B$13)-BB14)</f>
        <v>329.78164629058409</v>
      </c>
      <c r="BF14" s="146">
        <f>MAX(1,(YEAR(IF(I14="",EDATE($C$3,Scenarios!$C$7),IF(I14&lt;$C$3,EDATE($C$3,Scenarios!$C$6),EDATE(I14,Scenarios!$C$5))))-YEAR($C$3))*12+MONTH(IF(I14="",EDATE($C$3,Scenarios!$C$7),IF(I14&lt;$C$3,EDATE($C$3,Scenarios!$C$6),EDATE(I14,Scenarios!$C$5))))-MONTH($C$3))</f>
        <v>12</v>
      </c>
      <c r="BG14" s="178">
        <f>MIN(Scenarios!$C$14,(100-H14)/BF14)</f>
        <v>1.3333333333333333</v>
      </c>
      <c r="BH14" s="146">
        <f>J14*(1-Scenarios!$C$8)+K14*G14/1000000*Scenarios!$C$9*(1+Scenarios!$C$10)</f>
        <v>641.97331900000006</v>
      </c>
      <c r="BI14" s="146">
        <f>J14*(IF(H14&gt;=100,1,Scenarios!$C$11+(1-Scenarios!$C$11-Scenarios!$C$12)*H14/100)*MIN(1,H14/100))*(1-Scenarios!$C$13)</f>
        <v>294.65234860941592</v>
      </c>
      <c r="BJ14" s="146">
        <f>MAX(0,BH14*(IF(MIN(100,$H14+BG14*5)&gt;=100,1,Scenarios!$C$11+(1-Scenarios!$C$11-Scenarios!$C$12)*MIN(100,$H14+BG14*5)/100)*MIN(1,MIN(100,$H14+BG14*5)/100))*(1-Scenarios!$C$13)-BI14)</f>
        <v>61.449395475458857</v>
      </c>
      <c r="BK14" s="146">
        <f>MAX(0,BH14*(IF(MIN(100,$H14+BG14*15)&gt;=100,1,Scenarios!$C$11+(1-Scenarios!$C$11-Scenarios!$C$12)*MIN(100,$H14+BG14*15)/100)*MIN(1,MIN(100,$H14+BG14*15)/100))*(1-Scenarios!$C$13)-BI14)</f>
        <v>315.22230444058408</v>
      </c>
      <c r="BL14" s="146">
        <f>MAX(0,BH14*(IF(MIN(100,$H14+BG14*27)&gt;=100,1,Scenarios!$C$11+(1-Scenarios!$C$11-Scenarios!$C$12)*MIN(100,$H14+BG14*27)/100)*MIN(1,MIN(100,$H14+BG14*27)/100))*(1-Scenarios!$C$13)-BI14)</f>
        <v>315.22230444058408</v>
      </c>
      <c r="BM14" s="146">
        <f>MAX(1,(YEAR(IF(I14="",EDATE($C$3,Scenarios!$D$7),IF(I14&lt;$C$3,EDATE($C$3,Scenarios!$D$6),EDATE(I14,Scenarios!$D$5))))-YEAR($C$3))*12+MONTH(IF(I14="",EDATE($C$3,Scenarios!$D$7),IF(I14&lt;$C$3,EDATE($C$3,Scenarios!$D$6),EDATE(I14,Scenarios!$D$5))))-MONTH($C$3))</f>
        <v>6</v>
      </c>
      <c r="BN14" s="178">
        <f>MIN(Scenarios!$D$14,(100-H14)/BM14)</f>
        <v>2.6666666666666665</v>
      </c>
      <c r="BO14" s="146">
        <f>J14*(1-Scenarios!$D$8)+K14*G14/1000000*Scenarios!$D$9*(1+Scenarios!$D$10)</f>
        <v>550.27500805</v>
      </c>
      <c r="BP14" s="146">
        <f>J14*(IF(H14&gt;=100,1,Scenarios!$D$11+(1-Scenarios!$D$11-Scenarios!$D$12)*H14/100)*MIN(1,H14/100))*(1-Scenarios!$D$13)</f>
        <v>294.65234860941592</v>
      </c>
      <c r="BQ14" s="146">
        <f>MAX(0,BO14*(IF(MIN(100,$H14+BN14*5)&gt;=100,1,Scenarios!$D$11+(1-Scenarios!$D$11-Scenarios!$D$12)*MIN(100,$H14+BN14*5)/100)*MIN(1,MIN(100,$H14+BN14*5)/100))*(1-Scenarios!$D$13)-BP14)</f>
        <v>53.381186281983673</v>
      </c>
      <c r="BR14" s="146">
        <f>MAX(0,BO14*(IF(MIN(100,$H14+BN14*15)&gt;=100,1,Scenarios!$D$11+(1-Scenarios!$D$11-Scenarios!$D$12)*MIN(100,$H14+BN14*15)/100)*MIN(1,MIN(100,$H14+BN14*15)/100))*(1-Scenarios!$D$13)-BP14)</f>
        <v>228.10890903808405</v>
      </c>
      <c r="BS14" s="146">
        <f>MAX(0,BO14*(IF(MIN(100,$H14+BN14*27)&gt;=100,1,Scenarios!$D$11+(1-Scenarios!$D$11-Scenarios!$D$12)*MIN(100,$H14+BN14*27)/100)*MIN(1,MIN(100,$H14+BN14*27)/100))*(1-Scenarios!$D$13)-BP14)</f>
        <v>228.10890903808405</v>
      </c>
      <c r="BT14" s="146">
        <f>MAX(1,(YEAR(IF(I14="",EDATE($C$3,Scenarios!$E$7),IF(I14&lt;$C$3,EDATE($C$3,Scenarios!$E$6),EDATE(I14,Scenarios!$E$5))))-YEAR($C$3))*12+MONTH(IF(I14="",EDATE($C$3,Scenarios!$E$7),IF(I14&lt;$C$3,EDATE($C$3,Scenarios!$E$6),EDATE(I14,Scenarios!$E$5))))-MONTH($C$3))</f>
        <v>6</v>
      </c>
      <c r="BU14" s="178">
        <f>MIN(Scenarios!$E$14,(100-H14)/BT14)</f>
        <v>2.6666666666666665</v>
      </c>
      <c r="BV14" s="146">
        <f>J14*(1-Scenarios!$E$8)+K14*G14/1000000*Scenarios!$E$9*(1+Scenarios!$E$10)</f>
        <v>619.83630800000003</v>
      </c>
      <c r="BW14" s="146">
        <f>J14*(IF(H14&gt;=100,1,Scenarios!$E$11+(1-Scenarios!$E$11-Scenarios!$E$12)*H14/100)*MIN(1,H14/100))*(1-Scenarios!$E$13)</f>
        <v>294.65234860941592</v>
      </c>
      <c r="BX14" s="146">
        <f>MAX(0,BV14*(IF(MIN(100,$H14+BU14*5)&gt;=100,1,Scenarios!$E$11+(1-Scenarios!$E$11-Scenarios!$E$12)*MIN(100,$H14+BU14*5)/100)*MIN(1,MIN(100,$H14+BU14*5)/100))*(1-Scenarios!$E$13)-BW14)</f>
        <v>97.376760783960094</v>
      </c>
      <c r="BY14" s="146">
        <f>MAX(0,BV14*(IF(MIN(100,$H14+BU14*15)&gt;=100,1,Scenarios!$E$11+(1-Scenarios!$E$11-Scenarios!$E$12)*MIN(100,$H14+BU14*15)/100)*MIN(1,MIN(100,$H14+BU14*15)/100))*(1-Scenarios!$E$13)-BW14)</f>
        <v>294.19214399058404</v>
      </c>
      <c r="BZ14" s="146">
        <f>MAX(0,BV14*(IF(MIN(100,$H14+BU14*27)&gt;=100,1,Scenarios!$E$11+(1-Scenarios!$E$11-Scenarios!$E$12)*MIN(100,$H14+BU14*27)/100)*MIN(1,MIN(100,$H14+BU14*27)/100))*(1-Scenarios!$E$13)-BW14)</f>
        <v>294.19214399058404</v>
      </c>
      <c r="CA14" s="206">
        <f t="shared" si="7"/>
        <v>121.07084183520809</v>
      </c>
    </row>
    <row r="15" spans="1:79" ht="17.25" customHeight="1" x14ac:dyDescent="0.2">
      <c r="A15" s="135" t="s">
        <v>131</v>
      </c>
      <c r="B15" s="145" t="s">
        <v>132</v>
      </c>
      <c r="C15" s="145" t="s">
        <v>62</v>
      </c>
      <c r="D15" s="147">
        <v>46264</v>
      </c>
      <c r="E15" s="136">
        <v>501</v>
      </c>
      <c r="F15" s="136">
        <v>471</v>
      </c>
      <c r="G15" s="136">
        <v>1350979</v>
      </c>
      <c r="H15" s="191">
        <v>76</v>
      </c>
      <c r="I15" s="150">
        <v>46112</v>
      </c>
      <c r="J15" s="146">
        <f t="shared" si="0"/>
        <v>636.31110899999999</v>
      </c>
      <c r="K15" s="146">
        <f t="shared" si="1"/>
        <v>30</v>
      </c>
      <c r="L15" s="192">
        <f t="shared" si="2"/>
        <v>0.94011976047904189</v>
      </c>
      <c r="M15" s="147">
        <f>IF(I15="",EDATE($C$3,Scenarios!$F$7),IF(I15&lt;$C$3,EDATE($C$3,Scenarios!$F$6),EDATE(I15,Scenarios!$F$5)))</f>
        <v>46456</v>
      </c>
      <c r="N15" s="146">
        <f t="shared" si="3"/>
        <v>6</v>
      </c>
      <c r="O15" s="178">
        <f>MIN(Scenarios!$F$14,(100-H15)/N15)</f>
        <v>4</v>
      </c>
      <c r="P15" s="146">
        <f>J15*(1-Scenarios!$F$8)+K15*G15/1000000*Scenarios!$F$9*(1+Scenarios!$F$10)</f>
        <v>660.62873100000002</v>
      </c>
      <c r="Q15" s="146">
        <f>J15*(IF(H15&gt;=100,1,Scenarios!$F$11+(1-Scenarios!$F$11-Scenarios!$F$12)*H15/100)*MIN(1,H15/100))*(1-Scenarios!$F$13)</f>
        <v>255.43564110808799</v>
      </c>
      <c r="R15" s="146">
        <f t="shared" si="4"/>
        <v>151.84989909818401</v>
      </c>
      <c r="S15" s="146">
        <f t="shared" si="5"/>
        <v>372.16165334191192</v>
      </c>
      <c r="T15" s="146">
        <f t="shared" si="6"/>
        <v>372.16165334191192</v>
      </c>
      <c r="U15" s="193">
        <f>J15*IF(H15&gt;=100,1,Scenarios!$F$11+(1-Scenarios!$F$11-Scenarios!$F$12)*H15/100)</f>
        <v>353.78897660400003</v>
      </c>
      <c r="V15" s="201">
        <f>MAX(0,$P15*(IF(MIN(100,$H15+$O15*V$6)&gt;=100,1,Scenarios!$F$11+(1-Scenarios!$F$11-Scenarios!$F$12)*MIN(100,$H15+$O15*V$6)/100)*MIN(1,MIN(100,$H15+$O15*V$6)/100))*(1-Scenarios!$F$13)-$Q15)</f>
        <v>35.769503516712092</v>
      </c>
      <c r="W15" s="146">
        <f>MAX(0,$P15*(IF(MIN(100,$H15+$O15*W$6)&gt;=100,1,Scenarios!$F$11+(1-Scenarios!$F$11-Scenarios!$F$12)*MIN(100,$H15+$O15*W$6)/100)*MIN(1,MIN(100,$H15+$O15*W$6)/100))*(1-Scenarios!$F$13)-$Q15)</f>
        <v>62.982122204063927</v>
      </c>
      <c r="X15" s="146">
        <f>MAX(0,$P15*(IF(MIN(100,$H15+$O15*X$6)&gt;=100,1,Scenarios!$F$11+(1-Scenarios!$F$11-Scenarios!$F$12)*MIN(100,$H15+$O15*X$6)/100)*MIN(1,MIN(100,$H15+$O15*X$6)/100))*(1-Scenarios!$F$13)-$Q15)</f>
        <v>91.399727696760095</v>
      </c>
      <c r="Y15" s="146">
        <f>MAX(0,$P15*(IF(MIN(100,$H15+$O15*Y$6)&gt;=100,1,Scenarios!$F$11+(1-Scenarios!$F$11-Scenarios!$F$12)*MIN(100,$H15+$O15*Y$6)/100)*MIN(1,MIN(100,$H15+$O15*Y$6)/100))*(1-Scenarios!$F$13)-$Q15)</f>
        <v>121.02231999480003</v>
      </c>
      <c r="Z15" s="146">
        <f>MAX(0,$P15*(IF(MIN(100,$H15+$O15*Z$6)&gt;=100,1,Scenarios!$F$11+(1-Scenarios!$F$11-Scenarios!$F$12)*MIN(100,$H15+$O15*Z$6)/100)*MIN(1,MIN(100,$H15+$O15*Z$6)/100))*(1-Scenarios!$F$13)-$Q15)</f>
        <v>151.84989909818401</v>
      </c>
      <c r="AA15" s="146">
        <f>MAX(0,$P15*(IF(MIN(100,$H15+$O15*AA$6)&gt;=100,1,Scenarios!$F$11+(1-Scenarios!$F$11-Scenarios!$F$12)*MIN(100,$H15+$O15*AA$6)/100)*MIN(1,MIN(100,$H15+$O15*AA$6)/100))*(1-Scenarios!$F$13)-$Q15)</f>
        <v>372.16165334191192</v>
      </c>
      <c r="AB15" s="146">
        <f>MAX(0,$P15*(IF(MIN(100,$H15+$O15*AB$6)&gt;=100,1,Scenarios!$F$11+(1-Scenarios!$F$11-Scenarios!$F$12)*MIN(100,$H15+$O15*AB$6)/100)*MIN(1,MIN(100,$H15+$O15*AB$6)/100))*(1-Scenarios!$F$13)-$Q15)</f>
        <v>372.16165334191192</v>
      </c>
      <c r="AC15" s="146">
        <f>MAX(0,$P15*(IF(MIN(100,$H15+$O15*AC$6)&gt;=100,1,Scenarios!$F$11+(1-Scenarios!$F$11-Scenarios!$F$12)*MIN(100,$H15+$O15*AC$6)/100)*MIN(1,MIN(100,$H15+$O15*AC$6)/100))*(1-Scenarios!$F$13)-$Q15)</f>
        <v>372.16165334191192</v>
      </c>
      <c r="AD15" s="146">
        <f>MAX(0,$P15*(IF(MIN(100,$H15+$O15*AD$6)&gt;=100,1,Scenarios!$F$11+(1-Scenarios!$F$11-Scenarios!$F$12)*MIN(100,$H15+$O15*AD$6)/100)*MIN(1,MIN(100,$H15+$O15*AD$6)/100))*(1-Scenarios!$F$13)-$Q15)</f>
        <v>372.16165334191192</v>
      </c>
      <c r="AE15" s="146">
        <f>MAX(0,$P15*(IF(MIN(100,$H15+$O15*AE$6)&gt;=100,1,Scenarios!$F$11+(1-Scenarios!$F$11-Scenarios!$F$12)*MIN(100,$H15+$O15*AE$6)/100)*MIN(1,MIN(100,$H15+$O15*AE$6)/100))*(1-Scenarios!$F$13)-$Q15)</f>
        <v>372.16165334191192</v>
      </c>
      <c r="AF15" s="146">
        <f>MAX(0,$P15*(IF(MIN(100,$H15+$O15*AF$6)&gt;=100,1,Scenarios!$F$11+(1-Scenarios!$F$11-Scenarios!$F$12)*MIN(100,$H15+$O15*AF$6)/100)*MIN(1,MIN(100,$H15+$O15*AF$6)/100))*(1-Scenarios!$F$13)-$Q15)</f>
        <v>372.16165334191192</v>
      </c>
      <c r="AG15" s="146">
        <f>MAX(0,$P15*(IF(MIN(100,$H15+$O15*AG$6)&gt;=100,1,Scenarios!$F$11+(1-Scenarios!$F$11-Scenarios!$F$12)*MIN(100,$H15+$O15*AG$6)/100)*MIN(1,MIN(100,$H15+$O15*AG$6)/100))*(1-Scenarios!$F$13)-$Q15)</f>
        <v>372.16165334191192</v>
      </c>
      <c r="AH15" s="146">
        <f>MAX(0,$P15*(IF(MIN(100,$H15+$O15*AH$6)&gt;=100,1,Scenarios!$F$11+(1-Scenarios!$F$11-Scenarios!$F$12)*MIN(100,$H15+$O15*AH$6)/100)*MIN(1,MIN(100,$H15+$O15*AH$6)/100))*(1-Scenarios!$F$13)-$Q15)</f>
        <v>372.16165334191192</v>
      </c>
      <c r="AI15" s="146">
        <f>MAX(0,$P15*(IF(MIN(100,$H15+$O15*AI$6)&gt;=100,1,Scenarios!$F$11+(1-Scenarios!$F$11-Scenarios!$F$12)*MIN(100,$H15+$O15*AI$6)/100)*MIN(1,MIN(100,$H15+$O15*AI$6)/100))*(1-Scenarios!$F$13)-$Q15)</f>
        <v>372.16165334191192</v>
      </c>
      <c r="AJ15" s="146">
        <f>MAX(0,$P15*(IF(MIN(100,$H15+$O15*AJ$6)&gt;=100,1,Scenarios!$F$11+(1-Scenarios!$F$11-Scenarios!$F$12)*MIN(100,$H15+$O15*AJ$6)/100)*MIN(1,MIN(100,$H15+$O15*AJ$6)/100))*(1-Scenarios!$F$13)-$Q15)</f>
        <v>372.16165334191192</v>
      </c>
      <c r="AK15" s="146">
        <f>MAX(0,$P15*(IF(MIN(100,$H15+$O15*AK$6)&gt;=100,1,Scenarios!$F$11+(1-Scenarios!$F$11-Scenarios!$F$12)*MIN(100,$H15+$O15*AK$6)/100)*MIN(1,MIN(100,$H15+$O15*AK$6)/100))*(1-Scenarios!$F$13)-$Q15)</f>
        <v>372.16165334191192</v>
      </c>
      <c r="AL15" s="146">
        <f>MAX(0,$P15*(IF(MIN(100,$H15+$O15*AL$6)&gt;=100,1,Scenarios!$F$11+(1-Scenarios!$F$11-Scenarios!$F$12)*MIN(100,$H15+$O15*AL$6)/100)*MIN(1,MIN(100,$H15+$O15*AL$6)/100))*(1-Scenarios!$F$13)-$Q15)</f>
        <v>372.16165334191192</v>
      </c>
      <c r="AM15" s="146">
        <f>MAX(0,$P15*(IF(MIN(100,$H15+$O15*AM$6)&gt;=100,1,Scenarios!$F$11+(1-Scenarios!$F$11-Scenarios!$F$12)*MIN(100,$H15+$O15*AM$6)/100)*MIN(1,MIN(100,$H15+$O15*AM$6)/100))*(1-Scenarios!$F$13)-$Q15)</f>
        <v>372.16165334191192</v>
      </c>
      <c r="AN15" s="146">
        <f>MAX(0,$P15*(IF(MIN(100,$H15+$O15*AN$6)&gt;=100,1,Scenarios!$F$11+(1-Scenarios!$F$11-Scenarios!$F$12)*MIN(100,$H15+$O15*AN$6)/100)*MIN(1,MIN(100,$H15+$O15*AN$6)/100))*(1-Scenarios!$F$13)-$Q15)</f>
        <v>372.16165334191192</v>
      </c>
      <c r="AO15" s="146">
        <f>MAX(0,$P15*(IF(MIN(100,$H15+$O15*AO$6)&gt;=100,1,Scenarios!$F$11+(1-Scenarios!$F$11-Scenarios!$F$12)*MIN(100,$H15+$O15*AO$6)/100)*MIN(1,MIN(100,$H15+$O15*AO$6)/100))*(1-Scenarios!$F$13)-$Q15)</f>
        <v>372.16165334191192</v>
      </c>
      <c r="AP15" s="146">
        <f>MAX(0,$P15*(IF(MIN(100,$H15+$O15*AP$6)&gt;=100,1,Scenarios!$F$11+(1-Scenarios!$F$11-Scenarios!$F$12)*MIN(100,$H15+$O15*AP$6)/100)*MIN(1,MIN(100,$H15+$O15*AP$6)/100))*(1-Scenarios!$F$13)-$Q15)</f>
        <v>372.16165334191192</v>
      </c>
      <c r="AQ15" s="146">
        <f>MAX(0,$P15*(IF(MIN(100,$H15+$O15*AQ$6)&gt;=100,1,Scenarios!$F$11+(1-Scenarios!$F$11-Scenarios!$F$12)*MIN(100,$H15+$O15*AQ$6)/100)*MIN(1,MIN(100,$H15+$O15*AQ$6)/100))*(1-Scenarios!$F$13)-$Q15)</f>
        <v>372.16165334191192</v>
      </c>
      <c r="AR15" s="146">
        <f>MAX(0,$P15*(IF(MIN(100,$H15+$O15*AR$6)&gt;=100,1,Scenarios!$F$11+(1-Scenarios!$F$11-Scenarios!$F$12)*MIN(100,$H15+$O15*AR$6)/100)*MIN(1,MIN(100,$H15+$O15*AR$6)/100))*(1-Scenarios!$F$13)-$Q15)</f>
        <v>372.16165334191192</v>
      </c>
      <c r="AS15" s="146">
        <f>MAX(0,$P15*(IF(MIN(100,$H15+$O15*AS$6)&gt;=100,1,Scenarios!$F$11+(1-Scenarios!$F$11-Scenarios!$F$12)*MIN(100,$H15+$O15*AS$6)/100)*MIN(1,MIN(100,$H15+$O15*AS$6)/100))*(1-Scenarios!$F$13)-$Q15)</f>
        <v>372.16165334191192</v>
      </c>
      <c r="AT15" s="146">
        <f>MAX(0,$P15*(IF(MIN(100,$H15+$O15*AT$6)&gt;=100,1,Scenarios!$F$11+(1-Scenarios!$F$11-Scenarios!$F$12)*MIN(100,$H15+$O15*AT$6)/100)*MIN(1,MIN(100,$H15+$O15*AT$6)/100))*(1-Scenarios!$F$13)-$Q15)</f>
        <v>372.16165334191192</v>
      </c>
      <c r="AU15" s="146">
        <f>MAX(0,$P15*(IF(MIN(100,$H15+$O15*AU$6)&gt;=100,1,Scenarios!$F$11+(1-Scenarios!$F$11-Scenarios!$F$12)*MIN(100,$H15+$O15*AU$6)/100)*MIN(1,MIN(100,$H15+$O15*AU$6)/100))*(1-Scenarios!$F$13)-$Q15)</f>
        <v>372.16165334191192</v>
      </c>
      <c r="AV15" s="146">
        <f>MAX(0,$P15*(IF(MIN(100,$H15+$O15*AV$6)&gt;=100,1,Scenarios!$F$11+(1-Scenarios!$F$11-Scenarios!$F$12)*MIN(100,$H15+$O15*AV$6)/100)*MIN(1,MIN(100,$H15+$O15*AV$6)/100))*(1-Scenarios!$F$13)-$Q15)</f>
        <v>372.16165334191192</v>
      </c>
      <c r="AW15" s="193">
        <f>MAX(0,$P15*(IF(MIN(100,$H15+$O15*AW$6)&gt;=100,1,Scenarios!$F$11+(1-Scenarios!$F$11-Scenarios!$F$12)*MIN(100,$H15+$O15*AW$6)/100)*MIN(1,MIN(100,$H15+$O15*AW$6)/100))*(1-Scenarios!$F$13)-$Q15)</f>
        <v>372.16165334191192</v>
      </c>
      <c r="AX15" s="2"/>
      <c r="AY15" s="201">
        <f>MAX(1,(YEAR(IF(I15="",EDATE($C$3,Scenarios!$B$7),IF(I15&lt;$C$3,EDATE($C$3,Scenarios!$B$6),EDATE(I15,Scenarios!$B$5))))-YEAR($C$3))*12+MONTH(IF(I15="",EDATE($C$3,Scenarios!$B$7),IF(I15&lt;$C$3,EDATE($C$3,Scenarios!$B$6),EDATE(I15,Scenarios!$B$5))))-MONTH($C$3))</f>
        <v>6</v>
      </c>
      <c r="AZ15" s="178">
        <f>MIN(Scenarios!$B$14,(100-H15)/AY15)</f>
        <v>4</v>
      </c>
      <c r="BA15" s="146">
        <f>J15*(1-Scenarios!$B$8)+K15*G15/1000000*Scenarios!$B$9*(1+Scenarios!$B$10)</f>
        <v>660.62873100000002</v>
      </c>
      <c r="BB15" s="146">
        <f>J15*(IF(H15&gt;=100,1,Scenarios!$B$11+(1-Scenarios!$B$11-Scenarios!$B$12)*H15/100)*MIN(1,H15/100))*(1-Scenarios!$B$13)</f>
        <v>255.43564110808799</v>
      </c>
      <c r="BC15" s="146">
        <f>MAX(0,BA15*(IF(MIN(100,$H15+AZ15*5)&gt;=100,1,Scenarios!$B$11+(1-Scenarios!$B$11-Scenarios!$B$12)*MIN(100,$H15+AZ15*5)/100)*MIN(1,MIN(100,$H15+AZ15*5)/100))*(1-Scenarios!$B$13)-BB15)</f>
        <v>151.84989909818401</v>
      </c>
      <c r="BD15" s="146">
        <f>MAX(0,BA15*(IF(MIN(100,$H15+AZ15*15)&gt;=100,1,Scenarios!$B$11+(1-Scenarios!$B$11-Scenarios!$B$12)*MIN(100,$H15+AZ15*15)/100)*MIN(1,MIN(100,$H15+AZ15*15)/100))*(1-Scenarios!$B$13)-BB15)</f>
        <v>372.16165334191192</v>
      </c>
      <c r="BE15" s="146">
        <f>MAX(0,BA15*(IF(MIN(100,$H15+AZ15*27)&gt;=100,1,Scenarios!$B$11+(1-Scenarios!$B$11-Scenarios!$B$12)*MIN(100,$H15+AZ15*27)/100)*MIN(1,MIN(100,$H15+AZ15*27)/100))*(1-Scenarios!$B$13)-BB15)</f>
        <v>372.16165334191192</v>
      </c>
      <c r="BF15" s="146">
        <f>MAX(1,(YEAR(IF(I15="",EDATE($C$3,Scenarios!$C$7),IF(I15&lt;$C$3,EDATE($C$3,Scenarios!$C$6),EDATE(I15,Scenarios!$C$5))))-YEAR($C$3))*12+MONTH(IF(I15="",EDATE($C$3,Scenarios!$C$7),IF(I15&lt;$C$3,EDATE($C$3,Scenarios!$C$6),EDATE(I15,Scenarios!$C$5))))-MONTH($C$3))</f>
        <v>12</v>
      </c>
      <c r="BG15" s="178">
        <f>MIN(Scenarios!$C$14,(100-H15)/BF15)</f>
        <v>2</v>
      </c>
      <c r="BH15" s="146">
        <f>J15*(1-Scenarios!$C$8)+K15*G15/1000000*Scenarios!$C$9*(1+Scenarios!$C$10)</f>
        <v>652.52285699999993</v>
      </c>
      <c r="BI15" s="146">
        <f>J15*(IF(H15&gt;=100,1,Scenarios!$C$11+(1-Scenarios!$C$11-Scenarios!$C$12)*H15/100)*MIN(1,H15/100))*(1-Scenarios!$C$13)</f>
        <v>255.43564110808799</v>
      </c>
      <c r="BJ15" s="146">
        <f>MAX(0,BH15*(IF(MIN(100,$H15+BG15*5)&gt;=100,1,Scenarios!$C$11+(1-Scenarios!$C$11-Scenarios!$C$12)*MIN(100,$H15+BG15*5)/100)*MIN(1,MIN(100,$H15+BG15*5)/100))*(1-Scenarios!$C$13)-BI15)</f>
        <v>72.960842180015987</v>
      </c>
      <c r="BK15" s="146">
        <f>MAX(0,BH15*(IF(MIN(100,$H15+BG15*15)&gt;=100,1,Scenarios!$C$11+(1-Scenarios!$C$11-Scenarios!$C$12)*MIN(100,$H15+BG15*15)/100)*MIN(1,MIN(100,$H15+BG15*15)/100))*(1-Scenarios!$C$13)-BI15)</f>
        <v>364.46107304191185</v>
      </c>
      <c r="BL15" s="146">
        <f>MAX(0,BH15*(IF(MIN(100,$H15+BG15*27)&gt;=100,1,Scenarios!$C$11+(1-Scenarios!$C$11-Scenarios!$C$12)*MIN(100,$H15+BG15*27)/100)*MIN(1,MIN(100,$H15+BG15*27)/100))*(1-Scenarios!$C$13)-BI15)</f>
        <v>364.46107304191185</v>
      </c>
      <c r="BM15" s="146">
        <f>MAX(1,(YEAR(IF(I15="",EDATE($C$3,Scenarios!$D$7),IF(I15&lt;$C$3,EDATE($C$3,Scenarios!$D$6),EDATE(I15,Scenarios!$D$5))))-YEAR($C$3))*12+MONTH(IF(I15="",EDATE($C$3,Scenarios!$D$7),IF(I15&lt;$C$3,EDATE($C$3,Scenarios!$D$6),EDATE(I15,Scenarios!$D$5))))-MONTH($C$3))</f>
        <v>6</v>
      </c>
      <c r="BN15" s="178">
        <f>MIN(Scenarios!$D$14,(100-H15)/BM15)</f>
        <v>4</v>
      </c>
      <c r="BO15" s="146">
        <f>J15*(1-Scenarios!$D$8)+K15*G15/1000000*Scenarios!$D$9*(1+Scenarios!$D$10)</f>
        <v>557.07619064999994</v>
      </c>
      <c r="BP15" s="146">
        <f>J15*(IF(H15&gt;=100,1,Scenarios!$D$11+(1-Scenarios!$D$11-Scenarios!$D$12)*H15/100)*MIN(1,H15/100))*(1-Scenarios!$D$13)</f>
        <v>255.43564110808799</v>
      </c>
      <c r="BQ15" s="146">
        <f>MAX(0,BO15*(IF(MIN(100,$H15+BN15*5)&gt;=100,1,Scenarios!$D$11+(1-Scenarios!$D$11-Scenarios!$D$12)*MIN(100,$H15+BN15*5)/100)*MIN(1,MIN(100,$H15+BN15*5)/100))*(1-Scenarios!$D$13)-BP15)</f>
        <v>88.008515341924777</v>
      </c>
      <c r="BR15" s="146">
        <f>MAX(0,BO15*(IF(MIN(100,$H15+BN15*15)&gt;=100,1,Scenarios!$D$11+(1-Scenarios!$D$11-Scenarios!$D$12)*MIN(100,$H15+BN15*15)/100)*MIN(1,MIN(100,$H15+BN15*15)/100))*(1-Scenarios!$D$13)-BP15)</f>
        <v>273.78674000941191</v>
      </c>
      <c r="BS15" s="146">
        <f>MAX(0,BO15*(IF(MIN(100,$H15+BN15*27)&gt;=100,1,Scenarios!$D$11+(1-Scenarios!$D$11-Scenarios!$D$12)*MIN(100,$H15+BN15*27)/100)*MIN(1,MIN(100,$H15+BN15*27)/100))*(1-Scenarios!$D$13)-BP15)</f>
        <v>273.78674000941191</v>
      </c>
      <c r="BT15" s="146">
        <f>MAX(1,(YEAR(IF(I15="",EDATE($C$3,Scenarios!$E$7),IF(I15&lt;$C$3,EDATE($C$3,Scenarios!$E$6),EDATE(I15,Scenarios!$E$5))))-YEAR($C$3))*12+MONTH(IF(I15="",EDATE($C$3,Scenarios!$E$7),IF(I15&lt;$C$3,EDATE($C$3,Scenarios!$E$6),EDATE(I15,Scenarios!$E$5))))-MONTH($C$3))</f>
        <v>6</v>
      </c>
      <c r="BU15" s="178">
        <f>MIN(Scenarios!$E$14,(100-H15)/BT15)</f>
        <v>4</v>
      </c>
      <c r="BV15" s="146">
        <f>J15*(1-Scenarios!$E$8)+K15*G15/1000000*Scenarios!$E$9*(1+Scenarios!$E$10)</f>
        <v>625.16553224999996</v>
      </c>
      <c r="BW15" s="146">
        <f>J15*(IF(H15&gt;=100,1,Scenarios!$E$11+(1-Scenarios!$E$11-Scenarios!$E$12)*H15/100)*MIN(1,H15/100))*(1-Scenarios!$E$13)</f>
        <v>255.43564110808799</v>
      </c>
      <c r="BX15" s="146">
        <f>MAX(0,BV15*(IF(MIN(100,$H15+BU15*5)&gt;=100,1,Scenarios!$E$11+(1-Scenarios!$E$11-Scenarios!$E$12)*MIN(100,$H15+BU15*5)/100)*MIN(1,MIN(100,$H15+BU15*5)/100))*(1-Scenarios!$E$13)-BW15)</f>
        <v>129.98641151042395</v>
      </c>
      <c r="BY15" s="146">
        <f>MAX(0,BV15*(IF(MIN(100,$H15+BU15*15)&gt;=100,1,Scenarios!$E$11+(1-Scenarios!$E$11-Scenarios!$E$12)*MIN(100,$H15+BU15*15)/100)*MIN(1,MIN(100,$H15+BU15*15)/100))*(1-Scenarios!$E$13)-BW15)</f>
        <v>338.47161452941191</v>
      </c>
      <c r="BZ15" s="146">
        <f>MAX(0,BV15*(IF(MIN(100,$H15+BU15*27)&gt;=100,1,Scenarios!$E$11+(1-Scenarios!$E$11-Scenarios!$E$12)*MIN(100,$H15+BU15*27)/100)*MIN(1,MIN(100,$H15+BU15*27)/100))*(1-Scenarios!$E$13)-BW15)</f>
        <v>338.47161452941191</v>
      </c>
      <c r="CA15" s="206">
        <f t="shared" si="7"/>
        <v>151.849914098184</v>
      </c>
    </row>
    <row r="16" spans="1:79" ht="17.25" customHeight="1" x14ac:dyDescent="0.2">
      <c r="A16" s="135" t="s">
        <v>133</v>
      </c>
      <c r="B16" s="145" t="s">
        <v>134</v>
      </c>
      <c r="C16" s="145" t="s">
        <v>62</v>
      </c>
      <c r="D16" s="147">
        <v>46264</v>
      </c>
      <c r="E16" s="136">
        <v>511</v>
      </c>
      <c r="F16" s="136">
        <v>469</v>
      </c>
      <c r="G16" s="136">
        <v>1127780</v>
      </c>
      <c r="H16" s="191">
        <v>63</v>
      </c>
      <c r="I16" s="150">
        <v>46112</v>
      </c>
      <c r="J16" s="146">
        <f t="shared" si="0"/>
        <v>528.92881999999997</v>
      </c>
      <c r="K16" s="146">
        <f t="shared" si="1"/>
        <v>42</v>
      </c>
      <c r="L16" s="192">
        <f t="shared" si="2"/>
        <v>0.9178082191780822</v>
      </c>
      <c r="M16" s="147">
        <f>IF(I16="",EDATE($C$3,Scenarios!$F$7),IF(I16&lt;$C$3,EDATE($C$3,Scenarios!$F$6),EDATE(I16,Scenarios!$F$5)))</f>
        <v>46456</v>
      </c>
      <c r="N16" s="146">
        <f t="shared" si="3"/>
        <v>6</v>
      </c>
      <c r="O16" s="178">
        <f>MIN(Scenarios!$F$14,(100-H16)/N16)</f>
        <v>6.166666666666667</v>
      </c>
      <c r="P16" s="146">
        <f>J16*(1-Scenarios!$F$8)+K16*G16/1000000*Scenarios!$F$9*(1+Scenarios!$F$10)</f>
        <v>557.34887600000002</v>
      </c>
      <c r="Q16" s="146">
        <f>J16*(IF(H16&gt;=100,1,Scenarios!$F$11+(1-Scenarios!$F$11-Scenarios!$F$12)*H16/100)*MIN(1,H16/100))*(1-Scenarios!$F$13)</f>
        <v>151.31754361206004</v>
      </c>
      <c r="R16" s="146">
        <f t="shared" si="4"/>
        <v>178.08079758104304</v>
      </c>
      <c r="S16" s="146">
        <f t="shared" si="5"/>
        <v>378.16388858793994</v>
      </c>
      <c r="T16" s="146">
        <f t="shared" si="6"/>
        <v>378.16388858793994</v>
      </c>
      <c r="U16" s="193">
        <f>J16*IF(H16&gt;=100,1,Scenarios!$F$11+(1-Scenarios!$F$11-Scenarios!$F$12)*H16/100)</f>
        <v>252.82797596000003</v>
      </c>
      <c r="V16" s="201">
        <f>MAX(0,$P16*(IF(MIN(100,$H16+$O16*V$6)&gt;=100,1,Scenarios!$F$11+(1-Scenarios!$F$11-Scenarios!$F$12)*MIN(100,$H16+$O16*V$6)/100)*MIN(1,MIN(100,$H16+$O16*V$6)/100))*(1-Scenarios!$F$13)-$Q16)</f>
        <v>37.288154882848374</v>
      </c>
      <c r="W16" s="146">
        <f>MAX(0,$P16*(IF(MIN(100,$H16+$O16*W$6)&gt;=100,1,Scenarios!$F$11+(1-Scenarios!$F$11-Scenarios!$F$12)*MIN(100,$H16+$O16*W$6)/100)*MIN(1,MIN(100,$H16+$O16*W$6)/100))*(1-Scenarios!$F$13)-$Q16)</f>
        <v>68.862015153987983</v>
      </c>
      <c r="X16" s="146">
        <f>MAX(0,$P16*(IF(MIN(100,$H16+$O16*X$6)&gt;=100,1,Scenarios!$F$11+(1-Scenarios!$F$11-Scenarios!$F$12)*MIN(100,$H16+$O16*X$6)/100)*MIN(1,MIN(100,$H16+$O16*X$6)/100))*(1-Scenarios!$F$13)-$Q16)</f>
        <v>102.852075694067</v>
      </c>
      <c r="Y16" s="146">
        <f>MAX(0,$P16*(IF(MIN(100,$H16+$O16*Y$6)&gt;=100,1,Scenarios!$F$11+(1-Scenarios!$F$11-Scenarios!$F$12)*MIN(100,$H16+$O16*Y$6)/100)*MIN(1,MIN(100,$H16+$O16*Y$6)/100))*(1-Scenarios!$F$13)-$Q16)</f>
        <v>139.25833650308539</v>
      </c>
      <c r="Z16" s="146">
        <f>MAX(0,$P16*(IF(MIN(100,$H16+$O16*Z$6)&gt;=100,1,Scenarios!$F$11+(1-Scenarios!$F$11-Scenarios!$F$12)*MIN(100,$H16+$O16*Z$6)/100)*MIN(1,MIN(100,$H16+$O16*Z$6)/100))*(1-Scenarios!$F$13)-$Q16)</f>
        <v>178.08079758104304</v>
      </c>
      <c r="AA16" s="146">
        <f>MAX(0,$P16*(IF(MIN(100,$H16+$O16*AA$6)&gt;=100,1,Scenarios!$F$11+(1-Scenarios!$F$11-Scenarios!$F$12)*MIN(100,$H16+$O16*AA$6)/100)*MIN(1,MIN(100,$H16+$O16*AA$6)/100))*(1-Scenarios!$F$13)-$Q16)</f>
        <v>378.16388858793994</v>
      </c>
      <c r="AB16" s="146">
        <f>MAX(0,$P16*(IF(MIN(100,$H16+$O16*AB$6)&gt;=100,1,Scenarios!$F$11+(1-Scenarios!$F$11-Scenarios!$F$12)*MIN(100,$H16+$O16*AB$6)/100)*MIN(1,MIN(100,$H16+$O16*AB$6)/100))*(1-Scenarios!$F$13)-$Q16)</f>
        <v>378.16388858793994</v>
      </c>
      <c r="AC16" s="146">
        <f>MAX(0,$P16*(IF(MIN(100,$H16+$O16*AC$6)&gt;=100,1,Scenarios!$F$11+(1-Scenarios!$F$11-Scenarios!$F$12)*MIN(100,$H16+$O16*AC$6)/100)*MIN(1,MIN(100,$H16+$O16*AC$6)/100))*(1-Scenarios!$F$13)-$Q16)</f>
        <v>378.16388858793994</v>
      </c>
      <c r="AD16" s="146">
        <f>MAX(0,$P16*(IF(MIN(100,$H16+$O16*AD$6)&gt;=100,1,Scenarios!$F$11+(1-Scenarios!$F$11-Scenarios!$F$12)*MIN(100,$H16+$O16*AD$6)/100)*MIN(1,MIN(100,$H16+$O16*AD$6)/100))*(1-Scenarios!$F$13)-$Q16)</f>
        <v>378.16388858793994</v>
      </c>
      <c r="AE16" s="146">
        <f>MAX(0,$P16*(IF(MIN(100,$H16+$O16*AE$6)&gt;=100,1,Scenarios!$F$11+(1-Scenarios!$F$11-Scenarios!$F$12)*MIN(100,$H16+$O16*AE$6)/100)*MIN(1,MIN(100,$H16+$O16*AE$6)/100))*(1-Scenarios!$F$13)-$Q16)</f>
        <v>378.16388858793994</v>
      </c>
      <c r="AF16" s="146">
        <f>MAX(0,$P16*(IF(MIN(100,$H16+$O16*AF$6)&gt;=100,1,Scenarios!$F$11+(1-Scenarios!$F$11-Scenarios!$F$12)*MIN(100,$H16+$O16*AF$6)/100)*MIN(1,MIN(100,$H16+$O16*AF$6)/100))*(1-Scenarios!$F$13)-$Q16)</f>
        <v>378.16388858793994</v>
      </c>
      <c r="AG16" s="146">
        <f>MAX(0,$P16*(IF(MIN(100,$H16+$O16*AG$6)&gt;=100,1,Scenarios!$F$11+(1-Scenarios!$F$11-Scenarios!$F$12)*MIN(100,$H16+$O16*AG$6)/100)*MIN(1,MIN(100,$H16+$O16*AG$6)/100))*(1-Scenarios!$F$13)-$Q16)</f>
        <v>378.16388858793994</v>
      </c>
      <c r="AH16" s="146">
        <f>MAX(0,$P16*(IF(MIN(100,$H16+$O16*AH$6)&gt;=100,1,Scenarios!$F$11+(1-Scenarios!$F$11-Scenarios!$F$12)*MIN(100,$H16+$O16*AH$6)/100)*MIN(1,MIN(100,$H16+$O16*AH$6)/100))*(1-Scenarios!$F$13)-$Q16)</f>
        <v>378.16388858793994</v>
      </c>
      <c r="AI16" s="146">
        <f>MAX(0,$P16*(IF(MIN(100,$H16+$O16*AI$6)&gt;=100,1,Scenarios!$F$11+(1-Scenarios!$F$11-Scenarios!$F$12)*MIN(100,$H16+$O16*AI$6)/100)*MIN(1,MIN(100,$H16+$O16*AI$6)/100))*(1-Scenarios!$F$13)-$Q16)</f>
        <v>378.16388858793994</v>
      </c>
      <c r="AJ16" s="146">
        <f>MAX(0,$P16*(IF(MIN(100,$H16+$O16*AJ$6)&gt;=100,1,Scenarios!$F$11+(1-Scenarios!$F$11-Scenarios!$F$12)*MIN(100,$H16+$O16*AJ$6)/100)*MIN(1,MIN(100,$H16+$O16*AJ$6)/100))*(1-Scenarios!$F$13)-$Q16)</f>
        <v>378.16388858793994</v>
      </c>
      <c r="AK16" s="146">
        <f>MAX(0,$P16*(IF(MIN(100,$H16+$O16*AK$6)&gt;=100,1,Scenarios!$F$11+(1-Scenarios!$F$11-Scenarios!$F$12)*MIN(100,$H16+$O16*AK$6)/100)*MIN(1,MIN(100,$H16+$O16*AK$6)/100))*(1-Scenarios!$F$13)-$Q16)</f>
        <v>378.16388858793994</v>
      </c>
      <c r="AL16" s="146">
        <f>MAX(0,$P16*(IF(MIN(100,$H16+$O16*AL$6)&gt;=100,1,Scenarios!$F$11+(1-Scenarios!$F$11-Scenarios!$F$12)*MIN(100,$H16+$O16*AL$6)/100)*MIN(1,MIN(100,$H16+$O16*AL$6)/100))*(1-Scenarios!$F$13)-$Q16)</f>
        <v>378.16388858793994</v>
      </c>
      <c r="AM16" s="146">
        <f>MAX(0,$P16*(IF(MIN(100,$H16+$O16*AM$6)&gt;=100,1,Scenarios!$F$11+(1-Scenarios!$F$11-Scenarios!$F$12)*MIN(100,$H16+$O16*AM$6)/100)*MIN(1,MIN(100,$H16+$O16*AM$6)/100))*(1-Scenarios!$F$13)-$Q16)</f>
        <v>378.16388858793994</v>
      </c>
      <c r="AN16" s="146">
        <f>MAX(0,$P16*(IF(MIN(100,$H16+$O16*AN$6)&gt;=100,1,Scenarios!$F$11+(1-Scenarios!$F$11-Scenarios!$F$12)*MIN(100,$H16+$O16*AN$6)/100)*MIN(1,MIN(100,$H16+$O16*AN$6)/100))*(1-Scenarios!$F$13)-$Q16)</f>
        <v>378.16388858793994</v>
      </c>
      <c r="AO16" s="146">
        <f>MAX(0,$P16*(IF(MIN(100,$H16+$O16*AO$6)&gt;=100,1,Scenarios!$F$11+(1-Scenarios!$F$11-Scenarios!$F$12)*MIN(100,$H16+$O16*AO$6)/100)*MIN(1,MIN(100,$H16+$O16*AO$6)/100))*(1-Scenarios!$F$13)-$Q16)</f>
        <v>378.16388858793994</v>
      </c>
      <c r="AP16" s="146">
        <f>MAX(0,$P16*(IF(MIN(100,$H16+$O16*AP$6)&gt;=100,1,Scenarios!$F$11+(1-Scenarios!$F$11-Scenarios!$F$12)*MIN(100,$H16+$O16*AP$6)/100)*MIN(1,MIN(100,$H16+$O16*AP$6)/100))*(1-Scenarios!$F$13)-$Q16)</f>
        <v>378.16388858793994</v>
      </c>
      <c r="AQ16" s="146">
        <f>MAX(0,$P16*(IF(MIN(100,$H16+$O16*AQ$6)&gt;=100,1,Scenarios!$F$11+(1-Scenarios!$F$11-Scenarios!$F$12)*MIN(100,$H16+$O16*AQ$6)/100)*MIN(1,MIN(100,$H16+$O16*AQ$6)/100))*(1-Scenarios!$F$13)-$Q16)</f>
        <v>378.16388858793994</v>
      </c>
      <c r="AR16" s="146">
        <f>MAX(0,$P16*(IF(MIN(100,$H16+$O16*AR$6)&gt;=100,1,Scenarios!$F$11+(1-Scenarios!$F$11-Scenarios!$F$12)*MIN(100,$H16+$O16*AR$6)/100)*MIN(1,MIN(100,$H16+$O16*AR$6)/100))*(1-Scenarios!$F$13)-$Q16)</f>
        <v>378.16388858793994</v>
      </c>
      <c r="AS16" s="146">
        <f>MAX(0,$P16*(IF(MIN(100,$H16+$O16*AS$6)&gt;=100,1,Scenarios!$F$11+(1-Scenarios!$F$11-Scenarios!$F$12)*MIN(100,$H16+$O16*AS$6)/100)*MIN(1,MIN(100,$H16+$O16*AS$6)/100))*(1-Scenarios!$F$13)-$Q16)</f>
        <v>378.16388858793994</v>
      </c>
      <c r="AT16" s="146">
        <f>MAX(0,$P16*(IF(MIN(100,$H16+$O16*AT$6)&gt;=100,1,Scenarios!$F$11+(1-Scenarios!$F$11-Scenarios!$F$12)*MIN(100,$H16+$O16*AT$6)/100)*MIN(1,MIN(100,$H16+$O16*AT$6)/100))*(1-Scenarios!$F$13)-$Q16)</f>
        <v>378.16388858793994</v>
      </c>
      <c r="AU16" s="146">
        <f>MAX(0,$P16*(IF(MIN(100,$H16+$O16*AU$6)&gt;=100,1,Scenarios!$F$11+(1-Scenarios!$F$11-Scenarios!$F$12)*MIN(100,$H16+$O16*AU$6)/100)*MIN(1,MIN(100,$H16+$O16*AU$6)/100))*(1-Scenarios!$F$13)-$Q16)</f>
        <v>378.16388858793994</v>
      </c>
      <c r="AV16" s="146">
        <f>MAX(0,$P16*(IF(MIN(100,$H16+$O16*AV$6)&gt;=100,1,Scenarios!$F$11+(1-Scenarios!$F$11-Scenarios!$F$12)*MIN(100,$H16+$O16*AV$6)/100)*MIN(1,MIN(100,$H16+$O16*AV$6)/100))*(1-Scenarios!$F$13)-$Q16)</f>
        <v>378.16388858793994</v>
      </c>
      <c r="AW16" s="193">
        <f>MAX(0,$P16*(IF(MIN(100,$H16+$O16*AW$6)&gt;=100,1,Scenarios!$F$11+(1-Scenarios!$F$11-Scenarios!$F$12)*MIN(100,$H16+$O16*AW$6)/100)*MIN(1,MIN(100,$H16+$O16*AW$6)/100))*(1-Scenarios!$F$13)-$Q16)</f>
        <v>378.16388858793994</v>
      </c>
      <c r="AX16" s="2"/>
      <c r="AY16" s="201">
        <f>MAX(1,(YEAR(IF(I16="",EDATE($C$3,Scenarios!$B$7),IF(I16&lt;$C$3,EDATE($C$3,Scenarios!$B$6),EDATE(I16,Scenarios!$B$5))))-YEAR($C$3))*12+MONTH(IF(I16="",EDATE($C$3,Scenarios!$B$7),IF(I16&lt;$C$3,EDATE($C$3,Scenarios!$B$6),EDATE(I16,Scenarios!$B$5))))-MONTH($C$3))</f>
        <v>6</v>
      </c>
      <c r="AZ16" s="178">
        <f>MIN(Scenarios!$B$14,(100-H16)/AY16)</f>
        <v>6.166666666666667</v>
      </c>
      <c r="BA16" s="146">
        <f>J16*(1-Scenarios!$B$8)+K16*G16/1000000*Scenarios!$B$9*(1+Scenarios!$B$10)</f>
        <v>557.34887600000002</v>
      </c>
      <c r="BB16" s="146">
        <f>J16*(IF(H16&gt;=100,1,Scenarios!$B$11+(1-Scenarios!$B$11-Scenarios!$B$12)*H16/100)*MIN(1,H16/100))*(1-Scenarios!$B$13)</f>
        <v>151.31754361206004</v>
      </c>
      <c r="BC16" s="146">
        <f>MAX(0,BA16*(IF(MIN(100,$H16+AZ16*5)&gt;=100,1,Scenarios!$B$11+(1-Scenarios!$B$11-Scenarios!$B$12)*MIN(100,$H16+AZ16*5)/100)*MIN(1,MIN(100,$H16+AZ16*5)/100))*(1-Scenarios!$B$13)-BB16)</f>
        <v>178.08079758104304</v>
      </c>
      <c r="BD16" s="146">
        <f>MAX(0,BA16*(IF(MIN(100,$H16+AZ16*15)&gt;=100,1,Scenarios!$B$11+(1-Scenarios!$B$11-Scenarios!$B$12)*MIN(100,$H16+AZ16*15)/100)*MIN(1,MIN(100,$H16+AZ16*15)/100))*(1-Scenarios!$B$13)-BB16)</f>
        <v>378.16388858793994</v>
      </c>
      <c r="BE16" s="146">
        <f>MAX(0,BA16*(IF(MIN(100,$H16+AZ16*27)&gt;=100,1,Scenarios!$B$11+(1-Scenarios!$B$11-Scenarios!$B$12)*MIN(100,$H16+AZ16*27)/100)*MIN(1,MIN(100,$H16+AZ16*27)/100))*(1-Scenarios!$B$13)-BB16)</f>
        <v>378.16388858793994</v>
      </c>
      <c r="BF16" s="146">
        <f>MAX(1,(YEAR(IF(I16="",EDATE($C$3,Scenarios!$C$7),IF(I16&lt;$C$3,EDATE($C$3,Scenarios!$C$6),EDATE(I16,Scenarios!$C$5))))-YEAR($C$3))*12+MONTH(IF(I16="",EDATE($C$3,Scenarios!$C$7),IF(I16&lt;$C$3,EDATE($C$3,Scenarios!$C$6),EDATE(I16,Scenarios!$C$5))))-MONTH($C$3))</f>
        <v>12</v>
      </c>
      <c r="BG16" s="178">
        <f>MIN(Scenarios!$C$14,(100-H16)/BF16)</f>
        <v>3.0833333333333335</v>
      </c>
      <c r="BH16" s="146">
        <f>J16*(1-Scenarios!$C$8)+K16*G16/1000000*Scenarios!$C$9*(1+Scenarios!$C$10)</f>
        <v>547.87552399999993</v>
      </c>
      <c r="BI16" s="146">
        <f>J16*(IF(H16&gt;=100,1,Scenarios!$C$11+(1-Scenarios!$C$11-Scenarios!$C$12)*H16/100)*MIN(1,H16/100))*(1-Scenarios!$C$13)</f>
        <v>151.31754361206004</v>
      </c>
      <c r="BJ16" s="146">
        <f>MAX(0,BH16*(IF(MIN(100,$H16+BG16*5)&gt;=100,1,Scenarios!$C$11+(1-Scenarios!$C$11-Scenarios!$C$12)*MIN(100,$H16+BG16*5)/100)*MIN(1,MIN(100,$H16+BG16*5)/100))*(1-Scenarios!$C$13)-BI16)</f>
        <v>81.528857829461543</v>
      </c>
      <c r="BK16" s="146">
        <f>MAX(0,BH16*(IF(MIN(100,$H16+BG16*15)&gt;=100,1,Scenarios!$C$11+(1-Scenarios!$C$11-Scenarios!$C$12)*MIN(100,$H16+BG16*15)/100)*MIN(1,MIN(100,$H16+BG16*15)/100))*(1-Scenarios!$C$13)-BI16)</f>
        <v>369.16420418793984</v>
      </c>
      <c r="BL16" s="146">
        <f>MAX(0,BH16*(IF(MIN(100,$H16+BG16*27)&gt;=100,1,Scenarios!$C$11+(1-Scenarios!$C$11-Scenarios!$C$12)*MIN(100,$H16+BG16*27)/100)*MIN(1,MIN(100,$H16+BG16*27)/100))*(1-Scenarios!$C$13)-BI16)</f>
        <v>369.16420418793984</v>
      </c>
      <c r="BM16" s="146">
        <f>MAX(1,(YEAR(IF(I16="",EDATE($C$3,Scenarios!$D$7),IF(I16&lt;$C$3,EDATE($C$3,Scenarios!$D$6),EDATE(I16,Scenarios!$D$5))))-YEAR($C$3))*12+MONTH(IF(I16="",EDATE($C$3,Scenarios!$D$7),IF(I16&lt;$C$3,EDATE($C$3,Scenarios!$D$6),EDATE(I16,Scenarios!$D$5))))-MONTH($C$3))</f>
        <v>6</v>
      </c>
      <c r="BN16" s="178">
        <f>MIN(Scenarios!$D$14,(100-H16)/BM16)</f>
        <v>6.166666666666667</v>
      </c>
      <c r="BO16" s="146">
        <f>J16*(1-Scenarios!$D$8)+K16*G16/1000000*Scenarios!$D$9*(1+Scenarios!$D$10)</f>
        <v>468.53620099999995</v>
      </c>
      <c r="BP16" s="146">
        <f>J16*(IF(H16&gt;=100,1,Scenarios!$D$11+(1-Scenarios!$D$11-Scenarios!$D$12)*H16/100)*MIN(1,H16/100))*(1-Scenarios!$D$13)</f>
        <v>151.31754361206004</v>
      </c>
      <c r="BQ16" s="146">
        <f>MAX(0,BO16*(IF(MIN(100,$H16+BN16*5)&gt;=100,1,Scenarios!$D$11+(1-Scenarios!$D$11-Scenarios!$D$12)*MIN(100,$H16+BN16*5)/100)*MIN(1,MIN(100,$H16+BN16*5)/100))*(1-Scenarios!$D$13)-BP16)</f>
        <v>125.59168513879922</v>
      </c>
      <c r="BR16" s="146">
        <f>MAX(0,BO16*(IF(MIN(100,$H16+BN16*15)&gt;=100,1,Scenarios!$D$11+(1-Scenarios!$D$11-Scenarios!$D$12)*MIN(100,$H16+BN16*15)/100)*MIN(1,MIN(100,$H16+BN16*15)/100))*(1-Scenarios!$D$13)-BP16)</f>
        <v>293.79184733793988</v>
      </c>
      <c r="BS16" s="146">
        <f>MAX(0,BO16*(IF(MIN(100,$H16+BN16*27)&gt;=100,1,Scenarios!$D$11+(1-Scenarios!$D$11-Scenarios!$D$12)*MIN(100,$H16+BN16*27)/100)*MIN(1,MIN(100,$H16+BN16*27)/100))*(1-Scenarios!$D$13)-BP16)</f>
        <v>293.79184733793988</v>
      </c>
      <c r="BT16" s="146">
        <f>MAX(1,(YEAR(IF(I16="",EDATE($C$3,Scenarios!$E$7),IF(I16&lt;$C$3,EDATE($C$3,Scenarios!$E$6),EDATE(I16,Scenarios!$E$5))))-YEAR($C$3))*12+MONTH(IF(I16="",EDATE($C$3,Scenarios!$E$7),IF(I16&lt;$C$3,EDATE($C$3,Scenarios!$E$6),EDATE(I16,Scenarios!$E$5))))-MONTH($C$3))</f>
        <v>6</v>
      </c>
      <c r="BU16" s="178">
        <f>MIN(Scenarios!$E$14,(100-H16)/BT16)</f>
        <v>6.166666666666667</v>
      </c>
      <c r="BV16" s="146">
        <f>J16*(1-Scenarios!$E$8)+K16*G16/1000000*Scenarios!$E$9*(1+Scenarios!$E$10)</f>
        <v>526.63942659999998</v>
      </c>
      <c r="BW16" s="146">
        <f>J16*(IF(H16&gt;=100,1,Scenarios!$E$11+(1-Scenarios!$E$11-Scenarios!$E$12)*H16/100)*MIN(1,H16/100))*(1-Scenarios!$E$13)</f>
        <v>151.31754361206004</v>
      </c>
      <c r="BX16" s="146">
        <f>MAX(0,BV16*(IF(MIN(100,$H16+BU16*5)&gt;=100,1,Scenarios!$E$11+(1-Scenarios!$E$11-Scenarios!$E$12)*MIN(100,$H16+BU16*5)/100)*MIN(1,MIN(100,$H16+BU16*5)/100))*(1-Scenarios!$E$13)-BW16)</f>
        <v>159.93122892323606</v>
      </c>
      <c r="BY16" s="146">
        <f>MAX(0,BV16*(IF(MIN(100,$H16+BU16*15)&gt;=100,1,Scenarios!$E$11+(1-Scenarios!$E$11-Scenarios!$E$12)*MIN(100,$H16+BU16*15)/100)*MIN(1,MIN(100,$H16+BU16*15)/100))*(1-Scenarios!$E$13)-BW16)</f>
        <v>348.9899116579399</v>
      </c>
      <c r="BZ16" s="146">
        <f>MAX(0,BV16*(IF(MIN(100,$H16+BU16*27)&gt;=100,1,Scenarios!$E$11+(1-Scenarios!$E$11-Scenarios!$E$12)*MIN(100,$H16+BU16*27)/100)*MIN(1,MIN(100,$H16+BU16*27)/100))*(1-Scenarios!$E$13)-BW16)</f>
        <v>348.9899116579399</v>
      </c>
      <c r="CA16" s="206">
        <f t="shared" si="7"/>
        <v>178.08081358104303</v>
      </c>
    </row>
    <row r="17" spans="1:79" ht="17.25" customHeight="1" x14ac:dyDescent="0.2">
      <c r="A17" s="135" t="s">
        <v>135</v>
      </c>
      <c r="B17" s="145" t="s">
        <v>136</v>
      </c>
      <c r="C17" s="145" t="s">
        <v>62</v>
      </c>
      <c r="D17" s="147">
        <v>46264</v>
      </c>
      <c r="E17" s="136">
        <v>1575</v>
      </c>
      <c r="F17" s="136">
        <v>1564</v>
      </c>
      <c r="G17" s="136">
        <v>1182965</v>
      </c>
      <c r="H17" s="191">
        <v>33</v>
      </c>
      <c r="I17" s="150">
        <v>46113</v>
      </c>
      <c r="J17" s="146">
        <f t="shared" si="0"/>
        <v>1850.15726</v>
      </c>
      <c r="K17" s="146">
        <f t="shared" si="1"/>
        <v>11</v>
      </c>
      <c r="L17" s="192">
        <f t="shared" si="2"/>
        <v>0.99301587301587302</v>
      </c>
      <c r="M17" s="147">
        <f>IF(I17="",EDATE($C$3,Scenarios!$F$7),IF(I17&lt;$C$3,EDATE($C$3,Scenarios!$F$6),EDATE(I17,Scenarios!$F$5)))</f>
        <v>46456</v>
      </c>
      <c r="N17" s="146">
        <f t="shared" si="3"/>
        <v>6</v>
      </c>
      <c r="O17" s="178">
        <f>MIN(Scenarios!$F$14,(100-H17)/N17)</f>
        <v>8</v>
      </c>
      <c r="P17" s="146">
        <f>J17*(1-Scenarios!$F$8)+K17*G17/1000000*Scenarios!$F$9*(1+Scenarios!$F$10)</f>
        <v>1857.964829</v>
      </c>
      <c r="Q17" s="146">
        <f>J17*(IF(H17&gt;=100,1,Scenarios!$F$11+(1-Scenarios!$F$11-Scenarios!$F$12)*H17/100)*MIN(1,H17/100))*(1-Scenarios!$F$13)</f>
        <v>172.84724170098005</v>
      </c>
      <c r="R17" s="146">
        <f t="shared" si="4"/>
        <v>520.36500989340709</v>
      </c>
      <c r="S17" s="146">
        <f t="shared" si="5"/>
        <v>1592.2193458490199</v>
      </c>
      <c r="T17" s="146">
        <f t="shared" si="6"/>
        <v>1592.2193458490199</v>
      </c>
      <c r="U17" s="193">
        <f>J17*IF(H17&gt;=100,1,Scenarios!$F$11+(1-Scenarios!$F$11-Scenarios!$F$12)*H17/100)</f>
        <v>551.34686348000002</v>
      </c>
      <c r="V17" s="201">
        <f>MAX(0,$P17*(IF(MIN(100,$H17+$O17*V$6)&gt;=100,1,Scenarios!$F$11+(1-Scenarios!$F$11-Scenarios!$F$12)*MIN(100,$H17+$O17*V$6)/100)*MIN(1,MIN(100,$H17+$O17*V$6)/100))*(1-Scenarios!$F$13)-$Q17)</f>
        <v>77.545104408862954</v>
      </c>
      <c r="W17" s="146">
        <f>MAX(0,$P17*(IF(MIN(100,$H17+$O17*W$6)&gt;=100,1,Scenarios!$F$11+(1-Scenarios!$F$11-Scenarios!$F$12)*MIN(100,$H17+$O17*W$6)/100)*MIN(1,MIN(100,$H17+$O17*W$6)/100))*(1-Scenarios!$F$13)-$Q17)</f>
        <v>167.91651369142292</v>
      </c>
      <c r="X17" s="146">
        <f>MAX(0,$P17*(IF(MIN(100,$H17+$O17*X$6)&gt;=100,1,Scenarios!$F$11+(1-Scenarios!$F$11-Scenarios!$F$12)*MIN(100,$H17+$O17*X$6)/100)*MIN(1,MIN(100,$H17+$O17*X$6)/100))*(1-Scenarios!$F$13)-$Q17)</f>
        <v>271.84363436636693</v>
      </c>
      <c r="Y17" s="146">
        <f>MAX(0,$P17*(IF(MIN(100,$H17+$O17*Y$6)&gt;=100,1,Scenarios!$F$11+(1-Scenarios!$F$11-Scenarios!$F$12)*MIN(100,$H17+$O17*Y$6)/100)*MIN(1,MIN(100,$H17+$O17*Y$6)/100))*(1-Scenarios!$F$13)-$Q17)</f>
        <v>389.32646643369503</v>
      </c>
      <c r="Z17" s="146">
        <f>MAX(0,$P17*(IF(MIN(100,$H17+$O17*Z$6)&gt;=100,1,Scenarios!$F$11+(1-Scenarios!$F$11-Scenarios!$F$12)*MIN(100,$H17+$O17*Z$6)/100)*MIN(1,MIN(100,$H17+$O17*Z$6)/100))*(1-Scenarios!$F$13)-$Q17)</f>
        <v>520.36500989340709</v>
      </c>
      <c r="AA17" s="146">
        <f>MAX(0,$P17*(IF(MIN(100,$H17+$O17*AA$6)&gt;=100,1,Scenarios!$F$11+(1-Scenarios!$F$11-Scenarios!$F$12)*MIN(100,$H17+$O17*AA$6)/100)*MIN(1,MIN(100,$H17+$O17*AA$6)/100))*(1-Scenarios!$F$13)-$Q17)</f>
        <v>664.95926474550299</v>
      </c>
      <c r="AB17" s="146">
        <f>MAX(0,$P17*(IF(MIN(100,$H17+$O17*AB$6)&gt;=100,1,Scenarios!$F$11+(1-Scenarios!$F$11-Scenarios!$F$12)*MIN(100,$H17+$O17*AB$6)/100)*MIN(1,MIN(100,$H17+$O17*AB$6)/100))*(1-Scenarios!$F$13)-$Q17)</f>
        <v>823.10923098998296</v>
      </c>
      <c r="AC17" s="146">
        <f>MAX(0,$P17*(IF(MIN(100,$H17+$O17*AC$6)&gt;=100,1,Scenarios!$F$11+(1-Scenarios!$F$11-Scenarios!$F$12)*MIN(100,$H17+$O17*AC$6)/100)*MIN(1,MIN(100,$H17+$O17*AC$6)/100))*(1-Scenarios!$F$13)-$Q17)</f>
        <v>994.814908626847</v>
      </c>
      <c r="AD17" s="146">
        <f>MAX(0,$P17*(IF(MIN(100,$H17+$O17*AD$6)&gt;=100,1,Scenarios!$F$11+(1-Scenarios!$F$11-Scenarios!$F$12)*MIN(100,$H17+$O17*AD$6)/100)*MIN(1,MIN(100,$H17+$O17*AD$6)/100))*(1-Scenarios!$F$13)-$Q17)</f>
        <v>1592.2193458490199</v>
      </c>
      <c r="AE17" s="146">
        <f>MAX(0,$P17*(IF(MIN(100,$H17+$O17*AE$6)&gt;=100,1,Scenarios!$F$11+(1-Scenarios!$F$11-Scenarios!$F$12)*MIN(100,$H17+$O17*AE$6)/100)*MIN(1,MIN(100,$H17+$O17*AE$6)/100))*(1-Scenarios!$F$13)-$Q17)</f>
        <v>1592.2193458490199</v>
      </c>
      <c r="AF17" s="146">
        <f>MAX(0,$P17*(IF(MIN(100,$H17+$O17*AF$6)&gt;=100,1,Scenarios!$F$11+(1-Scenarios!$F$11-Scenarios!$F$12)*MIN(100,$H17+$O17*AF$6)/100)*MIN(1,MIN(100,$H17+$O17*AF$6)/100))*(1-Scenarios!$F$13)-$Q17)</f>
        <v>1592.2193458490199</v>
      </c>
      <c r="AG17" s="146">
        <f>MAX(0,$P17*(IF(MIN(100,$H17+$O17*AG$6)&gt;=100,1,Scenarios!$F$11+(1-Scenarios!$F$11-Scenarios!$F$12)*MIN(100,$H17+$O17*AG$6)/100)*MIN(1,MIN(100,$H17+$O17*AG$6)/100))*(1-Scenarios!$F$13)-$Q17)</f>
        <v>1592.2193458490199</v>
      </c>
      <c r="AH17" s="146">
        <f>MAX(0,$P17*(IF(MIN(100,$H17+$O17*AH$6)&gt;=100,1,Scenarios!$F$11+(1-Scenarios!$F$11-Scenarios!$F$12)*MIN(100,$H17+$O17*AH$6)/100)*MIN(1,MIN(100,$H17+$O17*AH$6)/100))*(1-Scenarios!$F$13)-$Q17)</f>
        <v>1592.2193458490199</v>
      </c>
      <c r="AI17" s="146">
        <f>MAX(0,$P17*(IF(MIN(100,$H17+$O17*AI$6)&gt;=100,1,Scenarios!$F$11+(1-Scenarios!$F$11-Scenarios!$F$12)*MIN(100,$H17+$O17*AI$6)/100)*MIN(1,MIN(100,$H17+$O17*AI$6)/100))*(1-Scenarios!$F$13)-$Q17)</f>
        <v>1592.2193458490199</v>
      </c>
      <c r="AJ17" s="146">
        <f>MAX(0,$P17*(IF(MIN(100,$H17+$O17*AJ$6)&gt;=100,1,Scenarios!$F$11+(1-Scenarios!$F$11-Scenarios!$F$12)*MIN(100,$H17+$O17*AJ$6)/100)*MIN(1,MIN(100,$H17+$O17*AJ$6)/100))*(1-Scenarios!$F$13)-$Q17)</f>
        <v>1592.2193458490199</v>
      </c>
      <c r="AK17" s="146">
        <f>MAX(0,$P17*(IF(MIN(100,$H17+$O17*AK$6)&gt;=100,1,Scenarios!$F$11+(1-Scenarios!$F$11-Scenarios!$F$12)*MIN(100,$H17+$O17*AK$6)/100)*MIN(1,MIN(100,$H17+$O17*AK$6)/100))*(1-Scenarios!$F$13)-$Q17)</f>
        <v>1592.2193458490199</v>
      </c>
      <c r="AL17" s="146">
        <f>MAX(0,$P17*(IF(MIN(100,$H17+$O17*AL$6)&gt;=100,1,Scenarios!$F$11+(1-Scenarios!$F$11-Scenarios!$F$12)*MIN(100,$H17+$O17*AL$6)/100)*MIN(1,MIN(100,$H17+$O17*AL$6)/100))*(1-Scenarios!$F$13)-$Q17)</f>
        <v>1592.2193458490199</v>
      </c>
      <c r="AM17" s="146">
        <f>MAX(0,$P17*(IF(MIN(100,$H17+$O17*AM$6)&gt;=100,1,Scenarios!$F$11+(1-Scenarios!$F$11-Scenarios!$F$12)*MIN(100,$H17+$O17*AM$6)/100)*MIN(1,MIN(100,$H17+$O17*AM$6)/100))*(1-Scenarios!$F$13)-$Q17)</f>
        <v>1592.2193458490199</v>
      </c>
      <c r="AN17" s="146">
        <f>MAX(0,$P17*(IF(MIN(100,$H17+$O17*AN$6)&gt;=100,1,Scenarios!$F$11+(1-Scenarios!$F$11-Scenarios!$F$12)*MIN(100,$H17+$O17*AN$6)/100)*MIN(1,MIN(100,$H17+$O17*AN$6)/100))*(1-Scenarios!$F$13)-$Q17)</f>
        <v>1592.2193458490199</v>
      </c>
      <c r="AO17" s="146">
        <f>MAX(0,$P17*(IF(MIN(100,$H17+$O17*AO$6)&gt;=100,1,Scenarios!$F$11+(1-Scenarios!$F$11-Scenarios!$F$12)*MIN(100,$H17+$O17*AO$6)/100)*MIN(1,MIN(100,$H17+$O17*AO$6)/100))*(1-Scenarios!$F$13)-$Q17)</f>
        <v>1592.2193458490199</v>
      </c>
      <c r="AP17" s="146">
        <f>MAX(0,$P17*(IF(MIN(100,$H17+$O17*AP$6)&gt;=100,1,Scenarios!$F$11+(1-Scenarios!$F$11-Scenarios!$F$12)*MIN(100,$H17+$O17*AP$6)/100)*MIN(1,MIN(100,$H17+$O17*AP$6)/100))*(1-Scenarios!$F$13)-$Q17)</f>
        <v>1592.2193458490199</v>
      </c>
      <c r="AQ17" s="146">
        <f>MAX(0,$P17*(IF(MIN(100,$H17+$O17*AQ$6)&gt;=100,1,Scenarios!$F$11+(1-Scenarios!$F$11-Scenarios!$F$12)*MIN(100,$H17+$O17*AQ$6)/100)*MIN(1,MIN(100,$H17+$O17*AQ$6)/100))*(1-Scenarios!$F$13)-$Q17)</f>
        <v>1592.2193458490199</v>
      </c>
      <c r="AR17" s="146">
        <f>MAX(0,$P17*(IF(MIN(100,$H17+$O17*AR$6)&gt;=100,1,Scenarios!$F$11+(1-Scenarios!$F$11-Scenarios!$F$12)*MIN(100,$H17+$O17*AR$6)/100)*MIN(1,MIN(100,$H17+$O17*AR$6)/100))*(1-Scenarios!$F$13)-$Q17)</f>
        <v>1592.2193458490199</v>
      </c>
      <c r="AS17" s="146">
        <f>MAX(0,$P17*(IF(MIN(100,$H17+$O17*AS$6)&gt;=100,1,Scenarios!$F$11+(1-Scenarios!$F$11-Scenarios!$F$12)*MIN(100,$H17+$O17*AS$6)/100)*MIN(1,MIN(100,$H17+$O17*AS$6)/100))*(1-Scenarios!$F$13)-$Q17)</f>
        <v>1592.2193458490199</v>
      </c>
      <c r="AT17" s="146">
        <f>MAX(0,$P17*(IF(MIN(100,$H17+$O17*AT$6)&gt;=100,1,Scenarios!$F$11+(1-Scenarios!$F$11-Scenarios!$F$12)*MIN(100,$H17+$O17*AT$6)/100)*MIN(1,MIN(100,$H17+$O17*AT$6)/100))*(1-Scenarios!$F$13)-$Q17)</f>
        <v>1592.2193458490199</v>
      </c>
      <c r="AU17" s="146">
        <f>MAX(0,$P17*(IF(MIN(100,$H17+$O17*AU$6)&gt;=100,1,Scenarios!$F$11+(1-Scenarios!$F$11-Scenarios!$F$12)*MIN(100,$H17+$O17*AU$6)/100)*MIN(1,MIN(100,$H17+$O17*AU$6)/100))*(1-Scenarios!$F$13)-$Q17)</f>
        <v>1592.2193458490199</v>
      </c>
      <c r="AV17" s="146">
        <f>MAX(0,$P17*(IF(MIN(100,$H17+$O17*AV$6)&gt;=100,1,Scenarios!$F$11+(1-Scenarios!$F$11-Scenarios!$F$12)*MIN(100,$H17+$O17*AV$6)/100)*MIN(1,MIN(100,$H17+$O17*AV$6)/100))*(1-Scenarios!$F$13)-$Q17)</f>
        <v>1592.2193458490199</v>
      </c>
      <c r="AW17" s="193">
        <f>MAX(0,$P17*(IF(MIN(100,$H17+$O17*AW$6)&gt;=100,1,Scenarios!$F$11+(1-Scenarios!$F$11-Scenarios!$F$12)*MIN(100,$H17+$O17*AW$6)/100)*MIN(1,MIN(100,$H17+$O17*AW$6)/100))*(1-Scenarios!$F$13)-$Q17)</f>
        <v>1592.2193458490199</v>
      </c>
      <c r="AX17" s="2"/>
      <c r="AY17" s="201">
        <f>MAX(1,(YEAR(IF(I17="",EDATE($C$3,Scenarios!$B$7),IF(I17&lt;$C$3,EDATE($C$3,Scenarios!$B$6),EDATE(I17,Scenarios!$B$5))))-YEAR($C$3))*12+MONTH(IF(I17="",EDATE($C$3,Scenarios!$B$7),IF(I17&lt;$C$3,EDATE($C$3,Scenarios!$B$6),EDATE(I17,Scenarios!$B$5))))-MONTH($C$3))</f>
        <v>6</v>
      </c>
      <c r="AZ17" s="178">
        <f>MIN(Scenarios!$B$14,(100-H17)/AY17)</f>
        <v>8</v>
      </c>
      <c r="BA17" s="146">
        <f>J17*(1-Scenarios!$B$8)+K17*G17/1000000*Scenarios!$B$9*(1+Scenarios!$B$10)</f>
        <v>1857.964829</v>
      </c>
      <c r="BB17" s="146">
        <f>J17*(IF(H17&gt;=100,1,Scenarios!$B$11+(1-Scenarios!$B$11-Scenarios!$B$12)*H17/100)*MIN(1,H17/100))*(1-Scenarios!$B$13)</f>
        <v>172.84724170098005</v>
      </c>
      <c r="BC17" s="146">
        <f>MAX(0,BA17*(IF(MIN(100,$H17+AZ17*5)&gt;=100,1,Scenarios!$B$11+(1-Scenarios!$B$11-Scenarios!$B$12)*MIN(100,$H17+AZ17*5)/100)*MIN(1,MIN(100,$H17+AZ17*5)/100))*(1-Scenarios!$B$13)-BB17)</f>
        <v>520.36500989340709</v>
      </c>
      <c r="BD17" s="146">
        <f>MAX(0,BA17*(IF(MIN(100,$H17+AZ17*15)&gt;=100,1,Scenarios!$B$11+(1-Scenarios!$B$11-Scenarios!$B$12)*MIN(100,$H17+AZ17*15)/100)*MIN(1,MIN(100,$H17+AZ17*15)/100))*(1-Scenarios!$B$13)-BB17)</f>
        <v>1592.2193458490199</v>
      </c>
      <c r="BE17" s="146">
        <f>MAX(0,BA17*(IF(MIN(100,$H17+AZ17*27)&gt;=100,1,Scenarios!$B$11+(1-Scenarios!$B$11-Scenarios!$B$12)*MIN(100,$H17+AZ17*27)/100)*MIN(1,MIN(100,$H17+AZ17*27)/100))*(1-Scenarios!$B$13)-BB17)</f>
        <v>1592.2193458490199</v>
      </c>
      <c r="BF17" s="146">
        <f>MAX(1,(YEAR(IF(I17="",EDATE($C$3,Scenarios!$C$7),IF(I17&lt;$C$3,EDATE($C$3,Scenarios!$C$6),EDATE(I17,Scenarios!$C$5))))-YEAR($C$3))*12+MONTH(IF(I17="",EDATE($C$3,Scenarios!$C$7),IF(I17&lt;$C$3,EDATE($C$3,Scenarios!$C$6),EDATE(I17,Scenarios!$C$5))))-MONTH($C$3))</f>
        <v>12</v>
      </c>
      <c r="BG17" s="178">
        <f>MIN(Scenarios!$C$14,(100-H17)/BF17)</f>
        <v>5.583333333333333</v>
      </c>
      <c r="BH17" s="146">
        <f>J17*(1-Scenarios!$C$8)+K17*G17/1000000*Scenarios!$C$9*(1+Scenarios!$C$10)</f>
        <v>1855.362306</v>
      </c>
      <c r="BI17" s="146">
        <f>J17*(IF(H17&gt;=100,1,Scenarios!$C$11+(1-Scenarios!$C$11-Scenarios!$C$12)*H17/100)*MIN(1,H17/100))*(1-Scenarios!$C$13)</f>
        <v>172.84724170098005</v>
      </c>
      <c r="BJ17" s="146">
        <f>MAX(0,BH17*(IF(MIN(100,$H17+BG17*5)&gt;=100,1,Scenarios!$C$11+(1-Scenarios!$C$11-Scenarios!$C$12)*MIN(100,$H17+BG17*5)/100)*MIN(1,MIN(100,$H17+BG17*5)/100))*(1-Scenarios!$C$13)-BI17)</f>
        <v>326.96645205609616</v>
      </c>
      <c r="BK17" s="146">
        <f>MAX(0,BH17*(IF(MIN(100,$H17+BG17*15)&gt;=100,1,Scenarios!$C$11+(1-Scenarios!$C$11-Scenarios!$C$12)*MIN(100,$H17+BG17*15)/100)*MIN(1,MIN(100,$H17+BG17*15)/100))*(1-Scenarios!$C$13)-BI17)</f>
        <v>1589.7469489990199</v>
      </c>
      <c r="BL17" s="146">
        <f>MAX(0,BH17*(IF(MIN(100,$H17+BG17*27)&gt;=100,1,Scenarios!$C$11+(1-Scenarios!$C$11-Scenarios!$C$12)*MIN(100,$H17+BG17*27)/100)*MIN(1,MIN(100,$H17+BG17*27)/100))*(1-Scenarios!$C$13)-BI17)</f>
        <v>1589.7469489990199</v>
      </c>
      <c r="BM17" s="146">
        <f>MAX(1,(YEAR(IF(I17="",EDATE($C$3,Scenarios!$D$7),IF(I17&lt;$C$3,EDATE($C$3,Scenarios!$D$6),EDATE(I17,Scenarios!$D$5))))-YEAR($C$3))*12+MONTH(IF(I17="",EDATE($C$3,Scenarios!$D$7),IF(I17&lt;$C$3,EDATE($C$3,Scenarios!$D$6),EDATE(I17,Scenarios!$D$5))))-MONTH($C$3))</f>
        <v>6</v>
      </c>
      <c r="BN17" s="178">
        <f>MIN(Scenarios!$D$14,(100-H17)/BM17)</f>
        <v>8</v>
      </c>
      <c r="BO17" s="146">
        <f>J17*(1-Scenarios!$D$8)+K17*G17/1000000*Scenarios!$D$9*(1+Scenarios!$D$10)</f>
        <v>1577.8387169999999</v>
      </c>
      <c r="BP17" s="146">
        <f>J17*(IF(H17&gt;=100,1,Scenarios!$D$11+(1-Scenarios!$D$11-Scenarios!$D$12)*H17/100)*MIN(1,H17/100))*(1-Scenarios!$D$13)</f>
        <v>172.84724170098005</v>
      </c>
      <c r="BQ17" s="146">
        <f>MAX(0,BO17*(IF(MIN(100,$H17+BN17*5)&gt;=100,1,Scenarios!$D$11+(1-Scenarios!$D$11-Scenarios!$D$12)*MIN(100,$H17+BN17*5)/100)*MIN(1,MIN(100,$H17+BN17*5)/100))*(1-Scenarios!$D$13)-BP17)</f>
        <v>415.84911712787095</v>
      </c>
      <c r="BR17" s="146">
        <f>MAX(0,BO17*(IF(MIN(100,$H17+BN17*15)&gt;=100,1,Scenarios!$D$11+(1-Scenarios!$D$11-Scenarios!$D$12)*MIN(100,$H17+BN17*15)/100)*MIN(1,MIN(100,$H17+BN17*15)/100))*(1-Scenarios!$D$13)-BP17)</f>
        <v>1326.0995394490199</v>
      </c>
      <c r="BS17" s="146">
        <f>MAX(0,BO17*(IF(MIN(100,$H17+BN17*27)&gt;=100,1,Scenarios!$D$11+(1-Scenarios!$D$11-Scenarios!$D$12)*MIN(100,$H17+BN17*27)/100)*MIN(1,MIN(100,$H17+BN17*27)/100))*(1-Scenarios!$D$13)-BP17)</f>
        <v>1326.0995394490199</v>
      </c>
      <c r="BT17" s="146">
        <f>MAX(1,(YEAR(IF(I17="",EDATE($C$3,Scenarios!$E$7),IF(I17&lt;$C$3,EDATE($C$3,Scenarios!$E$6),EDATE(I17,Scenarios!$E$5))))-YEAR($C$3))*12+MONTH(IF(I17="",EDATE($C$3,Scenarios!$E$7),IF(I17&lt;$C$3,EDATE($C$3,Scenarios!$E$6),EDATE(I17,Scenarios!$E$5))))-MONTH($C$3))</f>
        <v>6</v>
      </c>
      <c r="BU17" s="178">
        <f>MIN(Scenarios!$E$14,(100-H17)/BT17)</f>
        <v>8</v>
      </c>
      <c r="BV17" s="146">
        <f>J17*(1-Scenarios!$E$8)+K17*G17/1000000*Scenarios!$E$9*(1+Scenarios!$E$10)</f>
        <v>1764.28583065</v>
      </c>
      <c r="BW17" s="146">
        <f>J17*(IF(H17&gt;=100,1,Scenarios!$E$11+(1-Scenarios!$E$11-Scenarios!$E$12)*H17/100)*MIN(1,H17/100))*(1-Scenarios!$E$13)</f>
        <v>172.84724170098005</v>
      </c>
      <c r="BX17" s="146">
        <f>MAX(0,BV17*(IF(MIN(100,$H17+BU17*5)&gt;=100,1,Scenarios!$E$11+(1-Scenarios!$E$11-Scenarios!$E$12)*MIN(100,$H17+BU17*5)/100)*MIN(1,MIN(100,$H17+BU17*5)/100))*(1-Scenarios!$E$13)-BW17)</f>
        <v>485.41309457202692</v>
      </c>
      <c r="BY17" s="146">
        <f>MAX(0,BV17*(IF(MIN(100,$H17+BU17*15)&gt;=100,1,Scenarios!$E$11+(1-Scenarios!$E$11-Scenarios!$E$12)*MIN(100,$H17+BU17*15)/100)*MIN(1,MIN(100,$H17+BU17*15)/100))*(1-Scenarios!$E$13)-BW17)</f>
        <v>1503.2242974165199</v>
      </c>
      <c r="BZ17" s="146">
        <f>MAX(0,BV17*(IF(MIN(100,$H17+BU17*27)&gt;=100,1,Scenarios!$E$11+(1-Scenarios!$E$11-Scenarios!$E$12)*MIN(100,$H17+BU17*27)/100)*MIN(1,MIN(100,$H17+BU17*27)/100))*(1-Scenarios!$E$13)-BW17)</f>
        <v>1503.2242974165199</v>
      </c>
      <c r="CA17" s="206">
        <f t="shared" si="7"/>
        <v>520.36502689340705</v>
      </c>
    </row>
    <row r="18" spans="1:79" ht="17.25" customHeight="1" x14ac:dyDescent="0.2">
      <c r="A18" s="135" t="s">
        <v>137</v>
      </c>
      <c r="B18" s="145" t="s">
        <v>138</v>
      </c>
      <c r="C18" s="145" t="s">
        <v>62</v>
      </c>
      <c r="D18" s="147">
        <v>46264</v>
      </c>
      <c r="E18" s="136">
        <v>277</v>
      </c>
      <c r="F18" s="136">
        <v>248</v>
      </c>
      <c r="G18" s="136">
        <v>1704545</v>
      </c>
      <c r="H18" s="191">
        <v>32</v>
      </c>
      <c r="I18" s="150">
        <v>46142</v>
      </c>
      <c r="J18" s="146">
        <f t="shared" si="0"/>
        <v>422.72716000000003</v>
      </c>
      <c r="K18" s="146">
        <f t="shared" si="1"/>
        <v>29</v>
      </c>
      <c r="L18" s="192">
        <f t="shared" si="2"/>
        <v>0.89530685920577613</v>
      </c>
      <c r="M18" s="147">
        <f>IF(I18="",EDATE($C$3,Scenarios!$F$7),IF(I18&lt;$C$3,EDATE($C$3,Scenarios!$F$6),EDATE(I18,Scenarios!$F$5)))</f>
        <v>46456</v>
      </c>
      <c r="N18" s="146">
        <f t="shared" si="3"/>
        <v>6</v>
      </c>
      <c r="O18" s="178">
        <f>MIN(Scenarios!$F$14,(100-H18)/N18)</f>
        <v>8</v>
      </c>
      <c r="P18" s="146">
        <f>J18*(1-Scenarios!$F$8)+K18*G18/1000000*Scenarios!$F$9*(1+Scenarios!$F$10)</f>
        <v>452.38624300000004</v>
      </c>
      <c r="Q18" s="146">
        <f>J18*(IF(H18&gt;=100,1,Scenarios!$F$11+(1-Scenarios!$F$11-Scenarios!$F$12)*H18/100)*MIN(1,H18/100))*(1-Scenarios!$F$13)</f>
        <v>37.524644538880004</v>
      </c>
      <c r="R18" s="146">
        <f t="shared" si="4"/>
        <v>127.093280653904</v>
      </c>
      <c r="S18" s="146">
        <f t="shared" si="5"/>
        <v>392.24228631111998</v>
      </c>
      <c r="T18" s="146">
        <f t="shared" si="6"/>
        <v>392.24228631111998</v>
      </c>
      <c r="U18" s="193">
        <f>J18*IF(H18&gt;=100,1,Scenarios!$F$11+(1-Scenarios!$F$11-Scenarios!$F$12)*H18/100)</f>
        <v>123.43633072000003</v>
      </c>
      <c r="V18" s="201">
        <f>MAX(0,$P18*(IF(MIN(100,$H18+$O18*V$6)&gt;=100,1,Scenarios!$F$11+(1-Scenarios!$F$11-Scenarios!$F$12)*MIN(100,$H18+$O18*V$6)/100)*MIN(1,MIN(100,$H18+$O18*V$6)/100))*(1-Scenarios!$F$13)-$Q18)</f>
        <v>20.923658056720015</v>
      </c>
      <c r="W18" s="146">
        <f>MAX(0,$P18*(IF(MIN(100,$H18+$O18*W$6)&gt;=100,1,Scenarios!$F$11+(1-Scenarios!$F$11-Scenarios!$F$12)*MIN(100,$H18+$O18*W$6)/100)*MIN(1,MIN(100,$H18+$O18*W$6)/100))*(1-Scenarios!$F$13)-$Q18)</f>
        <v>42.515148662623993</v>
      </c>
      <c r="X18" s="146">
        <f>MAX(0,$P18*(IF(MIN(100,$H18+$O18*X$6)&gt;=100,1,Scenarios!$F$11+(1-Scenarios!$F$11-Scenarios!$F$12)*MIN(100,$H18+$O18*X$6)/100)*MIN(1,MIN(100,$H18+$O18*X$6)/100))*(1-Scenarios!$F$13)-$Q18)</f>
        <v>67.407249297456019</v>
      </c>
      <c r="Y18" s="146">
        <f>MAX(0,$P18*(IF(MIN(100,$H18+$O18*Y$6)&gt;=100,1,Scenarios!$F$11+(1-Scenarios!$F$11-Scenarios!$F$12)*MIN(100,$H18+$O18*Y$6)/100)*MIN(1,MIN(100,$H18+$O18*Y$6)/100))*(1-Scenarios!$F$13)-$Q18)</f>
        <v>95.59995996121603</v>
      </c>
      <c r="Z18" s="146">
        <f>MAX(0,$P18*(IF(MIN(100,$H18+$O18*Z$6)&gt;=100,1,Scenarios!$F$11+(1-Scenarios!$F$11-Scenarios!$F$12)*MIN(100,$H18+$O18*Z$6)/100)*MIN(1,MIN(100,$H18+$O18*Z$6)/100))*(1-Scenarios!$F$13)-$Q18)</f>
        <v>127.093280653904</v>
      </c>
      <c r="AA18" s="146">
        <f>MAX(0,$P18*(IF(MIN(100,$H18+$O18*AA$6)&gt;=100,1,Scenarios!$F$11+(1-Scenarios!$F$11-Scenarios!$F$12)*MIN(100,$H18+$O18*AA$6)/100)*MIN(1,MIN(100,$H18+$O18*AA$6)/100))*(1-Scenarios!$F$13)-$Q18)</f>
        <v>161.88721137552002</v>
      </c>
      <c r="AB18" s="146">
        <f>MAX(0,$P18*(IF(MIN(100,$H18+$O18*AB$6)&gt;=100,1,Scenarios!$F$11+(1-Scenarios!$F$11-Scenarios!$F$12)*MIN(100,$H18+$O18*AB$6)/100)*MIN(1,MIN(100,$H18+$O18*AB$6)/100))*(1-Scenarios!$F$13)-$Q18)</f>
        <v>199.98175212606407</v>
      </c>
      <c r="AC18" s="146">
        <f>MAX(0,$P18*(IF(MIN(100,$H18+$O18*AC$6)&gt;=100,1,Scenarios!$F$11+(1-Scenarios!$F$11-Scenarios!$F$12)*MIN(100,$H18+$O18*AC$6)/100)*MIN(1,MIN(100,$H18+$O18*AC$6)/100))*(1-Scenarios!$F$13)-$Q18)</f>
        <v>241.37690290553599</v>
      </c>
      <c r="AD18" s="146">
        <f>MAX(0,$P18*(IF(MIN(100,$H18+$O18*AD$6)&gt;=100,1,Scenarios!$F$11+(1-Scenarios!$F$11-Scenarios!$F$12)*MIN(100,$H18+$O18*AD$6)/100)*MIN(1,MIN(100,$H18+$O18*AD$6)/100))*(1-Scenarios!$F$13)-$Q18)</f>
        <v>392.24228631111998</v>
      </c>
      <c r="AE18" s="146">
        <f>MAX(0,$P18*(IF(MIN(100,$H18+$O18*AE$6)&gt;=100,1,Scenarios!$F$11+(1-Scenarios!$F$11-Scenarios!$F$12)*MIN(100,$H18+$O18*AE$6)/100)*MIN(1,MIN(100,$H18+$O18*AE$6)/100))*(1-Scenarios!$F$13)-$Q18)</f>
        <v>392.24228631111998</v>
      </c>
      <c r="AF18" s="146">
        <f>MAX(0,$P18*(IF(MIN(100,$H18+$O18*AF$6)&gt;=100,1,Scenarios!$F$11+(1-Scenarios!$F$11-Scenarios!$F$12)*MIN(100,$H18+$O18*AF$6)/100)*MIN(1,MIN(100,$H18+$O18*AF$6)/100))*(1-Scenarios!$F$13)-$Q18)</f>
        <v>392.24228631111998</v>
      </c>
      <c r="AG18" s="146">
        <f>MAX(0,$P18*(IF(MIN(100,$H18+$O18*AG$6)&gt;=100,1,Scenarios!$F$11+(1-Scenarios!$F$11-Scenarios!$F$12)*MIN(100,$H18+$O18*AG$6)/100)*MIN(1,MIN(100,$H18+$O18*AG$6)/100))*(1-Scenarios!$F$13)-$Q18)</f>
        <v>392.24228631111998</v>
      </c>
      <c r="AH18" s="146">
        <f>MAX(0,$P18*(IF(MIN(100,$H18+$O18*AH$6)&gt;=100,1,Scenarios!$F$11+(1-Scenarios!$F$11-Scenarios!$F$12)*MIN(100,$H18+$O18*AH$6)/100)*MIN(1,MIN(100,$H18+$O18*AH$6)/100))*(1-Scenarios!$F$13)-$Q18)</f>
        <v>392.24228631111998</v>
      </c>
      <c r="AI18" s="146">
        <f>MAX(0,$P18*(IF(MIN(100,$H18+$O18*AI$6)&gt;=100,1,Scenarios!$F$11+(1-Scenarios!$F$11-Scenarios!$F$12)*MIN(100,$H18+$O18*AI$6)/100)*MIN(1,MIN(100,$H18+$O18*AI$6)/100))*(1-Scenarios!$F$13)-$Q18)</f>
        <v>392.24228631111998</v>
      </c>
      <c r="AJ18" s="146">
        <f>MAX(0,$P18*(IF(MIN(100,$H18+$O18*AJ$6)&gt;=100,1,Scenarios!$F$11+(1-Scenarios!$F$11-Scenarios!$F$12)*MIN(100,$H18+$O18*AJ$6)/100)*MIN(1,MIN(100,$H18+$O18*AJ$6)/100))*(1-Scenarios!$F$13)-$Q18)</f>
        <v>392.24228631111998</v>
      </c>
      <c r="AK18" s="146">
        <f>MAX(0,$P18*(IF(MIN(100,$H18+$O18*AK$6)&gt;=100,1,Scenarios!$F$11+(1-Scenarios!$F$11-Scenarios!$F$12)*MIN(100,$H18+$O18*AK$6)/100)*MIN(1,MIN(100,$H18+$O18*AK$6)/100))*(1-Scenarios!$F$13)-$Q18)</f>
        <v>392.24228631111998</v>
      </c>
      <c r="AL18" s="146">
        <f>MAX(0,$P18*(IF(MIN(100,$H18+$O18*AL$6)&gt;=100,1,Scenarios!$F$11+(1-Scenarios!$F$11-Scenarios!$F$12)*MIN(100,$H18+$O18*AL$6)/100)*MIN(1,MIN(100,$H18+$O18*AL$6)/100))*(1-Scenarios!$F$13)-$Q18)</f>
        <v>392.24228631111998</v>
      </c>
      <c r="AM18" s="146">
        <f>MAX(0,$P18*(IF(MIN(100,$H18+$O18*AM$6)&gt;=100,1,Scenarios!$F$11+(1-Scenarios!$F$11-Scenarios!$F$12)*MIN(100,$H18+$O18*AM$6)/100)*MIN(1,MIN(100,$H18+$O18*AM$6)/100))*(1-Scenarios!$F$13)-$Q18)</f>
        <v>392.24228631111998</v>
      </c>
      <c r="AN18" s="146">
        <f>MAX(0,$P18*(IF(MIN(100,$H18+$O18*AN$6)&gt;=100,1,Scenarios!$F$11+(1-Scenarios!$F$11-Scenarios!$F$12)*MIN(100,$H18+$O18*AN$6)/100)*MIN(1,MIN(100,$H18+$O18*AN$6)/100))*(1-Scenarios!$F$13)-$Q18)</f>
        <v>392.24228631111998</v>
      </c>
      <c r="AO18" s="146">
        <f>MAX(0,$P18*(IF(MIN(100,$H18+$O18*AO$6)&gt;=100,1,Scenarios!$F$11+(1-Scenarios!$F$11-Scenarios!$F$12)*MIN(100,$H18+$O18*AO$6)/100)*MIN(1,MIN(100,$H18+$O18*AO$6)/100))*(1-Scenarios!$F$13)-$Q18)</f>
        <v>392.24228631111998</v>
      </c>
      <c r="AP18" s="146">
        <f>MAX(0,$P18*(IF(MIN(100,$H18+$O18*AP$6)&gt;=100,1,Scenarios!$F$11+(1-Scenarios!$F$11-Scenarios!$F$12)*MIN(100,$H18+$O18*AP$6)/100)*MIN(1,MIN(100,$H18+$O18*AP$6)/100))*(1-Scenarios!$F$13)-$Q18)</f>
        <v>392.24228631111998</v>
      </c>
      <c r="AQ18" s="146">
        <f>MAX(0,$P18*(IF(MIN(100,$H18+$O18*AQ$6)&gt;=100,1,Scenarios!$F$11+(1-Scenarios!$F$11-Scenarios!$F$12)*MIN(100,$H18+$O18*AQ$6)/100)*MIN(1,MIN(100,$H18+$O18*AQ$6)/100))*(1-Scenarios!$F$13)-$Q18)</f>
        <v>392.24228631111998</v>
      </c>
      <c r="AR18" s="146">
        <f>MAX(0,$P18*(IF(MIN(100,$H18+$O18*AR$6)&gt;=100,1,Scenarios!$F$11+(1-Scenarios!$F$11-Scenarios!$F$12)*MIN(100,$H18+$O18*AR$6)/100)*MIN(1,MIN(100,$H18+$O18*AR$6)/100))*(1-Scenarios!$F$13)-$Q18)</f>
        <v>392.24228631111998</v>
      </c>
      <c r="AS18" s="146">
        <f>MAX(0,$P18*(IF(MIN(100,$H18+$O18*AS$6)&gt;=100,1,Scenarios!$F$11+(1-Scenarios!$F$11-Scenarios!$F$12)*MIN(100,$H18+$O18*AS$6)/100)*MIN(1,MIN(100,$H18+$O18*AS$6)/100))*(1-Scenarios!$F$13)-$Q18)</f>
        <v>392.24228631111998</v>
      </c>
      <c r="AT18" s="146">
        <f>MAX(0,$P18*(IF(MIN(100,$H18+$O18*AT$6)&gt;=100,1,Scenarios!$F$11+(1-Scenarios!$F$11-Scenarios!$F$12)*MIN(100,$H18+$O18*AT$6)/100)*MIN(1,MIN(100,$H18+$O18*AT$6)/100))*(1-Scenarios!$F$13)-$Q18)</f>
        <v>392.24228631111998</v>
      </c>
      <c r="AU18" s="146">
        <f>MAX(0,$P18*(IF(MIN(100,$H18+$O18*AU$6)&gt;=100,1,Scenarios!$F$11+(1-Scenarios!$F$11-Scenarios!$F$12)*MIN(100,$H18+$O18*AU$6)/100)*MIN(1,MIN(100,$H18+$O18*AU$6)/100))*(1-Scenarios!$F$13)-$Q18)</f>
        <v>392.24228631111998</v>
      </c>
      <c r="AV18" s="146">
        <f>MAX(0,$P18*(IF(MIN(100,$H18+$O18*AV$6)&gt;=100,1,Scenarios!$F$11+(1-Scenarios!$F$11-Scenarios!$F$12)*MIN(100,$H18+$O18*AV$6)/100)*MIN(1,MIN(100,$H18+$O18*AV$6)/100))*(1-Scenarios!$F$13)-$Q18)</f>
        <v>392.24228631111998</v>
      </c>
      <c r="AW18" s="193">
        <f>MAX(0,$P18*(IF(MIN(100,$H18+$O18*AW$6)&gt;=100,1,Scenarios!$F$11+(1-Scenarios!$F$11-Scenarios!$F$12)*MIN(100,$H18+$O18*AW$6)/100)*MIN(1,MIN(100,$H18+$O18*AW$6)/100))*(1-Scenarios!$F$13)-$Q18)</f>
        <v>392.24228631111998</v>
      </c>
      <c r="AX18" s="2"/>
      <c r="AY18" s="201">
        <f>MAX(1,(YEAR(IF(I18="",EDATE($C$3,Scenarios!$B$7),IF(I18&lt;$C$3,EDATE($C$3,Scenarios!$B$6),EDATE(I18,Scenarios!$B$5))))-YEAR($C$3))*12+MONTH(IF(I18="",EDATE($C$3,Scenarios!$B$7),IF(I18&lt;$C$3,EDATE($C$3,Scenarios!$B$6),EDATE(I18,Scenarios!$B$5))))-MONTH($C$3))</f>
        <v>6</v>
      </c>
      <c r="AZ18" s="178">
        <f>MIN(Scenarios!$B$14,(100-H18)/AY18)</f>
        <v>8</v>
      </c>
      <c r="BA18" s="146">
        <f>J18*(1-Scenarios!$B$8)+K18*G18/1000000*Scenarios!$B$9*(1+Scenarios!$B$10)</f>
        <v>452.38624300000004</v>
      </c>
      <c r="BB18" s="146">
        <f>J18*(IF(H18&gt;=100,1,Scenarios!$B$11+(1-Scenarios!$B$11-Scenarios!$B$12)*H18/100)*MIN(1,H18/100))*(1-Scenarios!$B$13)</f>
        <v>37.524644538880004</v>
      </c>
      <c r="BC18" s="146">
        <f>MAX(0,BA18*(IF(MIN(100,$H18+AZ18*5)&gt;=100,1,Scenarios!$B$11+(1-Scenarios!$B$11-Scenarios!$B$12)*MIN(100,$H18+AZ18*5)/100)*MIN(1,MIN(100,$H18+AZ18*5)/100))*(1-Scenarios!$B$13)-BB18)</f>
        <v>127.093280653904</v>
      </c>
      <c r="BD18" s="146">
        <f>MAX(0,BA18*(IF(MIN(100,$H18+AZ18*15)&gt;=100,1,Scenarios!$B$11+(1-Scenarios!$B$11-Scenarios!$B$12)*MIN(100,$H18+AZ18*15)/100)*MIN(1,MIN(100,$H18+AZ18*15)/100))*(1-Scenarios!$B$13)-BB18)</f>
        <v>392.24228631111998</v>
      </c>
      <c r="BE18" s="146">
        <f>MAX(0,BA18*(IF(MIN(100,$H18+AZ18*27)&gt;=100,1,Scenarios!$B$11+(1-Scenarios!$B$11-Scenarios!$B$12)*MIN(100,$H18+AZ18*27)/100)*MIN(1,MIN(100,$H18+AZ18*27)/100))*(1-Scenarios!$B$13)-BB18)</f>
        <v>392.24228631111998</v>
      </c>
      <c r="BF18" s="146">
        <f>MAX(1,(YEAR(IF(I18="",EDATE($C$3,Scenarios!$C$7),IF(I18&lt;$C$3,EDATE($C$3,Scenarios!$C$6),EDATE(I18,Scenarios!$C$5))))-YEAR($C$3))*12+MONTH(IF(I18="",EDATE($C$3,Scenarios!$C$7),IF(I18&lt;$C$3,EDATE($C$3,Scenarios!$C$6),EDATE(I18,Scenarios!$C$5))))-MONTH($C$3))</f>
        <v>12</v>
      </c>
      <c r="BG18" s="178">
        <f>MIN(Scenarios!$C$14,(100-H18)/BF18)</f>
        <v>5.666666666666667</v>
      </c>
      <c r="BH18" s="146">
        <f>J18*(1-Scenarios!$C$8)+K18*G18/1000000*Scenarios!$C$9*(1+Scenarios!$C$10)</f>
        <v>442.49988200000001</v>
      </c>
      <c r="BI18" s="146">
        <f>J18*(IF(H18&gt;=100,1,Scenarios!$C$11+(1-Scenarios!$C$11-Scenarios!$C$12)*H18/100)*MIN(1,H18/100))*(1-Scenarios!$C$13)</f>
        <v>37.524644538880004</v>
      </c>
      <c r="BJ18" s="146">
        <f>MAX(0,BH18*(IF(MIN(100,$H18+BG18*5)&gt;=100,1,Scenarios!$C$11+(1-Scenarios!$C$11-Scenarios!$C$12)*MIN(100,$H18+BG18*5)/100)*MIN(1,MIN(100,$H18+BG18*5)/100))*(1-Scenarios!$C$13)-BI18)</f>
        <v>79.650651714366035</v>
      </c>
      <c r="BK18" s="146">
        <f>MAX(0,BH18*(IF(MIN(100,$H18+BG18*15)&gt;=100,1,Scenarios!$C$11+(1-Scenarios!$C$11-Scenarios!$C$12)*MIN(100,$H18+BG18*15)/100)*MIN(1,MIN(100,$H18+BG18*15)/100))*(1-Scenarios!$C$13)-BI18)</f>
        <v>382.85024336111996</v>
      </c>
      <c r="BL18" s="146">
        <f>MAX(0,BH18*(IF(MIN(100,$H18+BG18*27)&gt;=100,1,Scenarios!$C$11+(1-Scenarios!$C$11-Scenarios!$C$12)*MIN(100,$H18+BG18*27)/100)*MIN(1,MIN(100,$H18+BG18*27)/100))*(1-Scenarios!$C$13)-BI18)</f>
        <v>382.85024336111996</v>
      </c>
      <c r="BM18" s="146">
        <f>MAX(1,(YEAR(IF(I18="",EDATE($C$3,Scenarios!$D$7),IF(I18&lt;$C$3,EDATE($C$3,Scenarios!$D$6),EDATE(I18,Scenarios!$D$5))))-YEAR($C$3))*12+MONTH(IF(I18="",EDATE($C$3,Scenarios!$D$7),IF(I18&lt;$C$3,EDATE($C$3,Scenarios!$D$6),EDATE(I18,Scenarios!$D$5))))-MONTH($C$3))</f>
        <v>6</v>
      </c>
      <c r="BN18" s="178">
        <f>MIN(Scenarios!$D$14,(100-H18)/BM18)</f>
        <v>8</v>
      </c>
      <c r="BO18" s="146">
        <f>J18*(1-Scenarios!$D$8)+K18*G18/1000000*Scenarios!$D$9*(1+Scenarios!$D$10)</f>
        <v>379.09080799999998</v>
      </c>
      <c r="BP18" s="146">
        <f>J18*(IF(H18&gt;=100,1,Scenarios!$D$11+(1-Scenarios!$D$11-Scenarios!$D$12)*H18/100)*MIN(1,H18/100))*(1-Scenarios!$D$13)</f>
        <v>37.524644538880004</v>
      </c>
      <c r="BQ18" s="146">
        <f>MAX(0,BO18*(IF(MIN(100,$H18+BN18*5)&gt;=100,1,Scenarios!$D$11+(1-Scenarios!$D$11-Scenarios!$D$12)*MIN(100,$H18+BN18*5)/100)*MIN(1,MIN(100,$H18+BN18*5)/100))*(1-Scenarios!$D$13)-BP18)</f>
        <v>100.42195140262399</v>
      </c>
      <c r="BR18" s="146">
        <f>MAX(0,BO18*(IF(MIN(100,$H18+BN18*15)&gt;=100,1,Scenarios!$D$11+(1-Scenarios!$D$11-Scenarios!$D$12)*MIN(100,$H18+BN18*15)/100)*MIN(1,MIN(100,$H18+BN18*15)/100))*(1-Scenarios!$D$13)-BP18)</f>
        <v>322.61162306111993</v>
      </c>
      <c r="BS18" s="146">
        <f>MAX(0,BO18*(IF(MIN(100,$H18+BN18*27)&gt;=100,1,Scenarios!$D$11+(1-Scenarios!$D$11-Scenarios!$D$12)*MIN(100,$H18+BN18*27)/100)*MIN(1,MIN(100,$H18+BN18*27)/100))*(1-Scenarios!$D$13)-BP18)</f>
        <v>322.61162306111993</v>
      </c>
      <c r="BT18" s="146">
        <f>MAX(1,(YEAR(IF(I18="",EDATE($C$3,Scenarios!$E$7),IF(I18&lt;$C$3,EDATE($C$3,Scenarios!$E$6),EDATE(I18,Scenarios!$E$5))))-YEAR($C$3))*12+MONTH(IF(I18="",EDATE($C$3,Scenarios!$E$7),IF(I18&lt;$C$3,EDATE($C$3,Scenarios!$E$6),EDATE(I18,Scenarios!$E$5))))-MONTH($C$3))</f>
        <v>6</v>
      </c>
      <c r="BU18" s="178">
        <f>MIN(Scenarios!$E$14,(100-H18)/BT18)</f>
        <v>8</v>
      </c>
      <c r="BV18" s="146">
        <f>J18*(1-Scenarios!$E$8)+K18*G18/1000000*Scenarios!$E$9*(1+Scenarios!$E$10)</f>
        <v>426.80102254999997</v>
      </c>
      <c r="BW18" s="146">
        <f>J18*(IF(H18&gt;=100,1,Scenarios!$E$11+(1-Scenarios!$E$11-Scenarios!$E$12)*H18/100)*MIN(1,H18/100))*(1-Scenarios!$E$13)</f>
        <v>37.524644538880004</v>
      </c>
      <c r="BX18" s="146">
        <f>MAX(0,BV18*(IF(MIN(100,$H18+BU18*5)&gt;=100,1,Scenarios!$E$11+(1-Scenarios!$E$11-Scenarios!$E$12)*MIN(100,$H18+BU18*5)/100)*MIN(1,MIN(100,$H18+BU18*5)/100))*(1-Scenarios!$E$13)-BW18)</f>
        <v>117.78312595479437</v>
      </c>
      <c r="BY18" s="146">
        <f>MAX(0,BV18*(IF(MIN(100,$H18+BU18*15)&gt;=100,1,Scenarios!$E$11+(1-Scenarios!$E$11-Scenarios!$E$12)*MIN(100,$H18+BU18*15)/100)*MIN(1,MIN(100,$H18+BU18*15)/100))*(1-Scenarios!$E$13)-BW18)</f>
        <v>367.93632688361993</v>
      </c>
      <c r="BZ18" s="146">
        <f>MAX(0,BV18*(IF(MIN(100,$H18+BU18*27)&gt;=100,1,Scenarios!$E$11+(1-Scenarios!$E$11-Scenarios!$E$12)*MIN(100,$H18+BU18*27)/100)*MIN(1,MIN(100,$H18+BU18*27)/100))*(1-Scenarios!$E$13)-BW18)</f>
        <v>367.93632688361993</v>
      </c>
      <c r="CA18" s="206">
        <f t="shared" si="7"/>
        <v>127.093298653904</v>
      </c>
    </row>
    <row r="19" spans="1:79" ht="17.25" customHeight="1" x14ac:dyDescent="0.2">
      <c r="A19" s="135" t="s">
        <v>139</v>
      </c>
      <c r="B19" s="145" t="s">
        <v>140</v>
      </c>
      <c r="C19" s="145" t="s">
        <v>62</v>
      </c>
      <c r="D19" s="147">
        <v>46264</v>
      </c>
      <c r="E19" s="136">
        <v>753</v>
      </c>
      <c r="F19" s="136">
        <v>639</v>
      </c>
      <c r="G19" s="136">
        <v>2816050</v>
      </c>
      <c r="H19" s="191">
        <v>50</v>
      </c>
      <c r="I19" s="150">
        <v>46172</v>
      </c>
      <c r="J19" s="146">
        <f t="shared" si="0"/>
        <v>1799.45595</v>
      </c>
      <c r="K19" s="146">
        <f t="shared" si="1"/>
        <v>114</v>
      </c>
      <c r="L19" s="192">
        <f t="shared" si="2"/>
        <v>0.84860557768924305</v>
      </c>
      <c r="M19" s="147">
        <f>IF(I19="",EDATE($C$3,Scenarios!$F$7),IF(I19&lt;$C$3,EDATE($C$3,Scenarios!$F$6),EDATE(I19,Scenarios!$F$5)))</f>
        <v>46456</v>
      </c>
      <c r="N19" s="146">
        <f t="shared" si="3"/>
        <v>6</v>
      </c>
      <c r="O19" s="178">
        <f>MIN(Scenarios!$F$14,(100-H19)/N19)</f>
        <v>8</v>
      </c>
      <c r="P19" s="146">
        <f>J19*(1-Scenarios!$F$8)+K19*G19/1000000*Scenarios!$F$9*(1+Scenarios!$F$10)</f>
        <v>1992.07377</v>
      </c>
      <c r="Q19" s="146">
        <f>J19*(IF(H19&gt;=100,1,Scenarios!$F$11+(1-Scenarios!$F$11-Scenarios!$F$12)*H19/100)*MIN(1,H19/100))*(1-Scenarios!$F$13)</f>
        <v>341.89663050000001</v>
      </c>
      <c r="R19" s="146">
        <f t="shared" si="4"/>
        <v>748.16613644400002</v>
      </c>
      <c r="S19" s="146">
        <f t="shared" si="5"/>
        <v>1550.5734509999997</v>
      </c>
      <c r="T19" s="146">
        <f t="shared" si="6"/>
        <v>1550.5734509999997</v>
      </c>
      <c r="U19" s="193">
        <f>J19*IF(H19&gt;=100,1,Scenarios!$F$11+(1-Scenarios!$F$11-Scenarios!$F$12)*H19/100)</f>
        <v>719.7823800000001</v>
      </c>
      <c r="V19" s="201">
        <f>MAX(0,$P19*(IF(MIN(100,$H19+$O19*V$6)&gt;=100,1,Scenarios!$F$11+(1-Scenarios!$F$11-Scenarios!$F$12)*MIN(100,$H19+$O19*V$6)/100)*MIN(1,MIN(100,$H19+$O19*V$6)/100))*(1-Scenarios!$F$13)-$Q19)</f>
        <v>149.84279547696002</v>
      </c>
      <c r="W19" s="146">
        <f>MAX(0,$P19*(IF(MIN(100,$H19+$O19*W$6)&gt;=100,1,Scenarios!$F$11+(1-Scenarios!$F$11-Scenarios!$F$12)*MIN(100,$H19+$O19*W$6)/100)*MIN(1,MIN(100,$H19+$O19*W$6)/100))*(1-Scenarios!$F$13)-$Q19)</f>
        <v>277.62237537984015</v>
      </c>
      <c r="X19" s="146">
        <f>MAX(0,$P19*(IF(MIN(100,$H19+$O19*X$6)&gt;=100,1,Scenarios!$F$11+(1-Scenarios!$F$11-Scenarios!$F$12)*MIN(100,$H19+$O19*X$6)/100)*MIN(1,MIN(100,$H19+$O19*X$6)/100))*(1-Scenarios!$F$13)-$Q19)</f>
        <v>419.93612550863998</v>
      </c>
      <c r="Y19" s="146">
        <f>MAX(0,$P19*(IF(MIN(100,$H19+$O19*Y$6)&gt;=100,1,Scenarios!$F$11+(1-Scenarios!$F$11-Scenarios!$F$12)*MIN(100,$H19+$O19*Y$6)/100)*MIN(1,MIN(100,$H19+$O19*Y$6)/100))*(1-Scenarios!$F$13)-$Q19)</f>
        <v>576.78404586336001</v>
      </c>
      <c r="Z19" s="146">
        <f>MAX(0,$P19*(IF(MIN(100,$H19+$O19*Z$6)&gt;=100,1,Scenarios!$F$11+(1-Scenarios!$F$11-Scenarios!$F$12)*MIN(100,$H19+$O19*Z$6)/100)*MIN(1,MIN(100,$H19+$O19*Z$6)/100))*(1-Scenarios!$F$13)-$Q19)</f>
        <v>748.16613644400002</v>
      </c>
      <c r="AA19" s="146">
        <f>MAX(0,$P19*(IF(MIN(100,$H19+$O19*AA$6)&gt;=100,1,Scenarios!$F$11+(1-Scenarios!$F$11-Scenarios!$F$12)*MIN(100,$H19+$O19*AA$6)/100)*MIN(1,MIN(100,$H19+$O19*AA$6)/100))*(1-Scenarios!$F$13)-$Q19)</f>
        <v>934.08239725056012</v>
      </c>
      <c r="AB19" s="146">
        <f>MAX(0,$P19*(IF(MIN(100,$H19+$O19*AB$6)&gt;=100,1,Scenarios!$F$11+(1-Scenarios!$F$11-Scenarios!$F$12)*MIN(100,$H19+$O19*AB$6)/100)*MIN(1,MIN(100,$H19+$O19*AB$6)/100))*(1-Scenarios!$F$13)-$Q19)</f>
        <v>1550.5734509999997</v>
      </c>
      <c r="AC19" s="146">
        <f>MAX(0,$P19*(IF(MIN(100,$H19+$O19*AC$6)&gt;=100,1,Scenarios!$F$11+(1-Scenarios!$F$11-Scenarios!$F$12)*MIN(100,$H19+$O19*AC$6)/100)*MIN(1,MIN(100,$H19+$O19*AC$6)/100))*(1-Scenarios!$F$13)-$Q19)</f>
        <v>1550.5734509999997</v>
      </c>
      <c r="AD19" s="146">
        <f>MAX(0,$P19*(IF(MIN(100,$H19+$O19*AD$6)&gt;=100,1,Scenarios!$F$11+(1-Scenarios!$F$11-Scenarios!$F$12)*MIN(100,$H19+$O19*AD$6)/100)*MIN(1,MIN(100,$H19+$O19*AD$6)/100))*(1-Scenarios!$F$13)-$Q19)</f>
        <v>1550.5734509999997</v>
      </c>
      <c r="AE19" s="146">
        <f>MAX(0,$P19*(IF(MIN(100,$H19+$O19*AE$6)&gt;=100,1,Scenarios!$F$11+(1-Scenarios!$F$11-Scenarios!$F$12)*MIN(100,$H19+$O19*AE$6)/100)*MIN(1,MIN(100,$H19+$O19*AE$6)/100))*(1-Scenarios!$F$13)-$Q19)</f>
        <v>1550.5734509999997</v>
      </c>
      <c r="AF19" s="146">
        <f>MAX(0,$P19*(IF(MIN(100,$H19+$O19*AF$6)&gt;=100,1,Scenarios!$F$11+(1-Scenarios!$F$11-Scenarios!$F$12)*MIN(100,$H19+$O19*AF$6)/100)*MIN(1,MIN(100,$H19+$O19*AF$6)/100))*(1-Scenarios!$F$13)-$Q19)</f>
        <v>1550.5734509999997</v>
      </c>
      <c r="AG19" s="146">
        <f>MAX(0,$P19*(IF(MIN(100,$H19+$O19*AG$6)&gt;=100,1,Scenarios!$F$11+(1-Scenarios!$F$11-Scenarios!$F$12)*MIN(100,$H19+$O19*AG$6)/100)*MIN(1,MIN(100,$H19+$O19*AG$6)/100))*(1-Scenarios!$F$13)-$Q19)</f>
        <v>1550.5734509999997</v>
      </c>
      <c r="AH19" s="146">
        <f>MAX(0,$P19*(IF(MIN(100,$H19+$O19*AH$6)&gt;=100,1,Scenarios!$F$11+(1-Scenarios!$F$11-Scenarios!$F$12)*MIN(100,$H19+$O19*AH$6)/100)*MIN(1,MIN(100,$H19+$O19*AH$6)/100))*(1-Scenarios!$F$13)-$Q19)</f>
        <v>1550.5734509999997</v>
      </c>
      <c r="AI19" s="146">
        <f>MAX(0,$P19*(IF(MIN(100,$H19+$O19*AI$6)&gt;=100,1,Scenarios!$F$11+(1-Scenarios!$F$11-Scenarios!$F$12)*MIN(100,$H19+$O19*AI$6)/100)*MIN(1,MIN(100,$H19+$O19*AI$6)/100))*(1-Scenarios!$F$13)-$Q19)</f>
        <v>1550.5734509999997</v>
      </c>
      <c r="AJ19" s="146">
        <f>MAX(0,$P19*(IF(MIN(100,$H19+$O19*AJ$6)&gt;=100,1,Scenarios!$F$11+(1-Scenarios!$F$11-Scenarios!$F$12)*MIN(100,$H19+$O19*AJ$6)/100)*MIN(1,MIN(100,$H19+$O19*AJ$6)/100))*(1-Scenarios!$F$13)-$Q19)</f>
        <v>1550.5734509999997</v>
      </c>
      <c r="AK19" s="146">
        <f>MAX(0,$P19*(IF(MIN(100,$H19+$O19*AK$6)&gt;=100,1,Scenarios!$F$11+(1-Scenarios!$F$11-Scenarios!$F$12)*MIN(100,$H19+$O19*AK$6)/100)*MIN(1,MIN(100,$H19+$O19*AK$6)/100))*(1-Scenarios!$F$13)-$Q19)</f>
        <v>1550.5734509999997</v>
      </c>
      <c r="AL19" s="146">
        <f>MAX(0,$P19*(IF(MIN(100,$H19+$O19*AL$6)&gt;=100,1,Scenarios!$F$11+(1-Scenarios!$F$11-Scenarios!$F$12)*MIN(100,$H19+$O19*AL$6)/100)*MIN(1,MIN(100,$H19+$O19*AL$6)/100))*(1-Scenarios!$F$13)-$Q19)</f>
        <v>1550.5734509999997</v>
      </c>
      <c r="AM19" s="146">
        <f>MAX(0,$P19*(IF(MIN(100,$H19+$O19*AM$6)&gt;=100,1,Scenarios!$F$11+(1-Scenarios!$F$11-Scenarios!$F$12)*MIN(100,$H19+$O19*AM$6)/100)*MIN(1,MIN(100,$H19+$O19*AM$6)/100))*(1-Scenarios!$F$13)-$Q19)</f>
        <v>1550.5734509999997</v>
      </c>
      <c r="AN19" s="146">
        <f>MAX(0,$P19*(IF(MIN(100,$H19+$O19*AN$6)&gt;=100,1,Scenarios!$F$11+(1-Scenarios!$F$11-Scenarios!$F$12)*MIN(100,$H19+$O19*AN$6)/100)*MIN(1,MIN(100,$H19+$O19*AN$6)/100))*(1-Scenarios!$F$13)-$Q19)</f>
        <v>1550.5734509999997</v>
      </c>
      <c r="AO19" s="146">
        <f>MAX(0,$P19*(IF(MIN(100,$H19+$O19*AO$6)&gt;=100,1,Scenarios!$F$11+(1-Scenarios!$F$11-Scenarios!$F$12)*MIN(100,$H19+$O19*AO$6)/100)*MIN(1,MIN(100,$H19+$O19*AO$6)/100))*(1-Scenarios!$F$13)-$Q19)</f>
        <v>1550.5734509999997</v>
      </c>
      <c r="AP19" s="146">
        <f>MAX(0,$P19*(IF(MIN(100,$H19+$O19*AP$6)&gt;=100,1,Scenarios!$F$11+(1-Scenarios!$F$11-Scenarios!$F$12)*MIN(100,$H19+$O19*AP$6)/100)*MIN(1,MIN(100,$H19+$O19*AP$6)/100))*(1-Scenarios!$F$13)-$Q19)</f>
        <v>1550.5734509999997</v>
      </c>
      <c r="AQ19" s="146">
        <f>MAX(0,$P19*(IF(MIN(100,$H19+$O19*AQ$6)&gt;=100,1,Scenarios!$F$11+(1-Scenarios!$F$11-Scenarios!$F$12)*MIN(100,$H19+$O19*AQ$6)/100)*MIN(1,MIN(100,$H19+$O19*AQ$6)/100))*(1-Scenarios!$F$13)-$Q19)</f>
        <v>1550.5734509999997</v>
      </c>
      <c r="AR19" s="146">
        <f>MAX(0,$P19*(IF(MIN(100,$H19+$O19*AR$6)&gt;=100,1,Scenarios!$F$11+(1-Scenarios!$F$11-Scenarios!$F$12)*MIN(100,$H19+$O19*AR$6)/100)*MIN(1,MIN(100,$H19+$O19*AR$6)/100))*(1-Scenarios!$F$13)-$Q19)</f>
        <v>1550.5734509999997</v>
      </c>
      <c r="AS19" s="146">
        <f>MAX(0,$P19*(IF(MIN(100,$H19+$O19*AS$6)&gt;=100,1,Scenarios!$F$11+(1-Scenarios!$F$11-Scenarios!$F$12)*MIN(100,$H19+$O19*AS$6)/100)*MIN(1,MIN(100,$H19+$O19*AS$6)/100))*(1-Scenarios!$F$13)-$Q19)</f>
        <v>1550.5734509999997</v>
      </c>
      <c r="AT19" s="146">
        <f>MAX(0,$P19*(IF(MIN(100,$H19+$O19*AT$6)&gt;=100,1,Scenarios!$F$11+(1-Scenarios!$F$11-Scenarios!$F$12)*MIN(100,$H19+$O19*AT$6)/100)*MIN(1,MIN(100,$H19+$O19*AT$6)/100))*(1-Scenarios!$F$13)-$Q19)</f>
        <v>1550.5734509999997</v>
      </c>
      <c r="AU19" s="146">
        <f>MAX(0,$P19*(IF(MIN(100,$H19+$O19*AU$6)&gt;=100,1,Scenarios!$F$11+(1-Scenarios!$F$11-Scenarios!$F$12)*MIN(100,$H19+$O19*AU$6)/100)*MIN(1,MIN(100,$H19+$O19*AU$6)/100))*(1-Scenarios!$F$13)-$Q19)</f>
        <v>1550.5734509999997</v>
      </c>
      <c r="AV19" s="146">
        <f>MAX(0,$P19*(IF(MIN(100,$H19+$O19*AV$6)&gt;=100,1,Scenarios!$F$11+(1-Scenarios!$F$11-Scenarios!$F$12)*MIN(100,$H19+$O19*AV$6)/100)*MIN(1,MIN(100,$H19+$O19*AV$6)/100))*(1-Scenarios!$F$13)-$Q19)</f>
        <v>1550.5734509999997</v>
      </c>
      <c r="AW19" s="193">
        <f>MAX(0,$P19*(IF(MIN(100,$H19+$O19*AW$6)&gt;=100,1,Scenarios!$F$11+(1-Scenarios!$F$11-Scenarios!$F$12)*MIN(100,$H19+$O19*AW$6)/100)*MIN(1,MIN(100,$H19+$O19*AW$6)/100))*(1-Scenarios!$F$13)-$Q19)</f>
        <v>1550.5734509999997</v>
      </c>
      <c r="AX19" s="2"/>
      <c r="AY19" s="201">
        <f>MAX(1,(YEAR(IF(I19="",EDATE($C$3,Scenarios!$B$7),IF(I19&lt;$C$3,EDATE($C$3,Scenarios!$B$6),EDATE(I19,Scenarios!$B$5))))-YEAR($C$3))*12+MONTH(IF(I19="",EDATE($C$3,Scenarios!$B$7),IF(I19&lt;$C$3,EDATE($C$3,Scenarios!$B$6),EDATE(I19,Scenarios!$B$5))))-MONTH($C$3))</f>
        <v>6</v>
      </c>
      <c r="AZ19" s="178">
        <f>MIN(Scenarios!$B$14,(100-H19)/AY19)</f>
        <v>8</v>
      </c>
      <c r="BA19" s="146">
        <f>J19*(1-Scenarios!$B$8)+K19*G19/1000000*Scenarios!$B$9*(1+Scenarios!$B$10)</f>
        <v>1992.07377</v>
      </c>
      <c r="BB19" s="146">
        <f>J19*(IF(H19&gt;=100,1,Scenarios!$B$11+(1-Scenarios!$B$11-Scenarios!$B$12)*H19/100)*MIN(1,H19/100))*(1-Scenarios!$B$13)</f>
        <v>341.89663050000001</v>
      </c>
      <c r="BC19" s="146">
        <f>MAX(0,BA19*(IF(MIN(100,$H19+AZ19*5)&gt;=100,1,Scenarios!$B$11+(1-Scenarios!$B$11-Scenarios!$B$12)*MIN(100,$H19+AZ19*5)/100)*MIN(1,MIN(100,$H19+AZ19*5)/100))*(1-Scenarios!$B$13)-BB19)</f>
        <v>748.16613644400002</v>
      </c>
      <c r="BD19" s="146">
        <f>MAX(0,BA19*(IF(MIN(100,$H19+AZ19*15)&gt;=100,1,Scenarios!$B$11+(1-Scenarios!$B$11-Scenarios!$B$12)*MIN(100,$H19+AZ19*15)/100)*MIN(1,MIN(100,$H19+AZ19*15)/100))*(1-Scenarios!$B$13)-BB19)</f>
        <v>1550.5734509999997</v>
      </c>
      <c r="BE19" s="146">
        <f>MAX(0,BA19*(IF(MIN(100,$H19+AZ19*27)&gt;=100,1,Scenarios!$B$11+(1-Scenarios!$B$11-Scenarios!$B$12)*MIN(100,$H19+AZ19*27)/100)*MIN(1,MIN(100,$H19+AZ19*27)/100))*(1-Scenarios!$B$13)-BB19)</f>
        <v>1550.5734509999997</v>
      </c>
      <c r="BF19" s="146">
        <f>MAX(1,(YEAR(IF(I19="",EDATE($C$3,Scenarios!$C$7),IF(I19&lt;$C$3,EDATE($C$3,Scenarios!$C$6),EDATE(I19,Scenarios!$C$5))))-YEAR($C$3))*12+MONTH(IF(I19="",EDATE($C$3,Scenarios!$C$7),IF(I19&lt;$C$3,EDATE($C$3,Scenarios!$C$6),EDATE(I19,Scenarios!$C$5))))-MONTH($C$3))</f>
        <v>12</v>
      </c>
      <c r="BG19" s="178">
        <f>MIN(Scenarios!$C$14,(100-H19)/BF19)</f>
        <v>4.166666666666667</v>
      </c>
      <c r="BH19" s="146">
        <f>J19*(1-Scenarios!$C$8)+K19*G19/1000000*Scenarios!$C$9*(1+Scenarios!$C$10)</f>
        <v>1927.8678300000001</v>
      </c>
      <c r="BI19" s="146">
        <f>J19*(IF(H19&gt;=100,1,Scenarios!$C$11+(1-Scenarios!$C$11-Scenarios!$C$12)*H19/100)*MIN(1,H19/100))*(1-Scenarios!$C$13)</f>
        <v>341.89663050000001</v>
      </c>
      <c r="BJ19" s="146">
        <f>MAX(0,BH19*(IF(MIN(100,$H19+BG19*5)&gt;=100,1,Scenarios!$C$11+(1-Scenarios!$C$11-Scenarios!$C$12)*MIN(100,$H19+BG19*5)/100)*MIN(1,MIN(100,$H19+BG19*5)/100))*(1-Scenarios!$C$13)-BI19)</f>
        <v>339.18292631718782</v>
      </c>
      <c r="BK19" s="146">
        <f>MAX(0,BH19*(IF(MIN(100,$H19+BG19*15)&gt;=100,1,Scenarios!$C$11+(1-Scenarios!$C$11-Scenarios!$C$12)*MIN(100,$H19+BG19*15)/100)*MIN(1,MIN(100,$H19+BG19*15)/100))*(1-Scenarios!$C$13)-BI19)</f>
        <v>1489.577808</v>
      </c>
      <c r="BL19" s="146">
        <f>MAX(0,BH19*(IF(MIN(100,$H19+BG19*27)&gt;=100,1,Scenarios!$C$11+(1-Scenarios!$C$11-Scenarios!$C$12)*MIN(100,$H19+BG19*27)/100)*MIN(1,MIN(100,$H19+BG19*27)/100))*(1-Scenarios!$C$13)-BI19)</f>
        <v>1489.577808</v>
      </c>
      <c r="BM19" s="146">
        <f>MAX(1,(YEAR(IF(I19="",EDATE($C$3,Scenarios!$D$7),IF(I19&lt;$C$3,EDATE($C$3,Scenarios!$D$6),EDATE(I19,Scenarios!$D$5))))-YEAR($C$3))*12+MONTH(IF(I19="",EDATE($C$3,Scenarios!$D$7),IF(I19&lt;$C$3,EDATE($C$3,Scenarios!$D$6),EDATE(I19,Scenarios!$D$5))))-MONTH($C$3))</f>
        <v>6</v>
      </c>
      <c r="BN19" s="178">
        <f>MIN(Scenarios!$D$14,(100-H19)/BM19)</f>
        <v>8</v>
      </c>
      <c r="BO19" s="146">
        <f>J19*(1-Scenarios!$D$8)+K19*G19/1000000*Scenarios!$D$9*(1+Scenarios!$D$10)</f>
        <v>1657.9494374999999</v>
      </c>
      <c r="BP19" s="146">
        <f>J19*(IF(H19&gt;=100,1,Scenarios!$D$11+(1-Scenarios!$D$11-Scenarios!$D$12)*H19/100)*MIN(1,H19/100))*(1-Scenarios!$D$13)</f>
        <v>341.89663050000001</v>
      </c>
      <c r="BQ19" s="146">
        <f>MAX(0,BO19*(IF(MIN(100,$H19+BN19*5)&gt;=100,1,Scenarios!$D$11+(1-Scenarios!$D$11-Scenarios!$D$12)*MIN(100,$H19+BN19*5)/100)*MIN(1,MIN(100,$H19+BN19*5)/100))*(1-Scenarios!$D$13)-BP19)</f>
        <v>565.33330170000011</v>
      </c>
      <c r="BR19" s="146">
        <f>MAX(0,BO19*(IF(MIN(100,$H19+BN19*15)&gt;=100,1,Scenarios!$D$11+(1-Scenarios!$D$11-Scenarios!$D$12)*MIN(100,$H19+BN19*15)/100)*MIN(1,MIN(100,$H19+BN19*15)/100))*(1-Scenarios!$D$13)-BP19)</f>
        <v>1233.155335125</v>
      </c>
      <c r="BS19" s="146">
        <f>MAX(0,BO19*(IF(MIN(100,$H19+BN19*27)&gt;=100,1,Scenarios!$D$11+(1-Scenarios!$D$11-Scenarios!$D$12)*MIN(100,$H19+BN19*27)/100)*MIN(1,MIN(100,$H19+BN19*27)/100))*(1-Scenarios!$D$13)-BP19)</f>
        <v>1233.155335125</v>
      </c>
      <c r="BT19" s="146">
        <f>MAX(1,(YEAR(IF(I19="",EDATE($C$3,Scenarios!$E$7),IF(I19&lt;$C$3,EDATE($C$3,Scenarios!$E$6),EDATE(I19,Scenarios!$E$5))))-YEAR($C$3))*12+MONTH(IF(I19="",EDATE($C$3,Scenarios!$E$7),IF(I19&lt;$C$3,EDATE($C$3,Scenarios!$E$6),EDATE(I19,Scenarios!$E$5))))-MONTH($C$3))</f>
        <v>6</v>
      </c>
      <c r="BU19" s="178">
        <f>MIN(Scenarios!$E$14,(100-H19)/BT19)</f>
        <v>8</v>
      </c>
      <c r="BV19" s="146">
        <f>J19*(1-Scenarios!$E$8)+K19*G19/1000000*Scenarios!$E$9*(1+Scenarios!$E$10)</f>
        <v>1873.2082995000001</v>
      </c>
      <c r="BW19" s="146">
        <f>J19*(IF(H19&gt;=100,1,Scenarios!$E$11+(1-Scenarios!$E$11-Scenarios!$E$12)*H19/100)*MIN(1,H19/100))*(1-Scenarios!$E$13)</f>
        <v>341.89663050000001</v>
      </c>
      <c r="BX19" s="146">
        <f>MAX(0,BV19*(IF(MIN(100,$H19+BU19*5)&gt;=100,1,Scenarios!$E$11+(1-Scenarios!$E$11-Scenarios!$E$12)*MIN(100,$H19+BU19*5)/100)*MIN(1,MIN(100,$H19+BU19*5)/100))*(1-Scenarios!$E$13)-BW19)</f>
        <v>683.12295098640004</v>
      </c>
      <c r="BY19" s="146">
        <f>MAX(0,BV19*(IF(MIN(100,$H19+BU19*15)&gt;=100,1,Scenarios!$E$11+(1-Scenarios!$E$11-Scenarios!$E$12)*MIN(100,$H19+BU19*15)/100)*MIN(1,MIN(100,$H19+BU19*15)/100))*(1-Scenarios!$E$13)-BW19)</f>
        <v>1437.6512540250001</v>
      </c>
      <c r="BZ19" s="146">
        <f>MAX(0,BV19*(IF(MIN(100,$H19+BU19*27)&gt;=100,1,Scenarios!$E$11+(1-Scenarios!$E$11-Scenarios!$E$12)*MIN(100,$H19+BU19*27)/100)*MIN(1,MIN(100,$H19+BU19*27)/100))*(1-Scenarios!$E$13)-BW19)</f>
        <v>1437.6512540250001</v>
      </c>
      <c r="CA19" s="206">
        <f t="shared" si="7"/>
        <v>748.16615544399997</v>
      </c>
    </row>
    <row r="20" spans="1:79" ht="17.25" customHeight="1" x14ac:dyDescent="0.2">
      <c r="A20" s="135" t="s">
        <v>141</v>
      </c>
      <c r="B20" s="145" t="s">
        <v>142</v>
      </c>
      <c r="C20" s="145" t="s">
        <v>62</v>
      </c>
      <c r="D20" s="147">
        <v>46264</v>
      </c>
      <c r="E20" s="136">
        <v>234</v>
      </c>
      <c r="F20" s="136">
        <v>234</v>
      </c>
      <c r="G20" s="136">
        <v>1839172</v>
      </c>
      <c r="H20" s="191">
        <v>19</v>
      </c>
      <c r="I20" s="150">
        <v>46188</v>
      </c>
      <c r="J20" s="146">
        <f t="shared" si="0"/>
        <v>430.36624799999998</v>
      </c>
      <c r="K20" s="146">
        <f t="shared" si="1"/>
        <v>0</v>
      </c>
      <c r="L20" s="192">
        <f t="shared" si="2"/>
        <v>1</v>
      </c>
      <c r="M20" s="147">
        <f>IF(I20="",EDATE($C$3,Scenarios!$F$7),IF(I20&lt;$C$3,EDATE($C$3,Scenarios!$F$6),EDATE(I20,Scenarios!$F$5)))</f>
        <v>46456</v>
      </c>
      <c r="N20" s="146">
        <f t="shared" si="3"/>
        <v>6</v>
      </c>
      <c r="O20" s="178">
        <f>MIN(Scenarios!$F$14,(100-H20)/N20)</f>
        <v>8</v>
      </c>
      <c r="P20" s="146">
        <f>J20*(1-Scenarios!$F$8)+K20*G20/1000000*Scenarios!$F$9*(1+Scenarios!$F$10)</f>
        <v>430.36624799999998</v>
      </c>
      <c r="Q20" s="146">
        <f>J20*(IF(H20&gt;=100,1,Scenarios!$F$11+(1-Scenarios!$F$11-Scenarios!$F$12)*H20/100)*MIN(1,H20/100))*(1-Scenarios!$F$13)</f>
        <v>16.623757061496001</v>
      </c>
      <c r="R20" s="146">
        <f t="shared" si="4"/>
        <v>92.890250968320004</v>
      </c>
      <c r="S20" s="146">
        <f t="shared" si="5"/>
        <v>392.22417853850396</v>
      </c>
      <c r="T20" s="146">
        <f t="shared" si="6"/>
        <v>392.22417853850396</v>
      </c>
      <c r="U20" s="193">
        <f>J20*IF(H20&gt;=100,1,Scenarios!$F$11+(1-Scenarios!$F$11-Scenarios!$F$12)*H20/100)</f>
        <v>92.098377072000005</v>
      </c>
      <c r="V20" s="201">
        <f>MAX(0,$P20*(IF(MIN(100,$H20+$O20*V$6)&gt;=100,1,Scenarios!$F$11+(1-Scenarios!$F$11-Scenarios!$F$12)*MIN(100,$H20+$O20*V$6)/100)*MIN(1,MIN(100,$H20+$O20*V$6)/100))*(1-Scenarios!$F$13)-$Q20)</f>
        <v>12.298145902848002</v>
      </c>
      <c r="W20" s="146">
        <f>MAX(0,$P20*(IF(MIN(100,$H20+$O20*W$6)&gt;=100,1,Scenarios!$F$11+(1-Scenarios!$F$11-Scenarios!$F$12)*MIN(100,$H20+$O20*W$6)/100)*MIN(1,MIN(100,$H20+$O20*W$6)/100))*(1-Scenarios!$F$13)-$Q20)</f>
        <v>27.736243951104001</v>
      </c>
      <c r="X20" s="146">
        <f>MAX(0,$P20*(IF(MIN(100,$H20+$O20*X$6)&gt;=100,1,Scenarios!$F$11+(1-Scenarios!$F$11-Scenarios!$F$12)*MIN(100,$H20+$O20*X$6)/100)*MIN(1,MIN(100,$H20+$O20*X$6)/100))*(1-Scenarios!$F$13)-$Q20)</f>
        <v>46.314294144768013</v>
      </c>
      <c r="Y20" s="146">
        <f>MAX(0,$P20*(IF(MIN(100,$H20+$O20*Y$6)&gt;=100,1,Scenarios!$F$11+(1-Scenarios!$F$11-Scenarios!$F$12)*MIN(100,$H20+$O20*Y$6)/100)*MIN(1,MIN(100,$H20+$O20*Y$6)/100))*(1-Scenarios!$F$13)-$Q20)</f>
        <v>68.032296483839986</v>
      </c>
      <c r="Z20" s="146">
        <f>MAX(0,$P20*(IF(MIN(100,$H20+$O20*Z$6)&gt;=100,1,Scenarios!$F$11+(1-Scenarios!$F$11-Scenarios!$F$12)*MIN(100,$H20+$O20*Z$6)/100)*MIN(1,MIN(100,$H20+$O20*Z$6)/100))*(1-Scenarios!$F$13)-$Q20)</f>
        <v>92.890250968320004</v>
      </c>
      <c r="AA20" s="146">
        <f>MAX(0,$P20*(IF(MIN(100,$H20+$O20*AA$6)&gt;=100,1,Scenarios!$F$11+(1-Scenarios!$F$11-Scenarios!$F$12)*MIN(100,$H20+$O20*AA$6)/100)*MIN(1,MIN(100,$H20+$O20*AA$6)/100))*(1-Scenarios!$F$13)-$Q20)</f>
        <v>120.88815759820798</v>
      </c>
      <c r="AB20" s="146">
        <f>MAX(0,$P20*(IF(MIN(100,$H20+$O20*AB$6)&gt;=100,1,Scenarios!$F$11+(1-Scenarios!$F$11-Scenarios!$F$12)*MIN(100,$H20+$O20*AB$6)/100)*MIN(1,MIN(100,$H20+$O20*AB$6)/100))*(1-Scenarios!$F$13)-$Q20)</f>
        <v>152.02601637350398</v>
      </c>
      <c r="AC20" s="146">
        <f>MAX(0,$P20*(IF(MIN(100,$H20+$O20*AC$6)&gt;=100,1,Scenarios!$F$11+(1-Scenarios!$F$11-Scenarios!$F$12)*MIN(100,$H20+$O20*AC$6)/100)*MIN(1,MIN(100,$H20+$O20*AC$6)/100))*(1-Scenarios!$F$13)-$Q20)</f>
        <v>186.30382729420799</v>
      </c>
      <c r="AD20" s="146">
        <f>MAX(0,$P20*(IF(MIN(100,$H20+$O20*AD$6)&gt;=100,1,Scenarios!$F$11+(1-Scenarios!$F$11-Scenarios!$F$12)*MIN(100,$H20+$O20*AD$6)/100)*MIN(1,MIN(100,$H20+$O20*AD$6)/100))*(1-Scenarios!$F$13)-$Q20)</f>
        <v>223.72159036031999</v>
      </c>
      <c r="AE20" s="146">
        <f>MAX(0,$P20*(IF(MIN(100,$H20+$O20*AE$6)&gt;=100,1,Scenarios!$F$11+(1-Scenarios!$F$11-Scenarios!$F$12)*MIN(100,$H20+$O20*AE$6)/100)*MIN(1,MIN(100,$H20+$O20*AE$6)/100))*(1-Scenarios!$F$13)-$Q20)</f>
        <v>264.27930557183998</v>
      </c>
      <c r="AF20" s="146">
        <f>MAX(0,$P20*(IF(MIN(100,$H20+$O20*AF$6)&gt;=100,1,Scenarios!$F$11+(1-Scenarios!$F$11-Scenarios!$F$12)*MIN(100,$H20+$O20*AF$6)/100)*MIN(1,MIN(100,$H20+$O20*AF$6)/100))*(1-Scenarios!$F$13)-$Q20)</f>
        <v>392.22417853850396</v>
      </c>
      <c r="AG20" s="146">
        <f>MAX(0,$P20*(IF(MIN(100,$H20+$O20*AG$6)&gt;=100,1,Scenarios!$F$11+(1-Scenarios!$F$11-Scenarios!$F$12)*MIN(100,$H20+$O20*AG$6)/100)*MIN(1,MIN(100,$H20+$O20*AG$6)/100))*(1-Scenarios!$F$13)-$Q20)</f>
        <v>392.22417853850396</v>
      </c>
      <c r="AH20" s="146">
        <f>MAX(0,$P20*(IF(MIN(100,$H20+$O20*AH$6)&gt;=100,1,Scenarios!$F$11+(1-Scenarios!$F$11-Scenarios!$F$12)*MIN(100,$H20+$O20*AH$6)/100)*MIN(1,MIN(100,$H20+$O20*AH$6)/100))*(1-Scenarios!$F$13)-$Q20)</f>
        <v>392.22417853850396</v>
      </c>
      <c r="AI20" s="146">
        <f>MAX(0,$P20*(IF(MIN(100,$H20+$O20*AI$6)&gt;=100,1,Scenarios!$F$11+(1-Scenarios!$F$11-Scenarios!$F$12)*MIN(100,$H20+$O20*AI$6)/100)*MIN(1,MIN(100,$H20+$O20*AI$6)/100))*(1-Scenarios!$F$13)-$Q20)</f>
        <v>392.22417853850396</v>
      </c>
      <c r="AJ20" s="146">
        <f>MAX(0,$P20*(IF(MIN(100,$H20+$O20*AJ$6)&gt;=100,1,Scenarios!$F$11+(1-Scenarios!$F$11-Scenarios!$F$12)*MIN(100,$H20+$O20*AJ$6)/100)*MIN(1,MIN(100,$H20+$O20*AJ$6)/100))*(1-Scenarios!$F$13)-$Q20)</f>
        <v>392.22417853850396</v>
      </c>
      <c r="AK20" s="146">
        <f>MAX(0,$P20*(IF(MIN(100,$H20+$O20*AK$6)&gt;=100,1,Scenarios!$F$11+(1-Scenarios!$F$11-Scenarios!$F$12)*MIN(100,$H20+$O20*AK$6)/100)*MIN(1,MIN(100,$H20+$O20*AK$6)/100))*(1-Scenarios!$F$13)-$Q20)</f>
        <v>392.22417853850396</v>
      </c>
      <c r="AL20" s="146">
        <f>MAX(0,$P20*(IF(MIN(100,$H20+$O20*AL$6)&gt;=100,1,Scenarios!$F$11+(1-Scenarios!$F$11-Scenarios!$F$12)*MIN(100,$H20+$O20*AL$6)/100)*MIN(1,MIN(100,$H20+$O20*AL$6)/100))*(1-Scenarios!$F$13)-$Q20)</f>
        <v>392.22417853850396</v>
      </c>
      <c r="AM20" s="146">
        <f>MAX(0,$P20*(IF(MIN(100,$H20+$O20*AM$6)&gt;=100,1,Scenarios!$F$11+(1-Scenarios!$F$11-Scenarios!$F$12)*MIN(100,$H20+$O20*AM$6)/100)*MIN(1,MIN(100,$H20+$O20*AM$6)/100))*(1-Scenarios!$F$13)-$Q20)</f>
        <v>392.22417853850396</v>
      </c>
      <c r="AN20" s="146">
        <f>MAX(0,$P20*(IF(MIN(100,$H20+$O20*AN$6)&gt;=100,1,Scenarios!$F$11+(1-Scenarios!$F$11-Scenarios!$F$12)*MIN(100,$H20+$O20*AN$6)/100)*MIN(1,MIN(100,$H20+$O20*AN$6)/100))*(1-Scenarios!$F$13)-$Q20)</f>
        <v>392.22417853850396</v>
      </c>
      <c r="AO20" s="146">
        <f>MAX(0,$P20*(IF(MIN(100,$H20+$O20*AO$6)&gt;=100,1,Scenarios!$F$11+(1-Scenarios!$F$11-Scenarios!$F$12)*MIN(100,$H20+$O20*AO$6)/100)*MIN(1,MIN(100,$H20+$O20*AO$6)/100))*(1-Scenarios!$F$13)-$Q20)</f>
        <v>392.22417853850396</v>
      </c>
      <c r="AP20" s="146">
        <f>MAX(0,$P20*(IF(MIN(100,$H20+$O20*AP$6)&gt;=100,1,Scenarios!$F$11+(1-Scenarios!$F$11-Scenarios!$F$12)*MIN(100,$H20+$O20*AP$6)/100)*MIN(1,MIN(100,$H20+$O20*AP$6)/100))*(1-Scenarios!$F$13)-$Q20)</f>
        <v>392.22417853850396</v>
      </c>
      <c r="AQ20" s="146">
        <f>MAX(0,$P20*(IF(MIN(100,$H20+$O20*AQ$6)&gt;=100,1,Scenarios!$F$11+(1-Scenarios!$F$11-Scenarios!$F$12)*MIN(100,$H20+$O20*AQ$6)/100)*MIN(1,MIN(100,$H20+$O20*AQ$6)/100))*(1-Scenarios!$F$13)-$Q20)</f>
        <v>392.22417853850396</v>
      </c>
      <c r="AR20" s="146">
        <f>MAX(0,$P20*(IF(MIN(100,$H20+$O20*AR$6)&gt;=100,1,Scenarios!$F$11+(1-Scenarios!$F$11-Scenarios!$F$12)*MIN(100,$H20+$O20*AR$6)/100)*MIN(1,MIN(100,$H20+$O20*AR$6)/100))*(1-Scenarios!$F$13)-$Q20)</f>
        <v>392.22417853850396</v>
      </c>
      <c r="AS20" s="146">
        <f>MAX(0,$P20*(IF(MIN(100,$H20+$O20*AS$6)&gt;=100,1,Scenarios!$F$11+(1-Scenarios!$F$11-Scenarios!$F$12)*MIN(100,$H20+$O20*AS$6)/100)*MIN(1,MIN(100,$H20+$O20*AS$6)/100))*(1-Scenarios!$F$13)-$Q20)</f>
        <v>392.22417853850396</v>
      </c>
      <c r="AT20" s="146">
        <f>MAX(0,$P20*(IF(MIN(100,$H20+$O20*AT$6)&gt;=100,1,Scenarios!$F$11+(1-Scenarios!$F$11-Scenarios!$F$12)*MIN(100,$H20+$O20*AT$6)/100)*MIN(1,MIN(100,$H20+$O20*AT$6)/100))*(1-Scenarios!$F$13)-$Q20)</f>
        <v>392.22417853850396</v>
      </c>
      <c r="AU20" s="146">
        <f>MAX(0,$P20*(IF(MIN(100,$H20+$O20*AU$6)&gt;=100,1,Scenarios!$F$11+(1-Scenarios!$F$11-Scenarios!$F$12)*MIN(100,$H20+$O20*AU$6)/100)*MIN(1,MIN(100,$H20+$O20*AU$6)/100))*(1-Scenarios!$F$13)-$Q20)</f>
        <v>392.22417853850396</v>
      </c>
      <c r="AV20" s="146">
        <f>MAX(0,$P20*(IF(MIN(100,$H20+$O20*AV$6)&gt;=100,1,Scenarios!$F$11+(1-Scenarios!$F$11-Scenarios!$F$12)*MIN(100,$H20+$O20*AV$6)/100)*MIN(1,MIN(100,$H20+$O20*AV$6)/100))*(1-Scenarios!$F$13)-$Q20)</f>
        <v>392.22417853850396</v>
      </c>
      <c r="AW20" s="193">
        <f>MAX(0,$P20*(IF(MIN(100,$H20+$O20*AW$6)&gt;=100,1,Scenarios!$F$11+(1-Scenarios!$F$11-Scenarios!$F$12)*MIN(100,$H20+$O20*AW$6)/100)*MIN(1,MIN(100,$H20+$O20*AW$6)/100))*(1-Scenarios!$F$13)-$Q20)</f>
        <v>392.22417853850396</v>
      </c>
      <c r="AX20" s="2"/>
      <c r="AY20" s="201">
        <f>MAX(1,(YEAR(IF(I20="",EDATE($C$3,Scenarios!$B$7),IF(I20&lt;$C$3,EDATE($C$3,Scenarios!$B$6),EDATE(I20,Scenarios!$B$5))))-YEAR($C$3))*12+MONTH(IF(I20="",EDATE($C$3,Scenarios!$B$7),IF(I20&lt;$C$3,EDATE($C$3,Scenarios!$B$6),EDATE(I20,Scenarios!$B$5))))-MONTH($C$3))</f>
        <v>6</v>
      </c>
      <c r="AZ20" s="178">
        <f>MIN(Scenarios!$B$14,(100-H20)/AY20)</f>
        <v>8</v>
      </c>
      <c r="BA20" s="146">
        <f>J20*(1-Scenarios!$B$8)+K20*G20/1000000*Scenarios!$B$9*(1+Scenarios!$B$10)</f>
        <v>430.36624799999998</v>
      </c>
      <c r="BB20" s="146">
        <f>J20*(IF(H20&gt;=100,1,Scenarios!$B$11+(1-Scenarios!$B$11-Scenarios!$B$12)*H20/100)*MIN(1,H20/100))*(1-Scenarios!$B$13)</f>
        <v>16.623757061496001</v>
      </c>
      <c r="BC20" s="146">
        <f>MAX(0,BA20*(IF(MIN(100,$H20+AZ20*5)&gt;=100,1,Scenarios!$B$11+(1-Scenarios!$B$11-Scenarios!$B$12)*MIN(100,$H20+AZ20*5)/100)*MIN(1,MIN(100,$H20+AZ20*5)/100))*(1-Scenarios!$B$13)-BB20)</f>
        <v>92.890250968320004</v>
      </c>
      <c r="BD20" s="146">
        <f>MAX(0,BA20*(IF(MIN(100,$H20+AZ20*15)&gt;=100,1,Scenarios!$B$11+(1-Scenarios!$B$11-Scenarios!$B$12)*MIN(100,$H20+AZ20*15)/100)*MIN(1,MIN(100,$H20+AZ20*15)/100))*(1-Scenarios!$B$13)-BB20)</f>
        <v>392.22417853850396</v>
      </c>
      <c r="BE20" s="146">
        <f>MAX(0,BA20*(IF(MIN(100,$H20+AZ20*27)&gt;=100,1,Scenarios!$B$11+(1-Scenarios!$B$11-Scenarios!$B$12)*MIN(100,$H20+AZ20*27)/100)*MIN(1,MIN(100,$H20+AZ20*27)/100))*(1-Scenarios!$B$13)-BB20)</f>
        <v>392.22417853850396</v>
      </c>
      <c r="BF20" s="146">
        <f>MAX(1,(YEAR(IF(I20="",EDATE($C$3,Scenarios!$C$7),IF(I20&lt;$C$3,EDATE($C$3,Scenarios!$C$6),EDATE(I20,Scenarios!$C$5))))-YEAR($C$3))*12+MONTH(IF(I20="",EDATE($C$3,Scenarios!$C$7),IF(I20&lt;$C$3,EDATE($C$3,Scenarios!$C$6),EDATE(I20,Scenarios!$C$5))))-MONTH($C$3))</f>
        <v>12</v>
      </c>
      <c r="BG20" s="178">
        <f>MIN(Scenarios!$C$14,(100-H20)/BF20)</f>
        <v>6</v>
      </c>
      <c r="BH20" s="146">
        <f>J20*(1-Scenarios!$C$8)+K20*G20/1000000*Scenarios!$C$9*(1+Scenarios!$C$10)</f>
        <v>430.36624799999998</v>
      </c>
      <c r="BI20" s="146">
        <f>J20*(IF(H20&gt;=100,1,Scenarios!$C$11+(1-Scenarios!$C$11-Scenarios!$C$12)*H20/100)*MIN(1,H20/100))*(1-Scenarios!$C$13)</f>
        <v>16.623757061496001</v>
      </c>
      <c r="BJ20" s="146">
        <f>MAX(0,BH20*(IF(MIN(100,$H20+BG20*5)&gt;=100,1,Scenarios!$C$11+(1-Scenarios!$C$11-Scenarios!$C$12)*MIN(100,$H20+BG20*5)/100)*MIN(1,MIN(100,$H20+BG20*5)/100))*(1-Scenarios!$C$13)-BI20)</f>
        <v>62.308425385439996</v>
      </c>
      <c r="BK20" s="146">
        <f>MAX(0,BH20*(IF(MIN(100,$H20+BG20*15)&gt;=100,1,Scenarios!$C$11+(1-Scenarios!$C$11-Scenarios!$C$12)*MIN(100,$H20+BG20*15)/100)*MIN(1,MIN(100,$H20+BG20*15)/100))*(1-Scenarios!$C$13)-BI20)</f>
        <v>392.22417853850396</v>
      </c>
      <c r="BL20" s="146">
        <f>MAX(0,BH20*(IF(MIN(100,$H20+BG20*27)&gt;=100,1,Scenarios!$C$11+(1-Scenarios!$C$11-Scenarios!$C$12)*MIN(100,$H20+BG20*27)/100)*MIN(1,MIN(100,$H20+BG20*27)/100))*(1-Scenarios!$C$13)-BI20)</f>
        <v>392.22417853850396</v>
      </c>
      <c r="BM20" s="146">
        <f>MAX(1,(YEAR(IF(I20="",EDATE($C$3,Scenarios!$D$7),IF(I20&lt;$C$3,EDATE($C$3,Scenarios!$D$6),EDATE(I20,Scenarios!$D$5))))-YEAR($C$3))*12+MONTH(IF(I20="",EDATE($C$3,Scenarios!$D$7),IF(I20&lt;$C$3,EDATE($C$3,Scenarios!$D$6),EDATE(I20,Scenarios!$D$5))))-MONTH($C$3))</f>
        <v>6</v>
      </c>
      <c r="BN20" s="178">
        <f>MIN(Scenarios!$D$14,(100-H20)/BM20)</f>
        <v>8</v>
      </c>
      <c r="BO20" s="146">
        <f>J20*(1-Scenarios!$D$8)+K20*G20/1000000*Scenarios!$D$9*(1+Scenarios!$D$10)</f>
        <v>365.8113108</v>
      </c>
      <c r="BP20" s="146">
        <f>J20*(IF(H20&gt;=100,1,Scenarios!$D$11+(1-Scenarios!$D$11-Scenarios!$D$12)*H20/100)*MIN(1,H20/100))*(1-Scenarios!$D$13)</f>
        <v>16.623757061496001</v>
      </c>
      <c r="BQ20" s="146">
        <f>MAX(0,BO20*(IF(MIN(100,$H20+BN20*5)&gt;=100,1,Scenarios!$D$11+(1-Scenarios!$D$11-Scenarios!$D$12)*MIN(100,$H20+BN20*5)/100)*MIN(1,MIN(100,$H20+BN20*5)/100))*(1-Scenarios!$D$13)-BP20)</f>
        <v>76.463149763847611</v>
      </c>
      <c r="BR20" s="146">
        <f>MAX(0,BO20*(IF(MIN(100,$H20+BN20*15)&gt;=100,1,Scenarios!$D$11+(1-Scenarios!$D$11-Scenarios!$D$12)*MIN(100,$H20+BN20*15)/100)*MIN(1,MIN(100,$H20+BN20*15)/100))*(1-Scenarios!$D$13)-BP20)</f>
        <v>330.896988198504</v>
      </c>
      <c r="BS20" s="146">
        <f>MAX(0,BO20*(IF(MIN(100,$H20+BN20*27)&gt;=100,1,Scenarios!$D$11+(1-Scenarios!$D$11-Scenarios!$D$12)*MIN(100,$H20+BN20*27)/100)*MIN(1,MIN(100,$H20+BN20*27)/100))*(1-Scenarios!$D$13)-BP20)</f>
        <v>330.896988198504</v>
      </c>
      <c r="BT20" s="146">
        <f>MAX(1,(YEAR(IF(I20="",EDATE($C$3,Scenarios!$E$7),IF(I20&lt;$C$3,EDATE($C$3,Scenarios!$E$6),EDATE(I20,Scenarios!$E$5))))-YEAR($C$3))*12+MONTH(IF(I20="",EDATE($C$3,Scenarios!$E$7),IF(I20&lt;$C$3,EDATE($C$3,Scenarios!$E$6),EDATE(I20,Scenarios!$E$5))))-MONTH($C$3))</f>
        <v>6</v>
      </c>
      <c r="BU20" s="178">
        <f>MIN(Scenarios!$E$14,(100-H20)/BT20)</f>
        <v>8</v>
      </c>
      <c r="BV20" s="146">
        <f>J20*(1-Scenarios!$E$8)+K20*G20/1000000*Scenarios!$E$9*(1+Scenarios!$E$10)</f>
        <v>408.84793559999997</v>
      </c>
      <c r="BW20" s="146">
        <f>J20*(IF(H20&gt;=100,1,Scenarios!$E$11+(1-Scenarios!$E$11-Scenarios!$E$12)*H20/100)*MIN(1,H20/100))*(1-Scenarios!$E$13)</f>
        <v>16.623757061496001</v>
      </c>
      <c r="BX20" s="146">
        <f>MAX(0,BV20*(IF(MIN(100,$H20+BU20*5)&gt;=100,1,Scenarios!$E$11+(1-Scenarios!$E$11-Scenarios!$E$12)*MIN(100,$H20+BU20*5)/100)*MIN(1,MIN(100,$H20+BU20*5)/100))*(1-Scenarios!$E$13)-BW20)</f>
        <v>87.414550566829206</v>
      </c>
      <c r="BY20" s="146">
        <f>MAX(0,BV20*(IF(MIN(100,$H20+BU20*15)&gt;=100,1,Scenarios!$E$11+(1-Scenarios!$E$11-Scenarios!$E$12)*MIN(100,$H20+BU20*15)/100)*MIN(1,MIN(100,$H20+BU20*15)/100))*(1-Scenarios!$E$13)-BW20)</f>
        <v>371.78178175850394</v>
      </c>
      <c r="BZ20" s="146">
        <f>MAX(0,BV20*(IF(MIN(100,$H20+BU20*27)&gt;=100,1,Scenarios!$E$11+(1-Scenarios!$E$11-Scenarios!$E$12)*MIN(100,$H20+BU20*27)/100)*MIN(1,MIN(100,$H20+BU20*27)/100))*(1-Scenarios!$E$13)-BW20)</f>
        <v>371.78178175850394</v>
      </c>
      <c r="CA20" s="206">
        <f t="shared" si="7"/>
        <v>92.89027096832001</v>
      </c>
    </row>
    <row r="21" spans="1:79" ht="17.25" customHeight="1" x14ac:dyDescent="0.2">
      <c r="A21" s="135" t="s">
        <v>143</v>
      </c>
      <c r="B21" s="145" t="s">
        <v>144</v>
      </c>
      <c r="C21" s="145" t="s">
        <v>62</v>
      </c>
      <c r="D21" s="147">
        <v>46264</v>
      </c>
      <c r="E21" s="136">
        <v>1745</v>
      </c>
      <c r="F21" s="136">
        <v>1745</v>
      </c>
      <c r="G21" s="136">
        <v>643922</v>
      </c>
      <c r="H21" s="191">
        <v>53</v>
      </c>
      <c r="I21" s="150">
        <v>46203</v>
      </c>
      <c r="J21" s="146">
        <f t="shared" si="0"/>
        <v>1123.6438900000001</v>
      </c>
      <c r="K21" s="146">
        <f t="shared" si="1"/>
        <v>0</v>
      </c>
      <c r="L21" s="192">
        <f t="shared" si="2"/>
        <v>1</v>
      </c>
      <c r="M21" s="147">
        <f>IF(I21="",EDATE($C$3,Scenarios!$F$7),IF(I21&lt;$C$3,EDATE($C$3,Scenarios!$F$6),EDATE(I21,Scenarios!$F$5)))</f>
        <v>46456</v>
      </c>
      <c r="N21" s="146">
        <f t="shared" si="3"/>
        <v>6</v>
      </c>
      <c r="O21" s="178">
        <f>MIN(Scenarios!$F$14,(100-H21)/N21)</f>
        <v>7.833333333333333</v>
      </c>
      <c r="P21" s="146">
        <f>J21*(1-Scenarios!$F$8)+K21*G21/1000000*Scenarios!$F$9*(1+Scenarios!$F$10)</f>
        <v>1123.6438900000001</v>
      </c>
      <c r="Q21" s="146">
        <f>J21*(IF(H21&gt;=100,1,Scenarios!$F$11+(1-Scenarios!$F$11-Scenarios!$F$12)*H21/100)*MIN(1,H21/100))*(1-Scenarios!$F$13)</f>
        <v>236.48546402107004</v>
      </c>
      <c r="R21" s="146">
        <f t="shared" si="4"/>
        <v>405.96457831277894</v>
      </c>
      <c r="S21" s="146">
        <f t="shared" si="5"/>
        <v>830.97623147892989</v>
      </c>
      <c r="T21" s="146">
        <f t="shared" si="6"/>
        <v>830.97623147892989</v>
      </c>
      <c r="U21" s="193">
        <f>J21*IF(H21&gt;=100,1,Scenarios!$F$11+(1-Scenarios!$F$11-Scenarios!$F$12)*H21/100)</f>
        <v>469.68314602000004</v>
      </c>
      <c r="V21" s="201">
        <f>MAX(0,$P21*(IF(MIN(100,$H21+$O21*V$6)&gt;=100,1,Scenarios!$F$11+(1-Scenarios!$F$11-Scenarios!$F$12)*MIN(100,$H21+$O21*V$6)/100)*MIN(1,MIN(100,$H21+$O21*V$6)/100))*(1-Scenarios!$F$13)-$Q21)</f>
        <v>65.472763093492546</v>
      </c>
      <c r="W21" s="146">
        <f>MAX(0,$P21*(IF(MIN(100,$H21+$O21*W$6)&gt;=100,1,Scenarios!$F$11+(1-Scenarios!$F$11-Scenarios!$F$12)*MIN(100,$H21+$O21*W$6)/100)*MIN(1,MIN(100,$H21+$O21*W$6)/100))*(1-Scenarios!$F$13)-$Q21)</f>
        <v>138.80560247151678</v>
      </c>
      <c r="X21" s="146">
        <f>MAX(0,$P21*(IF(MIN(100,$H21+$O21*X$6)&gt;=100,1,Scenarios!$F$11+(1-Scenarios!$F$11-Scenarios!$F$12)*MIN(100,$H21+$O21*X$6)/100)*MIN(1,MIN(100,$H21+$O21*X$6)/100))*(1-Scenarios!$F$13)-$Q21)</f>
        <v>219.9985181340725</v>
      </c>
      <c r="Y21" s="146">
        <f>MAX(0,$P21*(IF(MIN(100,$H21+$O21*Y$6)&gt;=100,1,Scenarios!$F$11+(1-Scenarios!$F$11-Scenarios!$F$12)*MIN(100,$H21+$O21*Y$6)/100)*MIN(1,MIN(100,$H21+$O21*Y$6)/100))*(1-Scenarios!$F$13)-$Q21)</f>
        <v>309.0515100811599</v>
      </c>
      <c r="Z21" s="146">
        <f>MAX(0,$P21*(IF(MIN(100,$H21+$O21*Z$6)&gt;=100,1,Scenarios!$F$11+(1-Scenarios!$F$11-Scenarios!$F$12)*MIN(100,$H21+$O21*Z$6)/100)*MIN(1,MIN(100,$H21+$O21*Z$6)/100))*(1-Scenarios!$F$13)-$Q21)</f>
        <v>405.96457831277894</v>
      </c>
      <c r="AA21" s="146">
        <f>MAX(0,$P21*(IF(MIN(100,$H21+$O21*AA$6)&gt;=100,1,Scenarios!$F$11+(1-Scenarios!$F$11-Scenarios!$F$12)*MIN(100,$H21+$O21*AA$6)/100)*MIN(1,MIN(100,$H21+$O21*AA$6)/100))*(1-Scenarios!$F$13)-$Q21)</f>
        <v>830.97623147892989</v>
      </c>
      <c r="AB21" s="146">
        <f>MAX(0,$P21*(IF(MIN(100,$H21+$O21*AB$6)&gt;=100,1,Scenarios!$F$11+(1-Scenarios!$F$11-Scenarios!$F$12)*MIN(100,$H21+$O21*AB$6)/100)*MIN(1,MIN(100,$H21+$O21*AB$6)/100))*(1-Scenarios!$F$13)-$Q21)</f>
        <v>830.97623147892989</v>
      </c>
      <c r="AC21" s="146">
        <f>MAX(0,$P21*(IF(MIN(100,$H21+$O21*AC$6)&gt;=100,1,Scenarios!$F$11+(1-Scenarios!$F$11-Scenarios!$F$12)*MIN(100,$H21+$O21*AC$6)/100)*MIN(1,MIN(100,$H21+$O21*AC$6)/100))*(1-Scenarios!$F$13)-$Q21)</f>
        <v>830.97623147892989</v>
      </c>
      <c r="AD21" s="146">
        <f>MAX(0,$P21*(IF(MIN(100,$H21+$O21*AD$6)&gt;=100,1,Scenarios!$F$11+(1-Scenarios!$F$11-Scenarios!$F$12)*MIN(100,$H21+$O21*AD$6)/100)*MIN(1,MIN(100,$H21+$O21*AD$6)/100))*(1-Scenarios!$F$13)-$Q21)</f>
        <v>830.97623147892989</v>
      </c>
      <c r="AE21" s="146">
        <f>MAX(0,$P21*(IF(MIN(100,$H21+$O21*AE$6)&gt;=100,1,Scenarios!$F$11+(1-Scenarios!$F$11-Scenarios!$F$12)*MIN(100,$H21+$O21*AE$6)/100)*MIN(1,MIN(100,$H21+$O21*AE$6)/100))*(1-Scenarios!$F$13)-$Q21)</f>
        <v>830.97623147892989</v>
      </c>
      <c r="AF21" s="146">
        <f>MAX(0,$P21*(IF(MIN(100,$H21+$O21*AF$6)&gt;=100,1,Scenarios!$F$11+(1-Scenarios!$F$11-Scenarios!$F$12)*MIN(100,$H21+$O21*AF$6)/100)*MIN(1,MIN(100,$H21+$O21*AF$6)/100))*(1-Scenarios!$F$13)-$Q21)</f>
        <v>830.97623147892989</v>
      </c>
      <c r="AG21" s="146">
        <f>MAX(0,$P21*(IF(MIN(100,$H21+$O21*AG$6)&gt;=100,1,Scenarios!$F$11+(1-Scenarios!$F$11-Scenarios!$F$12)*MIN(100,$H21+$O21*AG$6)/100)*MIN(1,MIN(100,$H21+$O21*AG$6)/100))*(1-Scenarios!$F$13)-$Q21)</f>
        <v>830.97623147892989</v>
      </c>
      <c r="AH21" s="146">
        <f>MAX(0,$P21*(IF(MIN(100,$H21+$O21*AH$6)&gt;=100,1,Scenarios!$F$11+(1-Scenarios!$F$11-Scenarios!$F$12)*MIN(100,$H21+$O21*AH$6)/100)*MIN(1,MIN(100,$H21+$O21*AH$6)/100))*(1-Scenarios!$F$13)-$Q21)</f>
        <v>830.97623147892989</v>
      </c>
      <c r="AI21" s="146">
        <f>MAX(0,$P21*(IF(MIN(100,$H21+$O21*AI$6)&gt;=100,1,Scenarios!$F$11+(1-Scenarios!$F$11-Scenarios!$F$12)*MIN(100,$H21+$O21*AI$6)/100)*MIN(1,MIN(100,$H21+$O21*AI$6)/100))*(1-Scenarios!$F$13)-$Q21)</f>
        <v>830.97623147892989</v>
      </c>
      <c r="AJ21" s="146">
        <f>MAX(0,$P21*(IF(MIN(100,$H21+$O21*AJ$6)&gt;=100,1,Scenarios!$F$11+(1-Scenarios!$F$11-Scenarios!$F$12)*MIN(100,$H21+$O21*AJ$6)/100)*MIN(1,MIN(100,$H21+$O21*AJ$6)/100))*(1-Scenarios!$F$13)-$Q21)</f>
        <v>830.97623147892989</v>
      </c>
      <c r="AK21" s="146">
        <f>MAX(0,$P21*(IF(MIN(100,$H21+$O21*AK$6)&gt;=100,1,Scenarios!$F$11+(1-Scenarios!$F$11-Scenarios!$F$12)*MIN(100,$H21+$O21*AK$6)/100)*MIN(1,MIN(100,$H21+$O21*AK$6)/100))*(1-Scenarios!$F$13)-$Q21)</f>
        <v>830.97623147892989</v>
      </c>
      <c r="AL21" s="146">
        <f>MAX(0,$P21*(IF(MIN(100,$H21+$O21*AL$6)&gt;=100,1,Scenarios!$F$11+(1-Scenarios!$F$11-Scenarios!$F$12)*MIN(100,$H21+$O21*AL$6)/100)*MIN(1,MIN(100,$H21+$O21*AL$6)/100))*(1-Scenarios!$F$13)-$Q21)</f>
        <v>830.97623147892989</v>
      </c>
      <c r="AM21" s="146">
        <f>MAX(0,$P21*(IF(MIN(100,$H21+$O21*AM$6)&gt;=100,1,Scenarios!$F$11+(1-Scenarios!$F$11-Scenarios!$F$12)*MIN(100,$H21+$O21*AM$6)/100)*MIN(1,MIN(100,$H21+$O21*AM$6)/100))*(1-Scenarios!$F$13)-$Q21)</f>
        <v>830.97623147892989</v>
      </c>
      <c r="AN21" s="146">
        <f>MAX(0,$P21*(IF(MIN(100,$H21+$O21*AN$6)&gt;=100,1,Scenarios!$F$11+(1-Scenarios!$F$11-Scenarios!$F$12)*MIN(100,$H21+$O21*AN$6)/100)*MIN(1,MIN(100,$H21+$O21*AN$6)/100))*(1-Scenarios!$F$13)-$Q21)</f>
        <v>830.97623147892989</v>
      </c>
      <c r="AO21" s="146">
        <f>MAX(0,$P21*(IF(MIN(100,$H21+$O21*AO$6)&gt;=100,1,Scenarios!$F$11+(1-Scenarios!$F$11-Scenarios!$F$12)*MIN(100,$H21+$O21*AO$6)/100)*MIN(1,MIN(100,$H21+$O21*AO$6)/100))*(1-Scenarios!$F$13)-$Q21)</f>
        <v>830.97623147892989</v>
      </c>
      <c r="AP21" s="146">
        <f>MAX(0,$P21*(IF(MIN(100,$H21+$O21*AP$6)&gt;=100,1,Scenarios!$F$11+(1-Scenarios!$F$11-Scenarios!$F$12)*MIN(100,$H21+$O21*AP$6)/100)*MIN(1,MIN(100,$H21+$O21*AP$6)/100))*(1-Scenarios!$F$13)-$Q21)</f>
        <v>830.97623147892989</v>
      </c>
      <c r="AQ21" s="146">
        <f>MAX(0,$P21*(IF(MIN(100,$H21+$O21*AQ$6)&gt;=100,1,Scenarios!$F$11+(1-Scenarios!$F$11-Scenarios!$F$12)*MIN(100,$H21+$O21*AQ$6)/100)*MIN(1,MIN(100,$H21+$O21*AQ$6)/100))*(1-Scenarios!$F$13)-$Q21)</f>
        <v>830.97623147892989</v>
      </c>
      <c r="AR21" s="146">
        <f>MAX(0,$P21*(IF(MIN(100,$H21+$O21*AR$6)&gt;=100,1,Scenarios!$F$11+(1-Scenarios!$F$11-Scenarios!$F$12)*MIN(100,$H21+$O21*AR$6)/100)*MIN(1,MIN(100,$H21+$O21*AR$6)/100))*(1-Scenarios!$F$13)-$Q21)</f>
        <v>830.97623147892989</v>
      </c>
      <c r="AS21" s="146">
        <f>MAX(0,$P21*(IF(MIN(100,$H21+$O21*AS$6)&gt;=100,1,Scenarios!$F$11+(1-Scenarios!$F$11-Scenarios!$F$12)*MIN(100,$H21+$O21*AS$6)/100)*MIN(1,MIN(100,$H21+$O21*AS$6)/100))*(1-Scenarios!$F$13)-$Q21)</f>
        <v>830.97623147892989</v>
      </c>
      <c r="AT21" s="146">
        <f>MAX(0,$P21*(IF(MIN(100,$H21+$O21*AT$6)&gt;=100,1,Scenarios!$F$11+(1-Scenarios!$F$11-Scenarios!$F$12)*MIN(100,$H21+$O21*AT$6)/100)*MIN(1,MIN(100,$H21+$O21*AT$6)/100))*(1-Scenarios!$F$13)-$Q21)</f>
        <v>830.97623147892989</v>
      </c>
      <c r="AU21" s="146">
        <f>MAX(0,$P21*(IF(MIN(100,$H21+$O21*AU$6)&gt;=100,1,Scenarios!$F$11+(1-Scenarios!$F$11-Scenarios!$F$12)*MIN(100,$H21+$O21*AU$6)/100)*MIN(1,MIN(100,$H21+$O21*AU$6)/100))*(1-Scenarios!$F$13)-$Q21)</f>
        <v>830.97623147892989</v>
      </c>
      <c r="AV21" s="146">
        <f>MAX(0,$P21*(IF(MIN(100,$H21+$O21*AV$6)&gt;=100,1,Scenarios!$F$11+(1-Scenarios!$F$11-Scenarios!$F$12)*MIN(100,$H21+$O21*AV$6)/100)*MIN(1,MIN(100,$H21+$O21*AV$6)/100))*(1-Scenarios!$F$13)-$Q21)</f>
        <v>830.97623147892989</v>
      </c>
      <c r="AW21" s="193">
        <f>MAX(0,$P21*(IF(MIN(100,$H21+$O21*AW$6)&gt;=100,1,Scenarios!$F$11+(1-Scenarios!$F$11-Scenarios!$F$12)*MIN(100,$H21+$O21*AW$6)/100)*MIN(1,MIN(100,$H21+$O21*AW$6)/100))*(1-Scenarios!$F$13)-$Q21)</f>
        <v>830.97623147892989</v>
      </c>
      <c r="AX21" s="2"/>
      <c r="AY21" s="201">
        <f>MAX(1,(YEAR(IF(I21="",EDATE($C$3,Scenarios!$B$7),IF(I21&lt;$C$3,EDATE($C$3,Scenarios!$B$6),EDATE(I21,Scenarios!$B$5))))-YEAR($C$3))*12+MONTH(IF(I21="",EDATE($C$3,Scenarios!$B$7),IF(I21&lt;$C$3,EDATE($C$3,Scenarios!$B$6),EDATE(I21,Scenarios!$B$5))))-MONTH($C$3))</f>
        <v>6</v>
      </c>
      <c r="AZ21" s="178">
        <f>MIN(Scenarios!$B$14,(100-H21)/AY21)</f>
        <v>7.833333333333333</v>
      </c>
      <c r="BA21" s="146">
        <f>J21*(1-Scenarios!$B$8)+K21*G21/1000000*Scenarios!$B$9*(1+Scenarios!$B$10)</f>
        <v>1123.6438900000001</v>
      </c>
      <c r="BB21" s="146">
        <f>J21*(IF(H21&gt;=100,1,Scenarios!$B$11+(1-Scenarios!$B$11-Scenarios!$B$12)*H21/100)*MIN(1,H21/100))*(1-Scenarios!$B$13)</f>
        <v>236.48546402107004</v>
      </c>
      <c r="BC21" s="146">
        <f>MAX(0,BA21*(IF(MIN(100,$H21+AZ21*5)&gt;=100,1,Scenarios!$B$11+(1-Scenarios!$B$11-Scenarios!$B$12)*MIN(100,$H21+AZ21*5)/100)*MIN(1,MIN(100,$H21+AZ21*5)/100))*(1-Scenarios!$B$13)-BB21)</f>
        <v>405.96457831277894</v>
      </c>
      <c r="BD21" s="146">
        <f>MAX(0,BA21*(IF(MIN(100,$H21+AZ21*15)&gt;=100,1,Scenarios!$B$11+(1-Scenarios!$B$11-Scenarios!$B$12)*MIN(100,$H21+AZ21*15)/100)*MIN(1,MIN(100,$H21+AZ21*15)/100))*(1-Scenarios!$B$13)-BB21)</f>
        <v>830.97623147892989</v>
      </c>
      <c r="BE21" s="146">
        <f>MAX(0,BA21*(IF(MIN(100,$H21+AZ21*27)&gt;=100,1,Scenarios!$B$11+(1-Scenarios!$B$11-Scenarios!$B$12)*MIN(100,$H21+AZ21*27)/100)*MIN(1,MIN(100,$H21+AZ21*27)/100))*(1-Scenarios!$B$13)-BB21)</f>
        <v>830.97623147892989</v>
      </c>
      <c r="BF21" s="146">
        <f>MAX(1,(YEAR(IF(I21="",EDATE($C$3,Scenarios!$C$7),IF(I21&lt;$C$3,EDATE($C$3,Scenarios!$C$6),EDATE(I21,Scenarios!$C$5))))-YEAR($C$3))*12+MONTH(IF(I21="",EDATE($C$3,Scenarios!$C$7),IF(I21&lt;$C$3,EDATE($C$3,Scenarios!$C$6),EDATE(I21,Scenarios!$C$5))))-MONTH($C$3))</f>
        <v>12</v>
      </c>
      <c r="BG21" s="178">
        <f>MIN(Scenarios!$C$14,(100-H21)/BF21)</f>
        <v>3.9166666666666665</v>
      </c>
      <c r="BH21" s="146">
        <f>J21*(1-Scenarios!$C$8)+K21*G21/1000000*Scenarios!$C$9*(1+Scenarios!$C$10)</f>
        <v>1123.6438900000001</v>
      </c>
      <c r="BI21" s="146">
        <f>J21*(IF(H21&gt;=100,1,Scenarios!$C$11+(1-Scenarios!$C$11-Scenarios!$C$12)*H21/100)*MIN(1,H21/100))*(1-Scenarios!$C$13)</f>
        <v>236.48546402107004</v>
      </c>
      <c r="BJ21" s="146">
        <f>MAX(0,BH21*(IF(MIN(100,$H21+BG21*5)&gt;=100,1,Scenarios!$C$11+(1-Scenarios!$C$11-Scenarios!$C$12)*MIN(100,$H21+BG21*5)/100)*MIN(1,MIN(100,$H21+BG21*5)/100))*(1-Scenarios!$C$13)-BI21)</f>
        <v>178.41955076722812</v>
      </c>
      <c r="BK21" s="146">
        <f>MAX(0,BH21*(IF(MIN(100,$H21+BG21*15)&gt;=100,1,Scenarios!$C$11+(1-Scenarios!$C$11-Scenarios!$C$12)*MIN(100,$H21+BG21*15)/100)*MIN(1,MIN(100,$H21+BG21*15)/100))*(1-Scenarios!$C$13)-BI21)</f>
        <v>830.97623147892989</v>
      </c>
      <c r="BL21" s="146">
        <f>MAX(0,BH21*(IF(MIN(100,$H21+BG21*27)&gt;=100,1,Scenarios!$C$11+(1-Scenarios!$C$11-Scenarios!$C$12)*MIN(100,$H21+BG21*27)/100)*MIN(1,MIN(100,$H21+BG21*27)/100))*(1-Scenarios!$C$13)-BI21)</f>
        <v>830.97623147892989</v>
      </c>
      <c r="BM21" s="146">
        <f>MAX(1,(YEAR(IF(I21="",EDATE($C$3,Scenarios!$D$7),IF(I21&lt;$C$3,EDATE($C$3,Scenarios!$D$6),EDATE(I21,Scenarios!$D$5))))-YEAR($C$3))*12+MONTH(IF(I21="",EDATE($C$3,Scenarios!$D$7),IF(I21&lt;$C$3,EDATE($C$3,Scenarios!$D$6),EDATE(I21,Scenarios!$D$5))))-MONTH($C$3))</f>
        <v>6</v>
      </c>
      <c r="BN21" s="178">
        <f>MIN(Scenarios!$D$14,(100-H21)/BM21)</f>
        <v>7.833333333333333</v>
      </c>
      <c r="BO21" s="146">
        <f>J21*(1-Scenarios!$D$8)+K21*G21/1000000*Scenarios!$D$9*(1+Scenarios!$D$10)</f>
        <v>955.09730650000006</v>
      </c>
      <c r="BP21" s="146">
        <f>J21*(IF(H21&gt;=100,1,Scenarios!$D$11+(1-Scenarios!$D$11-Scenarios!$D$12)*H21/100)*MIN(1,H21/100))*(1-Scenarios!$D$13)</f>
        <v>236.48546402107004</v>
      </c>
      <c r="BQ21" s="146">
        <f>MAX(0,BO21*(IF(MIN(100,$H21+BN21*5)&gt;=100,1,Scenarios!$D$11+(1-Scenarios!$D$11-Scenarios!$D$12)*MIN(100,$H21+BN21*5)/100)*MIN(1,MIN(100,$H21+BN21*5)/100))*(1-Scenarios!$D$13)-BP21)</f>
        <v>309.59707196270165</v>
      </c>
      <c r="BR21" s="146">
        <f>MAX(0,BO21*(IF(MIN(100,$H21+BN21*15)&gt;=100,1,Scenarios!$D$11+(1-Scenarios!$D$11-Scenarios!$D$12)*MIN(100,$H21+BN21*15)/100)*MIN(1,MIN(100,$H21+BN21*15)/100))*(1-Scenarios!$D$13)-BP21)</f>
        <v>670.85697715392996</v>
      </c>
      <c r="BS21" s="146">
        <f>MAX(0,BO21*(IF(MIN(100,$H21+BN21*27)&gt;=100,1,Scenarios!$D$11+(1-Scenarios!$D$11-Scenarios!$D$12)*MIN(100,$H21+BN21*27)/100)*MIN(1,MIN(100,$H21+BN21*27)/100))*(1-Scenarios!$D$13)-BP21)</f>
        <v>670.85697715392996</v>
      </c>
      <c r="BT21" s="146">
        <f>MAX(1,(YEAR(IF(I21="",EDATE($C$3,Scenarios!$E$7),IF(I21&lt;$C$3,EDATE($C$3,Scenarios!$E$6),EDATE(I21,Scenarios!$E$5))))-YEAR($C$3))*12+MONTH(IF(I21="",EDATE($C$3,Scenarios!$E$7),IF(I21&lt;$C$3,EDATE($C$3,Scenarios!$E$6),EDATE(I21,Scenarios!$E$5))))-MONTH($C$3))</f>
        <v>6</v>
      </c>
      <c r="BU21" s="178">
        <f>MIN(Scenarios!$E$14,(100-H21)/BT21)</f>
        <v>7.833333333333333</v>
      </c>
      <c r="BV21" s="146">
        <f>J21*(1-Scenarios!$E$8)+K21*G21/1000000*Scenarios!$E$9*(1+Scenarios!$E$10)</f>
        <v>1067.4616954999999</v>
      </c>
      <c r="BW21" s="146">
        <f>J21*(IF(H21&gt;=100,1,Scenarios!$E$11+(1-Scenarios!$E$11-Scenarios!$E$12)*H21/100)*MIN(1,H21/100))*(1-Scenarios!$E$13)</f>
        <v>236.48546402107004</v>
      </c>
      <c r="BX21" s="146">
        <f>MAX(0,BV21*(IF(MIN(100,$H21+BU21*5)&gt;=100,1,Scenarios!$E$11+(1-Scenarios!$E$11-Scenarios!$E$12)*MIN(100,$H21+BU21*5)/100)*MIN(1,MIN(100,$H21+BU21*5)/100))*(1-Scenarios!$E$13)-BW21)</f>
        <v>373.84207619608651</v>
      </c>
      <c r="BY21" s="146">
        <f>MAX(0,BV21*(IF(MIN(100,$H21+BU21*15)&gt;=100,1,Scenarios!$E$11+(1-Scenarios!$E$11-Scenarios!$E$12)*MIN(100,$H21+BU21*15)/100)*MIN(1,MIN(100,$H21+BU21*15)/100))*(1-Scenarios!$E$13)-BW21)</f>
        <v>777.60314670392984</v>
      </c>
      <c r="BZ21" s="146">
        <f>MAX(0,BV21*(IF(MIN(100,$H21+BU21*27)&gt;=100,1,Scenarios!$E$11+(1-Scenarios!$E$11-Scenarios!$E$12)*MIN(100,$H21+BU21*27)/100)*MIN(1,MIN(100,$H21+BU21*27)/100))*(1-Scenarios!$E$13)-BW21)</f>
        <v>777.60314670392984</v>
      </c>
      <c r="CA21" s="206">
        <f t="shared" si="7"/>
        <v>405.96459931277894</v>
      </c>
    </row>
    <row r="22" spans="1:79" ht="17.25" customHeight="1" x14ac:dyDescent="0.2">
      <c r="A22" s="135" t="s">
        <v>145</v>
      </c>
      <c r="B22" s="145" t="s">
        <v>146</v>
      </c>
      <c r="C22" s="145" t="s">
        <v>62</v>
      </c>
      <c r="D22" s="147">
        <v>46264</v>
      </c>
      <c r="E22" s="136">
        <v>411</v>
      </c>
      <c r="F22" s="136">
        <v>286</v>
      </c>
      <c r="G22" s="136">
        <v>972733</v>
      </c>
      <c r="H22" s="191">
        <v>70</v>
      </c>
      <c r="I22" s="150">
        <v>46203</v>
      </c>
      <c r="J22" s="146">
        <f t="shared" si="0"/>
        <v>278.201638</v>
      </c>
      <c r="K22" s="146">
        <f t="shared" si="1"/>
        <v>125</v>
      </c>
      <c r="L22" s="192">
        <f t="shared" si="2"/>
        <v>0.69586374695863751</v>
      </c>
      <c r="M22" s="147">
        <f>IF(I22="",EDATE($C$3,Scenarios!$F$7),IF(I22&lt;$C$3,EDATE($C$3,Scenarios!$F$6),EDATE(I22,Scenarios!$F$5)))</f>
        <v>46456</v>
      </c>
      <c r="N22" s="146">
        <f t="shared" si="3"/>
        <v>6</v>
      </c>
      <c r="O22" s="178">
        <f>MIN(Scenarios!$F$14,(100-H22)/N22)</f>
        <v>5</v>
      </c>
      <c r="P22" s="146">
        <f>J22*(1-Scenarios!$F$8)+K22*G22/1000000*Scenarios!$F$9*(1+Scenarios!$F$10)</f>
        <v>351.15661299999999</v>
      </c>
      <c r="Q22" s="146">
        <f>J22*(IF(H22&gt;=100,1,Scenarios!$F$11+(1-Scenarios!$F$11-Scenarios!$F$12)*H22/100)*MIN(1,H22/100))*(1-Scenarios!$F$13)</f>
        <v>96.202126420400006</v>
      </c>
      <c r="R22" s="146">
        <f t="shared" si="4"/>
        <v>116.13349854537496</v>
      </c>
      <c r="S22" s="146">
        <f t="shared" si="5"/>
        <v>237.39665592959994</v>
      </c>
      <c r="T22" s="146">
        <f t="shared" si="6"/>
        <v>237.39665592959994</v>
      </c>
      <c r="U22" s="193">
        <f>J22*IF(H22&gt;=100,1,Scenarios!$F$11+(1-Scenarios!$F$11-Scenarios!$F$12)*H22/100)</f>
        <v>144.66485176000003</v>
      </c>
      <c r="V22" s="201">
        <f>MAX(0,$P22*(IF(MIN(100,$H22+$O22*V$6)&gt;=100,1,Scenarios!$F$11+(1-Scenarios!$F$11-Scenarios!$F$12)*MIN(100,$H22+$O22*V$6)/100)*MIN(1,MIN(100,$H22+$O22*V$6)/100))*(1-Scenarios!$F$13)-$Q22)</f>
        <v>41.407371298974979</v>
      </c>
      <c r="W22" s="146">
        <f>MAX(0,$P22*(IF(MIN(100,$H22+$O22*W$6)&gt;=100,1,Scenarios!$F$11+(1-Scenarios!$F$11-Scenarios!$F$12)*MIN(100,$H22+$O22*W$6)/100)*MIN(1,MIN(100,$H22+$O22*W$6)/100))*(1-Scenarios!$F$13)-$Q22)</f>
        <v>58.58770859000002</v>
      </c>
      <c r="X22" s="146">
        <f>MAX(0,$P22*(IF(MIN(100,$H22+$O22*X$6)&gt;=100,1,Scenarios!$F$11+(1-Scenarios!$F$11-Scenarios!$F$12)*MIN(100,$H22+$O22*X$6)/100)*MIN(1,MIN(100,$H22+$O22*X$6)/100))*(1-Scenarios!$F$13)-$Q22)</f>
        <v>76.76884222807503</v>
      </c>
      <c r="Y22" s="146">
        <f>MAX(0,$P22*(IF(MIN(100,$H22+$O22*Y$6)&gt;=100,1,Scenarios!$F$11+(1-Scenarios!$F$11-Scenarios!$F$12)*MIN(100,$H22+$O22*Y$6)/100)*MIN(1,MIN(100,$H22+$O22*Y$6)/100))*(1-Scenarios!$F$13)-$Q22)</f>
        <v>95.950772213199983</v>
      </c>
      <c r="Z22" s="146">
        <f>MAX(0,$P22*(IF(MIN(100,$H22+$O22*Z$6)&gt;=100,1,Scenarios!$F$11+(1-Scenarios!$F$11-Scenarios!$F$12)*MIN(100,$H22+$O22*Z$6)/100)*MIN(1,MIN(100,$H22+$O22*Z$6)/100))*(1-Scenarios!$F$13)-$Q22)</f>
        <v>116.13349854537496</v>
      </c>
      <c r="AA22" s="146">
        <f>MAX(0,$P22*(IF(MIN(100,$H22+$O22*AA$6)&gt;=100,1,Scenarios!$F$11+(1-Scenarios!$F$11-Scenarios!$F$12)*MIN(100,$H22+$O22*AA$6)/100)*MIN(1,MIN(100,$H22+$O22*AA$6)/100))*(1-Scenarios!$F$13)-$Q22)</f>
        <v>237.39665592959994</v>
      </c>
      <c r="AB22" s="146">
        <f>MAX(0,$P22*(IF(MIN(100,$H22+$O22*AB$6)&gt;=100,1,Scenarios!$F$11+(1-Scenarios!$F$11-Scenarios!$F$12)*MIN(100,$H22+$O22*AB$6)/100)*MIN(1,MIN(100,$H22+$O22*AB$6)/100))*(1-Scenarios!$F$13)-$Q22)</f>
        <v>237.39665592959994</v>
      </c>
      <c r="AC22" s="146">
        <f>MAX(0,$P22*(IF(MIN(100,$H22+$O22*AC$6)&gt;=100,1,Scenarios!$F$11+(1-Scenarios!$F$11-Scenarios!$F$12)*MIN(100,$H22+$O22*AC$6)/100)*MIN(1,MIN(100,$H22+$O22*AC$6)/100))*(1-Scenarios!$F$13)-$Q22)</f>
        <v>237.39665592959994</v>
      </c>
      <c r="AD22" s="146">
        <f>MAX(0,$P22*(IF(MIN(100,$H22+$O22*AD$6)&gt;=100,1,Scenarios!$F$11+(1-Scenarios!$F$11-Scenarios!$F$12)*MIN(100,$H22+$O22*AD$6)/100)*MIN(1,MIN(100,$H22+$O22*AD$6)/100))*(1-Scenarios!$F$13)-$Q22)</f>
        <v>237.39665592959994</v>
      </c>
      <c r="AE22" s="146">
        <f>MAX(0,$P22*(IF(MIN(100,$H22+$O22*AE$6)&gt;=100,1,Scenarios!$F$11+(1-Scenarios!$F$11-Scenarios!$F$12)*MIN(100,$H22+$O22*AE$6)/100)*MIN(1,MIN(100,$H22+$O22*AE$6)/100))*(1-Scenarios!$F$13)-$Q22)</f>
        <v>237.39665592959994</v>
      </c>
      <c r="AF22" s="146">
        <f>MAX(0,$P22*(IF(MIN(100,$H22+$O22*AF$6)&gt;=100,1,Scenarios!$F$11+(1-Scenarios!$F$11-Scenarios!$F$12)*MIN(100,$H22+$O22*AF$6)/100)*MIN(1,MIN(100,$H22+$O22*AF$6)/100))*(1-Scenarios!$F$13)-$Q22)</f>
        <v>237.39665592959994</v>
      </c>
      <c r="AG22" s="146">
        <f>MAX(0,$P22*(IF(MIN(100,$H22+$O22*AG$6)&gt;=100,1,Scenarios!$F$11+(1-Scenarios!$F$11-Scenarios!$F$12)*MIN(100,$H22+$O22*AG$6)/100)*MIN(1,MIN(100,$H22+$O22*AG$6)/100))*(1-Scenarios!$F$13)-$Q22)</f>
        <v>237.39665592959994</v>
      </c>
      <c r="AH22" s="146">
        <f>MAX(0,$P22*(IF(MIN(100,$H22+$O22*AH$6)&gt;=100,1,Scenarios!$F$11+(1-Scenarios!$F$11-Scenarios!$F$12)*MIN(100,$H22+$O22*AH$6)/100)*MIN(1,MIN(100,$H22+$O22*AH$6)/100))*(1-Scenarios!$F$13)-$Q22)</f>
        <v>237.39665592959994</v>
      </c>
      <c r="AI22" s="146">
        <f>MAX(0,$P22*(IF(MIN(100,$H22+$O22*AI$6)&gt;=100,1,Scenarios!$F$11+(1-Scenarios!$F$11-Scenarios!$F$12)*MIN(100,$H22+$O22*AI$6)/100)*MIN(1,MIN(100,$H22+$O22*AI$6)/100))*(1-Scenarios!$F$13)-$Q22)</f>
        <v>237.39665592959994</v>
      </c>
      <c r="AJ22" s="146">
        <f>MAX(0,$P22*(IF(MIN(100,$H22+$O22*AJ$6)&gt;=100,1,Scenarios!$F$11+(1-Scenarios!$F$11-Scenarios!$F$12)*MIN(100,$H22+$O22*AJ$6)/100)*MIN(1,MIN(100,$H22+$O22*AJ$6)/100))*(1-Scenarios!$F$13)-$Q22)</f>
        <v>237.39665592959994</v>
      </c>
      <c r="AK22" s="146">
        <f>MAX(0,$P22*(IF(MIN(100,$H22+$O22*AK$6)&gt;=100,1,Scenarios!$F$11+(1-Scenarios!$F$11-Scenarios!$F$12)*MIN(100,$H22+$O22*AK$6)/100)*MIN(1,MIN(100,$H22+$O22*AK$6)/100))*(1-Scenarios!$F$13)-$Q22)</f>
        <v>237.39665592959994</v>
      </c>
      <c r="AL22" s="146">
        <f>MAX(0,$P22*(IF(MIN(100,$H22+$O22*AL$6)&gt;=100,1,Scenarios!$F$11+(1-Scenarios!$F$11-Scenarios!$F$12)*MIN(100,$H22+$O22*AL$6)/100)*MIN(1,MIN(100,$H22+$O22*AL$6)/100))*(1-Scenarios!$F$13)-$Q22)</f>
        <v>237.39665592959994</v>
      </c>
      <c r="AM22" s="146">
        <f>MAX(0,$P22*(IF(MIN(100,$H22+$O22*AM$6)&gt;=100,1,Scenarios!$F$11+(1-Scenarios!$F$11-Scenarios!$F$12)*MIN(100,$H22+$O22*AM$6)/100)*MIN(1,MIN(100,$H22+$O22*AM$6)/100))*(1-Scenarios!$F$13)-$Q22)</f>
        <v>237.39665592959994</v>
      </c>
      <c r="AN22" s="146">
        <f>MAX(0,$P22*(IF(MIN(100,$H22+$O22*AN$6)&gt;=100,1,Scenarios!$F$11+(1-Scenarios!$F$11-Scenarios!$F$12)*MIN(100,$H22+$O22*AN$6)/100)*MIN(1,MIN(100,$H22+$O22*AN$6)/100))*(1-Scenarios!$F$13)-$Q22)</f>
        <v>237.39665592959994</v>
      </c>
      <c r="AO22" s="146">
        <f>MAX(0,$P22*(IF(MIN(100,$H22+$O22*AO$6)&gt;=100,1,Scenarios!$F$11+(1-Scenarios!$F$11-Scenarios!$F$12)*MIN(100,$H22+$O22*AO$6)/100)*MIN(1,MIN(100,$H22+$O22*AO$6)/100))*(1-Scenarios!$F$13)-$Q22)</f>
        <v>237.39665592959994</v>
      </c>
      <c r="AP22" s="146">
        <f>MAX(0,$P22*(IF(MIN(100,$H22+$O22*AP$6)&gt;=100,1,Scenarios!$F$11+(1-Scenarios!$F$11-Scenarios!$F$12)*MIN(100,$H22+$O22*AP$6)/100)*MIN(1,MIN(100,$H22+$O22*AP$6)/100))*(1-Scenarios!$F$13)-$Q22)</f>
        <v>237.39665592959994</v>
      </c>
      <c r="AQ22" s="146">
        <f>MAX(0,$P22*(IF(MIN(100,$H22+$O22*AQ$6)&gt;=100,1,Scenarios!$F$11+(1-Scenarios!$F$11-Scenarios!$F$12)*MIN(100,$H22+$O22*AQ$6)/100)*MIN(1,MIN(100,$H22+$O22*AQ$6)/100))*(1-Scenarios!$F$13)-$Q22)</f>
        <v>237.39665592959994</v>
      </c>
      <c r="AR22" s="146">
        <f>MAX(0,$P22*(IF(MIN(100,$H22+$O22*AR$6)&gt;=100,1,Scenarios!$F$11+(1-Scenarios!$F$11-Scenarios!$F$12)*MIN(100,$H22+$O22*AR$6)/100)*MIN(1,MIN(100,$H22+$O22*AR$6)/100))*(1-Scenarios!$F$13)-$Q22)</f>
        <v>237.39665592959994</v>
      </c>
      <c r="AS22" s="146">
        <f>MAX(0,$P22*(IF(MIN(100,$H22+$O22*AS$6)&gt;=100,1,Scenarios!$F$11+(1-Scenarios!$F$11-Scenarios!$F$12)*MIN(100,$H22+$O22*AS$6)/100)*MIN(1,MIN(100,$H22+$O22*AS$6)/100))*(1-Scenarios!$F$13)-$Q22)</f>
        <v>237.39665592959994</v>
      </c>
      <c r="AT22" s="146">
        <f>MAX(0,$P22*(IF(MIN(100,$H22+$O22*AT$6)&gt;=100,1,Scenarios!$F$11+(1-Scenarios!$F$11-Scenarios!$F$12)*MIN(100,$H22+$O22*AT$6)/100)*MIN(1,MIN(100,$H22+$O22*AT$6)/100))*(1-Scenarios!$F$13)-$Q22)</f>
        <v>237.39665592959994</v>
      </c>
      <c r="AU22" s="146">
        <f>MAX(0,$P22*(IF(MIN(100,$H22+$O22*AU$6)&gt;=100,1,Scenarios!$F$11+(1-Scenarios!$F$11-Scenarios!$F$12)*MIN(100,$H22+$O22*AU$6)/100)*MIN(1,MIN(100,$H22+$O22*AU$6)/100))*(1-Scenarios!$F$13)-$Q22)</f>
        <v>237.39665592959994</v>
      </c>
      <c r="AV22" s="146">
        <f>MAX(0,$P22*(IF(MIN(100,$H22+$O22*AV$6)&gt;=100,1,Scenarios!$F$11+(1-Scenarios!$F$11-Scenarios!$F$12)*MIN(100,$H22+$O22*AV$6)/100)*MIN(1,MIN(100,$H22+$O22*AV$6)/100))*(1-Scenarios!$F$13)-$Q22)</f>
        <v>237.39665592959994</v>
      </c>
      <c r="AW22" s="193">
        <f>MAX(0,$P22*(IF(MIN(100,$H22+$O22*AW$6)&gt;=100,1,Scenarios!$F$11+(1-Scenarios!$F$11-Scenarios!$F$12)*MIN(100,$H22+$O22*AW$6)/100)*MIN(1,MIN(100,$H22+$O22*AW$6)/100))*(1-Scenarios!$F$13)-$Q22)</f>
        <v>237.39665592959994</v>
      </c>
      <c r="AX22" s="2"/>
      <c r="AY22" s="201">
        <f>MAX(1,(YEAR(IF(I22="",EDATE($C$3,Scenarios!$B$7),IF(I22&lt;$C$3,EDATE($C$3,Scenarios!$B$6),EDATE(I22,Scenarios!$B$5))))-YEAR($C$3))*12+MONTH(IF(I22="",EDATE($C$3,Scenarios!$B$7),IF(I22&lt;$C$3,EDATE($C$3,Scenarios!$B$6),EDATE(I22,Scenarios!$B$5))))-MONTH($C$3))</f>
        <v>6</v>
      </c>
      <c r="AZ22" s="178">
        <f>MIN(Scenarios!$B$14,(100-H22)/AY22)</f>
        <v>5</v>
      </c>
      <c r="BA22" s="146">
        <f>J22*(1-Scenarios!$B$8)+K22*G22/1000000*Scenarios!$B$9*(1+Scenarios!$B$10)</f>
        <v>351.15661299999999</v>
      </c>
      <c r="BB22" s="146">
        <f>J22*(IF(H22&gt;=100,1,Scenarios!$B$11+(1-Scenarios!$B$11-Scenarios!$B$12)*H22/100)*MIN(1,H22/100))*(1-Scenarios!$B$13)</f>
        <v>96.202126420400006</v>
      </c>
      <c r="BC22" s="146">
        <f>MAX(0,BA22*(IF(MIN(100,$H22+AZ22*5)&gt;=100,1,Scenarios!$B$11+(1-Scenarios!$B$11-Scenarios!$B$12)*MIN(100,$H22+AZ22*5)/100)*MIN(1,MIN(100,$H22+AZ22*5)/100))*(1-Scenarios!$B$13)-BB22)</f>
        <v>116.13349854537496</v>
      </c>
      <c r="BD22" s="146">
        <f>MAX(0,BA22*(IF(MIN(100,$H22+AZ22*15)&gt;=100,1,Scenarios!$B$11+(1-Scenarios!$B$11-Scenarios!$B$12)*MIN(100,$H22+AZ22*15)/100)*MIN(1,MIN(100,$H22+AZ22*15)/100))*(1-Scenarios!$B$13)-BB22)</f>
        <v>237.39665592959994</v>
      </c>
      <c r="BE22" s="146">
        <f>MAX(0,BA22*(IF(MIN(100,$H22+AZ22*27)&gt;=100,1,Scenarios!$B$11+(1-Scenarios!$B$11-Scenarios!$B$12)*MIN(100,$H22+AZ22*27)/100)*MIN(1,MIN(100,$H22+AZ22*27)/100))*(1-Scenarios!$B$13)-BB22)</f>
        <v>237.39665592959994</v>
      </c>
      <c r="BF22" s="146">
        <f>MAX(1,(YEAR(IF(I22="",EDATE($C$3,Scenarios!$C$7),IF(I22&lt;$C$3,EDATE($C$3,Scenarios!$C$6),EDATE(I22,Scenarios!$C$5))))-YEAR($C$3))*12+MONTH(IF(I22="",EDATE($C$3,Scenarios!$C$7),IF(I22&lt;$C$3,EDATE($C$3,Scenarios!$C$6),EDATE(I22,Scenarios!$C$5))))-MONTH($C$3))</f>
        <v>12</v>
      </c>
      <c r="BG22" s="178">
        <f>MIN(Scenarios!$C$14,(100-H22)/BF22)</f>
        <v>2.5</v>
      </c>
      <c r="BH22" s="146">
        <f>J22*(1-Scenarios!$C$8)+K22*G22/1000000*Scenarios!$C$9*(1+Scenarios!$C$10)</f>
        <v>326.83828800000003</v>
      </c>
      <c r="BI22" s="146">
        <f>J22*(IF(H22&gt;=100,1,Scenarios!$C$11+(1-Scenarios!$C$11-Scenarios!$C$12)*H22/100)*MIN(1,H22/100))*(1-Scenarios!$C$13)</f>
        <v>96.202126420400006</v>
      </c>
      <c r="BJ22" s="146">
        <f>MAX(0,BH22*(IF(MIN(100,$H22+BG22*5)&gt;=100,1,Scenarios!$C$11+(1-Scenarios!$C$11-Scenarios!$C$12)*MIN(100,$H22+BG22*5)/100)*MIN(1,MIN(100,$H22+BG22*5)/100))*(1-Scenarios!$C$13)-BI22)</f>
        <v>56.21278097050002</v>
      </c>
      <c r="BK22" s="146">
        <f>MAX(0,BH22*(IF(MIN(100,$H22+BG22*15)&gt;=100,1,Scenarios!$C$11+(1-Scenarios!$C$11-Scenarios!$C$12)*MIN(100,$H22+BG22*15)/100)*MIN(1,MIN(100,$H22+BG22*15)/100))*(1-Scenarios!$C$13)-BI22)</f>
        <v>214.29424717960001</v>
      </c>
      <c r="BL22" s="146">
        <f>MAX(0,BH22*(IF(MIN(100,$H22+BG22*27)&gt;=100,1,Scenarios!$C$11+(1-Scenarios!$C$11-Scenarios!$C$12)*MIN(100,$H22+BG22*27)/100)*MIN(1,MIN(100,$H22+BG22*27)/100))*(1-Scenarios!$C$13)-BI22)</f>
        <v>214.29424717960001</v>
      </c>
      <c r="BM22" s="146">
        <f>MAX(1,(YEAR(IF(I22="",EDATE($C$3,Scenarios!$D$7),IF(I22&lt;$C$3,EDATE($C$3,Scenarios!$D$6),EDATE(I22,Scenarios!$D$5))))-YEAR($C$3))*12+MONTH(IF(I22="",EDATE($C$3,Scenarios!$D$7),IF(I22&lt;$C$3,EDATE($C$3,Scenarios!$D$6),EDATE(I22,Scenarios!$D$5))))-MONTH($C$3))</f>
        <v>6</v>
      </c>
      <c r="BN22" s="178">
        <f>MIN(Scenarios!$D$14,(100-H22)/BM22)</f>
        <v>5</v>
      </c>
      <c r="BO22" s="146">
        <f>J22*(1-Scenarios!$D$8)+K22*G22/1000000*Scenarios!$D$9*(1+Scenarios!$D$10)</f>
        <v>285.10804229999997</v>
      </c>
      <c r="BP22" s="146">
        <f>J22*(IF(H22&gt;=100,1,Scenarios!$D$11+(1-Scenarios!$D$11-Scenarios!$D$12)*H22/100)*MIN(1,H22/100))*(1-Scenarios!$D$13)</f>
        <v>96.202126420400006</v>
      </c>
      <c r="BQ22" s="146">
        <f>MAX(0,BO22*(IF(MIN(100,$H22+BN22*5)&gt;=100,1,Scenarios!$D$11+(1-Scenarios!$D$11-Scenarios!$D$12)*MIN(100,$H22+BN22*5)/100)*MIN(1,MIN(100,$H22+BN22*5)/100))*(1-Scenarios!$D$13)-BP22)</f>
        <v>76.195579057352447</v>
      </c>
      <c r="BR22" s="146">
        <f>MAX(0,BO22*(IF(MIN(100,$H22+BN22*15)&gt;=100,1,Scenarios!$D$11+(1-Scenarios!$D$11-Scenarios!$D$12)*MIN(100,$H22+BN22*15)/100)*MIN(1,MIN(100,$H22+BN22*15)/100))*(1-Scenarios!$D$13)-BP22)</f>
        <v>174.65051376459991</v>
      </c>
      <c r="BS22" s="146">
        <f>MAX(0,BO22*(IF(MIN(100,$H22+BN22*27)&gt;=100,1,Scenarios!$D$11+(1-Scenarios!$D$11-Scenarios!$D$12)*MIN(100,$H22+BN22*27)/100)*MIN(1,MIN(100,$H22+BN22*27)/100))*(1-Scenarios!$D$13)-BP22)</f>
        <v>174.65051376459991</v>
      </c>
      <c r="BT22" s="146">
        <f>MAX(1,(YEAR(IF(I22="",EDATE($C$3,Scenarios!$E$7),IF(I22&lt;$C$3,EDATE($C$3,Scenarios!$E$6),EDATE(I22,Scenarios!$E$5))))-YEAR($C$3))*12+MONTH(IF(I22="",EDATE($C$3,Scenarios!$E$7),IF(I22&lt;$C$3,EDATE($C$3,Scenarios!$E$6),EDATE(I22,Scenarios!$E$5))))-MONTH($C$3))</f>
        <v>6</v>
      </c>
      <c r="BU22" s="178">
        <f>MIN(Scenarios!$E$14,(100-H22)/BT22)</f>
        <v>5</v>
      </c>
      <c r="BV22" s="146">
        <f>J22*(1-Scenarios!$E$8)+K22*G22/1000000*Scenarios!$E$9*(1+Scenarios!$E$10)</f>
        <v>326.30328484999995</v>
      </c>
      <c r="BW22" s="146">
        <f>J22*(IF(H22&gt;=100,1,Scenarios!$E$11+(1-Scenarios!$E$11-Scenarios!$E$12)*H22/100)*MIN(1,H22/100))*(1-Scenarios!$E$13)</f>
        <v>96.202126420400006</v>
      </c>
      <c r="BX22" s="146">
        <f>MAX(0,BV22*(IF(MIN(100,$H22+BU22*5)&gt;=100,1,Scenarios!$E$11+(1-Scenarios!$E$11-Scenarios!$E$12)*MIN(100,$H22+BU22*5)/100)*MIN(1,MIN(100,$H22+BU22*5)/100))*(1-Scenarios!$E$13)-BW22)</f>
        <v>101.10531234627369</v>
      </c>
      <c r="BY22" s="146">
        <f>MAX(0,BV22*(IF(MIN(100,$H22+BU22*15)&gt;=100,1,Scenarios!$E$11+(1-Scenarios!$E$11-Scenarios!$E$12)*MIN(100,$H22+BU22*15)/100)*MIN(1,MIN(100,$H22+BU22*15)/100))*(1-Scenarios!$E$13)-BW22)</f>
        <v>213.7859941870999</v>
      </c>
      <c r="BZ22" s="146">
        <f>MAX(0,BV22*(IF(MIN(100,$H22+BU22*27)&gt;=100,1,Scenarios!$E$11+(1-Scenarios!$E$11-Scenarios!$E$12)*MIN(100,$H22+BU22*27)/100)*MIN(1,MIN(100,$H22+BU22*27)/100))*(1-Scenarios!$E$13)-BW22)</f>
        <v>213.7859941870999</v>
      </c>
      <c r="CA22" s="206">
        <f t="shared" si="7"/>
        <v>116.13352054537496</v>
      </c>
    </row>
    <row r="23" spans="1:79" ht="17.25" customHeight="1" x14ac:dyDescent="0.2">
      <c r="A23" s="135" t="s">
        <v>147</v>
      </c>
      <c r="B23" s="145" t="s">
        <v>148</v>
      </c>
      <c r="C23" s="145" t="s">
        <v>62</v>
      </c>
      <c r="D23" s="147">
        <v>46264</v>
      </c>
      <c r="E23" s="136">
        <v>304</v>
      </c>
      <c r="F23" s="136">
        <v>224</v>
      </c>
      <c r="G23" s="136">
        <v>9185695</v>
      </c>
      <c r="H23" s="191">
        <v>35</v>
      </c>
      <c r="I23" s="150">
        <v>46203</v>
      </c>
      <c r="J23" s="146">
        <f t="shared" si="0"/>
        <v>2057.5956799999999</v>
      </c>
      <c r="K23" s="146">
        <f t="shared" si="1"/>
        <v>80</v>
      </c>
      <c r="L23" s="192">
        <f t="shared" si="2"/>
        <v>0.73684210526315785</v>
      </c>
      <c r="M23" s="147">
        <f>IF(I23="",EDATE($C$3,Scenarios!$F$7),IF(I23&lt;$C$3,EDATE($C$3,Scenarios!$F$6),EDATE(I23,Scenarios!$F$5)))</f>
        <v>46456</v>
      </c>
      <c r="N23" s="146">
        <f t="shared" si="3"/>
        <v>6</v>
      </c>
      <c r="O23" s="178">
        <f>MIN(Scenarios!$F$14,(100-H23)/N23)</f>
        <v>8</v>
      </c>
      <c r="P23" s="146">
        <f>J23*(1-Scenarios!$F$8)+K23*G23/1000000*Scenarios!$F$9*(1+Scenarios!$F$10)</f>
        <v>2498.5090399999999</v>
      </c>
      <c r="Q23" s="146">
        <f>J23*(IF(H23&gt;=100,1,Scenarios!$F$11+(1-Scenarios!$F$11-Scenarios!$F$12)*H23/100)*MIN(1,H23/100))*(1-Scenarios!$F$13)</f>
        <v>212.086674716</v>
      </c>
      <c r="R23" s="146">
        <f t="shared" si="4"/>
        <v>767.01655533400003</v>
      </c>
      <c r="S23" s="146">
        <f t="shared" si="5"/>
        <v>2161.4969132840001</v>
      </c>
      <c r="T23" s="146">
        <f t="shared" si="6"/>
        <v>2161.4969132840001</v>
      </c>
      <c r="U23" s="193">
        <f>J23*IF(H23&gt;=100,1,Scenarios!$F$11+(1-Scenarios!$F$11-Scenarios!$F$12)*H23/100)</f>
        <v>637.85466080000003</v>
      </c>
      <c r="V23" s="201">
        <f>MAX(0,$P23*(IF(MIN(100,$H23+$O23*V$6)&gt;=100,1,Scenarios!$F$11+(1-Scenarios!$F$11-Scenarios!$F$12)*MIN(100,$H23+$O23*V$6)/100)*MIN(1,MIN(100,$H23+$O23*V$6)/100))*(1-Scenarios!$F$13)-$Q23)</f>
        <v>153.30278282072004</v>
      </c>
      <c r="W23" s="146">
        <f>MAX(0,$P23*(IF(MIN(100,$H23+$O23*W$6)&gt;=100,1,Scenarios!$F$11+(1-Scenarios!$F$11-Scenarios!$F$12)*MIN(100,$H23+$O23*W$6)/100)*MIN(1,MIN(100,$H23+$O23*W$6)/100))*(1-Scenarios!$F$13)-$Q23)</f>
        <v>279.38754301527996</v>
      </c>
      <c r="X23" s="146">
        <f>MAX(0,$P23*(IF(MIN(100,$H23+$O23*X$6)&gt;=100,1,Scenarios!$F$11+(1-Scenarios!$F$11-Scenarios!$F$12)*MIN(100,$H23+$O23*X$6)/100)*MIN(1,MIN(100,$H23+$O23*X$6)/100))*(1-Scenarios!$F$13)-$Q23)</f>
        <v>423.70142516567995</v>
      </c>
      <c r="Y23" s="146">
        <f>MAX(0,$P23*(IF(MIN(100,$H23+$O23*Y$6)&gt;=100,1,Scenarios!$F$11+(1-Scenarios!$F$11-Scenarios!$F$12)*MIN(100,$H23+$O23*Y$6)/100)*MIN(1,MIN(100,$H23+$O23*Y$6)/100))*(1-Scenarios!$F$13)-$Q23)</f>
        <v>586.2444292719199</v>
      </c>
      <c r="Z23" s="146">
        <f>MAX(0,$P23*(IF(MIN(100,$H23+$O23*Z$6)&gt;=100,1,Scenarios!$F$11+(1-Scenarios!$F$11-Scenarios!$F$12)*MIN(100,$H23+$O23*Z$6)/100)*MIN(1,MIN(100,$H23+$O23*Z$6)/100))*(1-Scenarios!$F$13)-$Q23)</f>
        <v>767.01655533400003</v>
      </c>
      <c r="AA23" s="146">
        <f>MAX(0,$P23*(IF(MIN(100,$H23+$O23*AA$6)&gt;=100,1,Scenarios!$F$11+(1-Scenarios!$F$11-Scenarios!$F$12)*MIN(100,$H23+$O23*AA$6)/100)*MIN(1,MIN(100,$H23+$O23*AA$6)/100))*(1-Scenarios!$F$13)-$Q23)</f>
        <v>966.01780335192007</v>
      </c>
      <c r="AB23" s="146">
        <f>MAX(0,$P23*(IF(MIN(100,$H23+$O23*AB$6)&gt;=100,1,Scenarios!$F$11+(1-Scenarios!$F$11-Scenarios!$F$12)*MIN(100,$H23+$O23*AB$6)/100)*MIN(1,MIN(100,$H23+$O23*AB$6)/100))*(1-Scenarios!$F$13)-$Q23)</f>
        <v>1183.24817332568</v>
      </c>
      <c r="AC23" s="146">
        <f>MAX(0,$P23*(IF(MIN(100,$H23+$O23*AC$6)&gt;=100,1,Scenarios!$F$11+(1-Scenarios!$F$11-Scenarios!$F$12)*MIN(100,$H23+$O23*AC$6)/100)*MIN(1,MIN(100,$H23+$O23*AC$6)/100))*(1-Scenarios!$F$13)-$Q23)</f>
        <v>1418.7076652552798</v>
      </c>
      <c r="AD23" s="146">
        <f>MAX(0,$P23*(IF(MIN(100,$H23+$O23*AD$6)&gt;=100,1,Scenarios!$F$11+(1-Scenarios!$F$11-Scenarios!$F$12)*MIN(100,$H23+$O23*AD$6)/100)*MIN(1,MIN(100,$H23+$O23*AD$6)/100))*(1-Scenarios!$F$13)-$Q23)</f>
        <v>2161.4969132840001</v>
      </c>
      <c r="AE23" s="146">
        <f>MAX(0,$P23*(IF(MIN(100,$H23+$O23*AE$6)&gt;=100,1,Scenarios!$F$11+(1-Scenarios!$F$11-Scenarios!$F$12)*MIN(100,$H23+$O23*AE$6)/100)*MIN(1,MIN(100,$H23+$O23*AE$6)/100))*(1-Scenarios!$F$13)-$Q23)</f>
        <v>2161.4969132840001</v>
      </c>
      <c r="AF23" s="146">
        <f>MAX(0,$P23*(IF(MIN(100,$H23+$O23*AF$6)&gt;=100,1,Scenarios!$F$11+(1-Scenarios!$F$11-Scenarios!$F$12)*MIN(100,$H23+$O23*AF$6)/100)*MIN(1,MIN(100,$H23+$O23*AF$6)/100))*(1-Scenarios!$F$13)-$Q23)</f>
        <v>2161.4969132840001</v>
      </c>
      <c r="AG23" s="146">
        <f>MAX(0,$P23*(IF(MIN(100,$H23+$O23*AG$6)&gt;=100,1,Scenarios!$F$11+(1-Scenarios!$F$11-Scenarios!$F$12)*MIN(100,$H23+$O23*AG$6)/100)*MIN(1,MIN(100,$H23+$O23*AG$6)/100))*(1-Scenarios!$F$13)-$Q23)</f>
        <v>2161.4969132840001</v>
      </c>
      <c r="AH23" s="146">
        <f>MAX(0,$P23*(IF(MIN(100,$H23+$O23*AH$6)&gt;=100,1,Scenarios!$F$11+(1-Scenarios!$F$11-Scenarios!$F$12)*MIN(100,$H23+$O23*AH$6)/100)*MIN(1,MIN(100,$H23+$O23*AH$6)/100))*(1-Scenarios!$F$13)-$Q23)</f>
        <v>2161.4969132840001</v>
      </c>
      <c r="AI23" s="146">
        <f>MAX(0,$P23*(IF(MIN(100,$H23+$O23*AI$6)&gt;=100,1,Scenarios!$F$11+(1-Scenarios!$F$11-Scenarios!$F$12)*MIN(100,$H23+$O23*AI$6)/100)*MIN(1,MIN(100,$H23+$O23*AI$6)/100))*(1-Scenarios!$F$13)-$Q23)</f>
        <v>2161.4969132840001</v>
      </c>
      <c r="AJ23" s="146">
        <f>MAX(0,$P23*(IF(MIN(100,$H23+$O23*AJ$6)&gt;=100,1,Scenarios!$F$11+(1-Scenarios!$F$11-Scenarios!$F$12)*MIN(100,$H23+$O23*AJ$6)/100)*MIN(1,MIN(100,$H23+$O23*AJ$6)/100))*(1-Scenarios!$F$13)-$Q23)</f>
        <v>2161.4969132840001</v>
      </c>
      <c r="AK23" s="146">
        <f>MAX(0,$P23*(IF(MIN(100,$H23+$O23*AK$6)&gt;=100,1,Scenarios!$F$11+(1-Scenarios!$F$11-Scenarios!$F$12)*MIN(100,$H23+$O23*AK$6)/100)*MIN(1,MIN(100,$H23+$O23*AK$6)/100))*(1-Scenarios!$F$13)-$Q23)</f>
        <v>2161.4969132840001</v>
      </c>
      <c r="AL23" s="146">
        <f>MAX(0,$P23*(IF(MIN(100,$H23+$O23*AL$6)&gt;=100,1,Scenarios!$F$11+(1-Scenarios!$F$11-Scenarios!$F$12)*MIN(100,$H23+$O23*AL$6)/100)*MIN(1,MIN(100,$H23+$O23*AL$6)/100))*(1-Scenarios!$F$13)-$Q23)</f>
        <v>2161.4969132840001</v>
      </c>
      <c r="AM23" s="146">
        <f>MAX(0,$P23*(IF(MIN(100,$H23+$O23*AM$6)&gt;=100,1,Scenarios!$F$11+(1-Scenarios!$F$11-Scenarios!$F$12)*MIN(100,$H23+$O23*AM$6)/100)*MIN(1,MIN(100,$H23+$O23*AM$6)/100))*(1-Scenarios!$F$13)-$Q23)</f>
        <v>2161.4969132840001</v>
      </c>
      <c r="AN23" s="146">
        <f>MAX(0,$P23*(IF(MIN(100,$H23+$O23*AN$6)&gt;=100,1,Scenarios!$F$11+(1-Scenarios!$F$11-Scenarios!$F$12)*MIN(100,$H23+$O23*AN$6)/100)*MIN(1,MIN(100,$H23+$O23*AN$6)/100))*(1-Scenarios!$F$13)-$Q23)</f>
        <v>2161.4969132840001</v>
      </c>
      <c r="AO23" s="146">
        <f>MAX(0,$P23*(IF(MIN(100,$H23+$O23*AO$6)&gt;=100,1,Scenarios!$F$11+(1-Scenarios!$F$11-Scenarios!$F$12)*MIN(100,$H23+$O23*AO$6)/100)*MIN(1,MIN(100,$H23+$O23*AO$6)/100))*(1-Scenarios!$F$13)-$Q23)</f>
        <v>2161.4969132840001</v>
      </c>
      <c r="AP23" s="146">
        <f>MAX(0,$P23*(IF(MIN(100,$H23+$O23*AP$6)&gt;=100,1,Scenarios!$F$11+(1-Scenarios!$F$11-Scenarios!$F$12)*MIN(100,$H23+$O23*AP$6)/100)*MIN(1,MIN(100,$H23+$O23*AP$6)/100))*(1-Scenarios!$F$13)-$Q23)</f>
        <v>2161.4969132840001</v>
      </c>
      <c r="AQ23" s="146">
        <f>MAX(0,$P23*(IF(MIN(100,$H23+$O23*AQ$6)&gt;=100,1,Scenarios!$F$11+(1-Scenarios!$F$11-Scenarios!$F$12)*MIN(100,$H23+$O23*AQ$6)/100)*MIN(1,MIN(100,$H23+$O23*AQ$6)/100))*(1-Scenarios!$F$13)-$Q23)</f>
        <v>2161.4969132840001</v>
      </c>
      <c r="AR23" s="146">
        <f>MAX(0,$P23*(IF(MIN(100,$H23+$O23*AR$6)&gt;=100,1,Scenarios!$F$11+(1-Scenarios!$F$11-Scenarios!$F$12)*MIN(100,$H23+$O23*AR$6)/100)*MIN(1,MIN(100,$H23+$O23*AR$6)/100))*(1-Scenarios!$F$13)-$Q23)</f>
        <v>2161.4969132840001</v>
      </c>
      <c r="AS23" s="146">
        <f>MAX(0,$P23*(IF(MIN(100,$H23+$O23*AS$6)&gt;=100,1,Scenarios!$F$11+(1-Scenarios!$F$11-Scenarios!$F$12)*MIN(100,$H23+$O23*AS$6)/100)*MIN(1,MIN(100,$H23+$O23*AS$6)/100))*(1-Scenarios!$F$13)-$Q23)</f>
        <v>2161.4969132840001</v>
      </c>
      <c r="AT23" s="146">
        <f>MAX(0,$P23*(IF(MIN(100,$H23+$O23*AT$6)&gt;=100,1,Scenarios!$F$11+(1-Scenarios!$F$11-Scenarios!$F$12)*MIN(100,$H23+$O23*AT$6)/100)*MIN(1,MIN(100,$H23+$O23*AT$6)/100))*(1-Scenarios!$F$13)-$Q23)</f>
        <v>2161.4969132840001</v>
      </c>
      <c r="AU23" s="146">
        <f>MAX(0,$P23*(IF(MIN(100,$H23+$O23*AU$6)&gt;=100,1,Scenarios!$F$11+(1-Scenarios!$F$11-Scenarios!$F$12)*MIN(100,$H23+$O23*AU$6)/100)*MIN(1,MIN(100,$H23+$O23*AU$6)/100))*(1-Scenarios!$F$13)-$Q23)</f>
        <v>2161.4969132840001</v>
      </c>
      <c r="AV23" s="146">
        <f>MAX(0,$P23*(IF(MIN(100,$H23+$O23*AV$6)&gt;=100,1,Scenarios!$F$11+(1-Scenarios!$F$11-Scenarios!$F$12)*MIN(100,$H23+$O23*AV$6)/100)*MIN(1,MIN(100,$H23+$O23*AV$6)/100))*(1-Scenarios!$F$13)-$Q23)</f>
        <v>2161.4969132840001</v>
      </c>
      <c r="AW23" s="193">
        <f>MAX(0,$P23*(IF(MIN(100,$H23+$O23*AW$6)&gt;=100,1,Scenarios!$F$11+(1-Scenarios!$F$11-Scenarios!$F$12)*MIN(100,$H23+$O23*AW$6)/100)*MIN(1,MIN(100,$H23+$O23*AW$6)/100))*(1-Scenarios!$F$13)-$Q23)</f>
        <v>2161.4969132840001</v>
      </c>
      <c r="AX23" s="2"/>
      <c r="AY23" s="201">
        <f>MAX(1,(YEAR(IF(I23="",EDATE($C$3,Scenarios!$B$7),IF(I23&lt;$C$3,EDATE($C$3,Scenarios!$B$6),EDATE(I23,Scenarios!$B$5))))-YEAR($C$3))*12+MONTH(IF(I23="",EDATE($C$3,Scenarios!$B$7),IF(I23&lt;$C$3,EDATE($C$3,Scenarios!$B$6),EDATE(I23,Scenarios!$B$5))))-MONTH($C$3))</f>
        <v>6</v>
      </c>
      <c r="AZ23" s="178">
        <f>MIN(Scenarios!$B$14,(100-H23)/AY23)</f>
        <v>8</v>
      </c>
      <c r="BA23" s="146">
        <f>J23*(1-Scenarios!$B$8)+K23*G23/1000000*Scenarios!$B$9*(1+Scenarios!$B$10)</f>
        <v>2498.5090399999999</v>
      </c>
      <c r="BB23" s="146">
        <f>J23*(IF(H23&gt;=100,1,Scenarios!$B$11+(1-Scenarios!$B$11-Scenarios!$B$12)*H23/100)*MIN(1,H23/100))*(1-Scenarios!$B$13)</f>
        <v>212.086674716</v>
      </c>
      <c r="BC23" s="146">
        <f>MAX(0,BA23*(IF(MIN(100,$H23+AZ23*5)&gt;=100,1,Scenarios!$B$11+(1-Scenarios!$B$11-Scenarios!$B$12)*MIN(100,$H23+AZ23*5)/100)*MIN(1,MIN(100,$H23+AZ23*5)/100))*(1-Scenarios!$B$13)-BB23)</f>
        <v>767.01655533400003</v>
      </c>
      <c r="BD23" s="146">
        <f>MAX(0,BA23*(IF(MIN(100,$H23+AZ23*15)&gt;=100,1,Scenarios!$B$11+(1-Scenarios!$B$11-Scenarios!$B$12)*MIN(100,$H23+AZ23*15)/100)*MIN(1,MIN(100,$H23+AZ23*15)/100))*(1-Scenarios!$B$13)-BB23)</f>
        <v>2161.4969132840001</v>
      </c>
      <c r="BE23" s="146">
        <f>MAX(0,BA23*(IF(MIN(100,$H23+AZ23*27)&gt;=100,1,Scenarios!$B$11+(1-Scenarios!$B$11-Scenarios!$B$12)*MIN(100,$H23+AZ23*27)/100)*MIN(1,MIN(100,$H23+AZ23*27)/100))*(1-Scenarios!$B$13)-BB23)</f>
        <v>2161.4969132840001</v>
      </c>
      <c r="BF23" s="146">
        <f>MAX(1,(YEAR(IF(I23="",EDATE($C$3,Scenarios!$C$7),IF(I23&lt;$C$3,EDATE($C$3,Scenarios!$C$6),EDATE(I23,Scenarios!$C$5))))-YEAR($C$3))*12+MONTH(IF(I23="",EDATE($C$3,Scenarios!$C$7),IF(I23&lt;$C$3,EDATE($C$3,Scenarios!$C$6),EDATE(I23,Scenarios!$C$5))))-MONTH($C$3))</f>
        <v>12</v>
      </c>
      <c r="BG23" s="178">
        <f>MIN(Scenarios!$C$14,(100-H23)/BF23)</f>
        <v>5.416666666666667</v>
      </c>
      <c r="BH23" s="146">
        <f>J23*(1-Scenarios!$C$8)+K23*G23/1000000*Scenarios!$C$9*(1+Scenarios!$C$10)</f>
        <v>2351.5379199999998</v>
      </c>
      <c r="BI23" s="146">
        <f>J23*(IF(H23&gt;=100,1,Scenarios!$C$11+(1-Scenarios!$C$11-Scenarios!$C$12)*H23/100)*MIN(1,H23/100))*(1-Scenarios!$C$13)</f>
        <v>212.086674716</v>
      </c>
      <c r="BJ23" s="146">
        <f>MAX(0,BH23*(IF(MIN(100,$H23+BG23*5)&gt;=100,1,Scenarios!$C$11+(1-Scenarios!$C$11-Scenarios!$C$12)*MIN(100,$H23+BG23*5)/100)*MIN(1,MIN(100,$H23+BG23*5)/100))*(1-Scenarios!$C$13)-BI23)</f>
        <v>443.2318294179999</v>
      </c>
      <c r="BK23" s="146">
        <f>MAX(0,BH23*(IF(MIN(100,$H23+BG23*15)&gt;=100,1,Scenarios!$C$11+(1-Scenarios!$C$11-Scenarios!$C$12)*MIN(100,$H23+BG23*15)/100)*MIN(1,MIN(100,$H23+BG23*15)/100))*(1-Scenarios!$C$13)-BI23)</f>
        <v>2021.8743492839997</v>
      </c>
      <c r="BL23" s="146">
        <f>MAX(0,BH23*(IF(MIN(100,$H23+BG23*27)&gt;=100,1,Scenarios!$C$11+(1-Scenarios!$C$11-Scenarios!$C$12)*MIN(100,$H23+BG23*27)/100)*MIN(1,MIN(100,$H23+BG23*27)/100))*(1-Scenarios!$C$13)-BI23)</f>
        <v>2021.8743492839997</v>
      </c>
      <c r="BM23" s="146">
        <f>MAX(1,(YEAR(IF(I23="",EDATE($C$3,Scenarios!$D$7),IF(I23&lt;$C$3,EDATE($C$3,Scenarios!$D$6),EDATE(I23,Scenarios!$D$5))))-YEAR($C$3))*12+MONTH(IF(I23="",EDATE($C$3,Scenarios!$D$7),IF(I23&lt;$C$3,EDATE($C$3,Scenarios!$D$6),EDATE(I23,Scenarios!$D$5))))-MONTH($C$3))</f>
        <v>6</v>
      </c>
      <c r="BN23" s="178">
        <f>MIN(Scenarios!$D$14,(100-H23)/BM23)</f>
        <v>8</v>
      </c>
      <c r="BO23" s="146">
        <f>J23*(1-Scenarios!$D$8)+K23*G23/1000000*Scenarios!$D$9*(1+Scenarios!$D$10)</f>
        <v>2042.8985679999998</v>
      </c>
      <c r="BP23" s="146">
        <f>J23*(IF(H23&gt;=100,1,Scenarios!$D$11+(1-Scenarios!$D$11-Scenarios!$D$12)*H23/100)*MIN(1,H23/100))*(1-Scenarios!$D$13)</f>
        <v>212.086674716</v>
      </c>
      <c r="BQ23" s="146">
        <f>MAX(0,BO23*(IF(MIN(100,$H23+BN23*5)&gt;=100,1,Scenarios!$D$11+(1-Scenarios!$D$11-Scenarios!$D$12)*MIN(100,$H23+BN23*5)/100)*MIN(1,MIN(100,$H23+BN23*5)/100))*(1-Scenarios!$D$13)-BP23)</f>
        <v>588.47420161900004</v>
      </c>
      <c r="BR23" s="146">
        <f>MAX(0,BO23*(IF(MIN(100,$H23+BN23*15)&gt;=100,1,Scenarios!$D$11+(1-Scenarios!$D$11-Scenarios!$D$12)*MIN(100,$H23+BN23*15)/100)*MIN(1,MIN(100,$H23+BN23*15)/100))*(1-Scenarios!$D$13)-BP23)</f>
        <v>1728.6669648839998</v>
      </c>
      <c r="BS23" s="146">
        <f>MAX(0,BO23*(IF(MIN(100,$H23+BN23*27)&gt;=100,1,Scenarios!$D$11+(1-Scenarios!$D$11-Scenarios!$D$12)*MIN(100,$H23+BN23*27)/100)*MIN(1,MIN(100,$H23+BN23*27)/100))*(1-Scenarios!$D$13)-BP23)</f>
        <v>1728.6669648839998</v>
      </c>
      <c r="BT23" s="146">
        <f>MAX(1,(YEAR(IF(I23="",EDATE($C$3,Scenarios!$E$7),IF(I23&lt;$C$3,EDATE($C$3,Scenarios!$E$6),EDATE(I23,Scenarios!$E$5))))-YEAR($C$3))*12+MONTH(IF(I23="",EDATE($C$3,Scenarios!$E$7),IF(I23&lt;$C$3,EDATE($C$3,Scenarios!$E$6),EDATE(I23,Scenarios!$E$5))))-MONTH($C$3))</f>
        <v>6</v>
      </c>
      <c r="BU23" s="178">
        <f>MIN(Scenarios!$E$14,(100-H23)/BT23)</f>
        <v>8</v>
      </c>
      <c r="BV23" s="146">
        <f>J23*(1-Scenarios!$E$8)+K23*G23/1000000*Scenarios!$E$9*(1+Scenarios!$E$10)</f>
        <v>2329.4922519999996</v>
      </c>
      <c r="BW23" s="146">
        <f>J23*(IF(H23&gt;=100,1,Scenarios!$E$11+(1-Scenarios!$E$11-Scenarios!$E$12)*H23/100)*MIN(1,H23/100))*(1-Scenarios!$E$13)</f>
        <v>212.086674716</v>
      </c>
      <c r="BX23" s="146">
        <f>MAX(0,BV23*(IF(MIN(100,$H23+BU23*5)&gt;=100,1,Scenarios!$E$11+(1-Scenarios!$E$11-Scenarios!$E$12)*MIN(100,$H23+BU23*5)/100)*MIN(1,MIN(100,$H23+BU23*5)/100))*(1-Scenarios!$E$13)-BW23)</f>
        <v>700.78310153649977</v>
      </c>
      <c r="BY23" s="146">
        <f>MAX(0,BV23*(IF(MIN(100,$H23+BU23*15)&gt;=100,1,Scenarios!$E$11+(1-Scenarios!$E$11-Scenarios!$E$12)*MIN(100,$H23+BU23*15)/100)*MIN(1,MIN(100,$H23+BU23*15)/100))*(1-Scenarios!$E$13)-BW23)</f>
        <v>2000.9309646839995</v>
      </c>
      <c r="BZ23" s="146">
        <f>MAX(0,BV23*(IF(MIN(100,$H23+BU23*27)&gt;=100,1,Scenarios!$E$11+(1-Scenarios!$E$11-Scenarios!$E$12)*MIN(100,$H23+BU23*27)/100)*MIN(1,MIN(100,$H23+BU23*27)/100))*(1-Scenarios!$E$13)-BW23)</f>
        <v>2000.9309646839995</v>
      </c>
      <c r="CA23" s="206">
        <f t="shared" si="7"/>
        <v>767.01657833400009</v>
      </c>
    </row>
    <row r="24" spans="1:79" ht="17.25" customHeight="1" x14ac:dyDescent="0.2">
      <c r="A24" s="135" t="s">
        <v>149</v>
      </c>
      <c r="B24" s="145" t="s">
        <v>150</v>
      </c>
      <c r="C24" s="145" t="s">
        <v>62</v>
      </c>
      <c r="D24" s="147">
        <v>46264</v>
      </c>
      <c r="E24" s="136">
        <v>728</v>
      </c>
      <c r="F24" s="136">
        <v>656</v>
      </c>
      <c r="G24" s="136">
        <v>1461221</v>
      </c>
      <c r="H24" s="191">
        <v>31</v>
      </c>
      <c r="I24" s="150">
        <v>46265</v>
      </c>
      <c r="J24" s="146">
        <f t="shared" si="0"/>
        <v>958.56097599999998</v>
      </c>
      <c r="K24" s="146">
        <f t="shared" si="1"/>
        <v>72</v>
      </c>
      <c r="L24" s="192">
        <f t="shared" si="2"/>
        <v>0.90109890109890112</v>
      </c>
      <c r="M24" s="147">
        <f>IF(I24="",EDATE($C$3,Scenarios!$F$7),IF(I24&lt;$C$3,EDATE($C$3,Scenarios!$F$6),EDATE(I24,Scenarios!$F$5)))</f>
        <v>46456</v>
      </c>
      <c r="N24" s="146">
        <f t="shared" si="3"/>
        <v>6</v>
      </c>
      <c r="O24" s="178">
        <f>MIN(Scenarios!$F$14,(100-H24)/N24)</f>
        <v>8</v>
      </c>
      <c r="P24" s="146">
        <f>J24*(1-Scenarios!$F$8)+K24*G24/1000000*Scenarios!$F$9*(1+Scenarios!$F$10)</f>
        <v>1021.6857232</v>
      </c>
      <c r="Q24" s="146">
        <f>J24*(IF(H24&gt;=100,1,Scenarios!$F$11+(1-Scenarios!$F$11-Scenarios!$F$12)*H24/100)*MIN(1,H24/100))*(1-Scenarios!$F$13)</f>
        <v>80.736715325551998</v>
      </c>
      <c r="R24" s="146">
        <f t="shared" si="4"/>
        <v>281.74409735140642</v>
      </c>
      <c r="S24" s="146">
        <f t="shared" si="5"/>
        <v>889.86472171444791</v>
      </c>
      <c r="T24" s="146">
        <f t="shared" si="6"/>
        <v>889.86472171444791</v>
      </c>
      <c r="U24" s="193">
        <f>J24*IF(H24&gt;=100,1,Scenarios!$F$11+(1-Scenarios!$F$11-Scenarios!$F$12)*H24/100)</f>
        <v>274.14843913600004</v>
      </c>
      <c r="V24" s="201">
        <f>MAX(0,$P24*(IF(MIN(100,$H24+$O24*V$6)&gt;=100,1,Scenarios!$F$11+(1-Scenarios!$F$11-Scenarios!$F$12)*MIN(100,$H24+$O24*V$6)/100)*MIN(1,MIN(100,$H24+$O24*V$6)/100))*(1-Scenarios!$F$13)-$Q24)</f>
        <v>45.693827863278415</v>
      </c>
      <c r="W24" s="146">
        <f>MAX(0,$P24*(IF(MIN(100,$H24+$O24*W$6)&gt;=100,1,Scenarios!$F$11+(1-Scenarios!$F$11-Scenarios!$F$12)*MIN(100,$H24+$O24*W$6)/100)*MIN(1,MIN(100,$H24+$O24*W$6)/100))*(1-Scenarios!$F$13)-$Q24)</f>
        <v>93.525066680609612</v>
      </c>
      <c r="X24" s="146">
        <f>MAX(0,$P24*(IF(MIN(100,$H24+$O24*X$6)&gt;=100,1,Scenarios!$F$11+(1-Scenarios!$F$11-Scenarios!$F$12)*MIN(100,$H24+$O24*X$6)/100)*MIN(1,MIN(100,$H24+$O24*X$6)/100))*(1-Scenarios!$F$13)-$Q24)</f>
        <v>148.81052453440805</v>
      </c>
      <c r="Y24" s="146">
        <f>MAX(0,$P24*(IF(MIN(100,$H24+$O24*Y$6)&gt;=100,1,Scenarios!$F$11+(1-Scenarios!$F$11-Scenarios!$F$12)*MIN(100,$H24+$O24*Y$6)/100)*MIN(1,MIN(100,$H24+$O24*Y$6)/100))*(1-Scenarios!$F$13)-$Q24)</f>
        <v>211.55020142467367</v>
      </c>
      <c r="Z24" s="146">
        <f>MAX(0,$P24*(IF(MIN(100,$H24+$O24*Z$6)&gt;=100,1,Scenarios!$F$11+(1-Scenarios!$F$11-Scenarios!$F$12)*MIN(100,$H24+$O24*Z$6)/100)*MIN(1,MIN(100,$H24+$O24*Z$6)/100))*(1-Scenarios!$F$13)-$Q24)</f>
        <v>281.74409735140642</v>
      </c>
      <c r="AA24" s="146">
        <f>MAX(0,$P24*(IF(MIN(100,$H24+$O24*AA$6)&gt;=100,1,Scenarios!$F$11+(1-Scenarios!$F$11-Scenarios!$F$12)*MIN(100,$H24+$O24*AA$6)/100)*MIN(1,MIN(100,$H24+$O24*AA$6)/100))*(1-Scenarios!$F$13)-$Q24)</f>
        <v>359.39221231460647</v>
      </c>
      <c r="AB24" s="146">
        <f>MAX(0,$P24*(IF(MIN(100,$H24+$O24*AB$6)&gt;=100,1,Scenarios!$F$11+(1-Scenarios!$F$11-Scenarios!$F$12)*MIN(100,$H24+$O24*AB$6)/100)*MIN(1,MIN(100,$H24+$O24*AB$6)/100))*(1-Scenarios!$F$13)-$Q24)</f>
        <v>444.49454631427369</v>
      </c>
      <c r="AC24" s="146">
        <f>MAX(0,$P24*(IF(MIN(100,$H24+$O24*AC$6)&gt;=100,1,Scenarios!$F$11+(1-Scenarios!$F$11-Scenarios!$F$12)*MIN(100,$H24+$O24*AC$6)/100)*MIN(1,MIN(100,$H24+$O24*AC$6)/100))*(1-Scenarios!$F$13)-$Q24)</f>
        <v>537.05109935040787</v>
      </c>
      <c r="AD24" s="146">
        <f>MAX(0,$P24*(IF(MIN(100,$H24+$O24*AD$6)&gt;=100,1,Scenarios!$F$11+(1-Scenarios!$F$11-Scenarios!$F$12)*MIN(100,$H24+$O24*AD$6)/100)*MIN(1,MIN(100,$H24+$O24*AD$6)/100))*(1-Scenarios!$F$13)-$Q24)</f>
        <v>889.86472171444791</v>
      </c>
      <c r="AE24" s="146">
        <f>MAX(0,$P24*(IF(MIN(100,$H24+$O24*AE$6)&gt;=100,1,Scenarios!$F$11+(1-Scenarios!$F$11-Scenarios!$F$12)*MIN(100,$H24+$O24*AE$6)/100)*MIN(1,MIN(100,$H24+$O24*AE$6)/100))*(1-Scenarios!$F$13)-$Q24)</f>
        <v>889.86472171444791</v>
      </c>
      <c r="AF24" s="146">
        <f>MAX(0,$P24*(IF(MIN(100,$H24+$O24*AF$6)&gt;=100,1,Scenarios!$F$11+(1-Scenarios!$F$11-Scenarios!$F$12)*MIN(100,$H24+$O24*AF$6)/100)*MIN(1,MIN(100,$H24+$O24*AF$6)/100))*(1-Scenarios!$F$13)-$Q24)</f>
        <v>889.86472171444791</v>
      </c>
      <c r="AG24" s="146">
        <f>MAX(0,$P24*(IF(MIN(100,$H24+$O24*AG$6)&gt;=100,1,Scenarios!$F$11+(1-Scenarios!$F$11-Scenarios!$F$12)*MIN(100,$H24+$O24*AG$6)/100)*MIN(1,MIN(100,$H24+$O24*AG$6)/100))*(1-Scenarios!$F$13)-$Q24)</f>
        <v>889.86472171444791</v>
      </c>
      <c r="AH24" s="146">
        <f>MAX(0,$P24*(IF(MIN(100,$H24+$O24*AH$6)&gt;=100,1,Scenarios!$F$11+(1-Scenarios!$F$11-Scenarios!$F$12)*MIN(100,$H24+$O24*AH$6)/100)*MIN(1,MIN(100,$H24+$O24*AH$6)/100))*(1-Scenarios!$F$13)-$Q24)</f>
        <v>889.86472171444791</v>
      </c>
      <c r="AI24" s="146">
        <f>MAX(0,$P24*(IF(MIN(100,$H24+$O24*AI$6)&gt;=100,1,Scenarios!$F$11+(1-Scenarios!$F$11-Scenarios!$F$12)*MIN(100,$H24+$O24*AI$6)/100)*MIN(1,MIN(100,$H24+$O24*AI$6)/100))*(1-Scenarios!$F$13)-$Q24)</f>
        <v>889.86472171444791</v>
      </c>
      <c r="AJ24" s="146">
        <f>MAX(0,$P24*(IF(MIN(100,$H24+$O24*AJ$6)&gt;=100,1,Scenarios!$F$11+(1-Scenarios!$F$11-Scenarios!$F$12)*MIN(100,$H24+$O24*AJ$6)/100)*MIN(1,MIN(100,$H24+$O24*AJ$6)/100))*(1-Scenarios!$F$13)-$Q24)</f>
        <v>889.86472171444791</v>
      </c>
      <c r="AK24" s="146">
        <f>MAX(0,$P24*(IF(MIN(100,$H24+$O24*AK$6)&gt;=100,1,Scenarios!$F$11+(1-Scenarios!$F$11-Scenarios!$F$12)*MIN(100,$H24+$O24*AK$6)/100)*MIN(1,MIN(100,$H24+$O24*AK$6)/100))*(1-Scenarios!$F$13)-$Q24)</f>
        <v>889.86472171444791</v>
      </c>
      <c r="AL24" s="146">
        <f>MAX(0,$P24*(IF(MIN(100,$H24+$O24*AL$6)&gt;=100,1,Scenarios!$F$11+(1-Scenarios!$F$11-Scenarios!$F$12)*MIN(100,$H24+$O24*AL$6)/100)*MIN(1,MIN(100,$H24+$O24*AL$6)/100))*(1-Scenarios!$F$13)-$Q24)</f>
        <v>889.86472171444791</v>
      </c>
      <c r="AM24" s="146">
        <f>MAX(0,$P24*(IF(MIN(100,$H24+$O24*AM$6)&gt;=100,1,Scenarios!$F$11+(1-Scenarios!$F$11-Scenarios!$F$12)*MIN(100,$H24+$O24*AM$6)/100)*MIN(1,MIN(100,$H24+$O24*AM$6)/100))*(1-Scenarios!$F$13)-$Q24)</f>
        <v>889.86472171444791</v>
      </c>
      <c r="AN24" s="146">
        <f>MAX(0,$P24*(IF(MIN(100,$H24+$O24*AN$6)&gt;=100,1,Scenarios!$F$11+(1-Scenarios!$F$11-Scenarios!$F$12)*MIN(100,$H24+$O24*AN$6)/100)*MIN(1,MIN(100,$H24+$O24*AN$6)/100))*(1-Scenarios!$F$13)-$Q24)</f>
        <v>889.86472171444791</v>
      </c>
      <c r="AO24" s="146">
        <f>MAX(0,$P24*(IF(MIN(100,$H24+$O24*AO$6)&gt;=100,1,Scenarios!$F$11+(1-Scenarios!$F$11-Scenarios!$F$12)*MIN(100,$H24+$O24*AO$6)/100)*MIN(1,MIN(100,$H24+$O24*AO$6)/100))*(1-Scenarios!$F$13)-$Q24)</f>
        <v>889.86472171444791</v>
      </c>
      <c r="AP24" s="146">
        <f>MAX(0,$P24*(IF(MIN(100,$H24+$O24*AP$6)&gt;=100,1,Scenarios!$F$11+(1-Scenarios!$F$11-Scenarios!$F$12)*MIN(100,$H24+$O24*AP$6)/100)*MIN(1,MIN(100,$H24+$O24*AP$6)/100))*(1-Scenarios!$F$13)-$Q24)</f>
        <v>889.86472171444791</v>
      </c>
      <c r="AQ24" s="146">
        <f>MAX(0,$P24*(IF(MIN(100,$H24+$O24*AQ$6)&gt;=100,1,Scenarios!$F$11+(1-Scenarios!$F$11-Scenarios!$F$12)*MIN(100,$H24+$O24*AQ$6)/100)*MIN(1,MIN(100,$H24+$O24*AQ$6)/100))*(1-Scenarios!$F$13)-$Q24)</f>
        <v>889.86472171444791</v>
      </c>
      <c r="AR24" s="146">
        <f>MAX(0,$P24*(IF(MIN(100,$H24+$O24*AR$6)&gt;=100,1,Scenarios!$F$11+(1-Scenarios!$F$11-Scenarios!$F$12)*MIN(100,$H24+$O24*AR$6)/100)*MIN(1,MIN(100,$H24+$O24*AR$6)/100))*(1-Scenarios!$F$13)-$Q24)</f>
        <v>889.86472171444791</v>
      </c>
      <c r="AS24" s="146">
        <f>MAX(0,$P24*(IF(MIN(100,$H24+$O24*AS$6)&gt;=100,1,Scenarios!$F$11+(1-Scenarios!$F$11-Scenarios!$F$12)*MIN(100,$H24+$O24*AS$6)/100)*MIN(1,MIN(100,$H24+$O24*AS$6)/100))*(1-Scenarios!$F$13)-$Q24)</f>
        <v>889.86472171444791</v>
      </c>
      <c r="AT24" s="146">
        <f>MAX(0,$P24*(IF(MIN(100,$H24+$O24*AT$6)&gt;=100,1,Scenarios!$F$11+(1-Scenarios!$F$11-Scenarios!$F$12)*MIN(100,$H24+$O24*AT$6)/100)*MIN(1,MIN(100,$H24+$O24*AT$6)/100))*(1-Scenarios!$F$13)-$Q24)</f>
        <v>889.86472171444791</v>
      </c>
      <c r="AU24" s="146">
        <f>MAX(0,$P24*(IF(MIN(100,$H24+$O24*AU$6)&gt;=100,1,Scenarios!$F$11+(1-Scenarios!$F$11-Scenarios!$F$12)*MIN(100,$H24+$O24*AU$6)/100)*MIN(1,MIN(100,$H24+$O24*AU$6)/100))*(1-Scenarios!$F$13)-$Q24)</f>
        <v>889.86472171444791</v>
      </c>
      <c r="AV24" s="146">
        <f>MAX(0,$P24*(IF(MIN(100,$H24+$O24*AV$6)&gt;=100,1,Scenarios!$F$11+(1-Scenarios!$F$11-Scenarios!$F$12)*MIN(100,$H24+$O24*AV$6)/100)*MIN(1,MIN(100,$H24+$O24*AV$6)/100))*(1-Scenarios!$F$13)-$Q24)</f>
        <v>889.86472171444791</v>
      </c>
      <c r="AW24" s="193">
        <f>MAX(0,$P24*(IF(MIN(100,$H24+$O24*AW$6)&gt;=100,1,Scenarios!$F$11+(1-Scenarios!$F$11-Scenarios!$F$12)*MIN(100,$H24+$O24*AW$6)/100)*MIN(1,MIN(100,$H24+$O24*AW$6)/100))*(1-Scenarios!$F$13)-$Q24)</f>
        <v>889.86472171444791</v>
      </c>
      <c r="AX24" s="2"/>
      <c r="AY24" s="201">
        <f>MAX(1,(YEAR(IF(I24="",EDATE($C$3,Scenarios!$B$7),IF(I24&lt;$C$3,EDATE($C$3,Scenarios!$B$6),EDATE(I24,Scenarios!$B$5))))-YEAR($C$3))*12+MONTH(IF(I24="",EDATE($C$3,Scenarios!$B$7),IF(I24&lt;$C$3,EDATE($C$3,Scenarios!$B$6),EDATE(I24,Scenarios!$B$5))))-MONTH($C$3))</f>
        <v>6</v>
      </c>
      <c r="AZ24" s="178">
        <f>MIN(Scenarios!$B$14,(100-H24)/AY24)</f>
        <v>8</v>
      </c>
      <c r="BA24" s="146">
        <f>J24*(1-Scenarios!$B$8)+K24*G24/1000000*Scenarios!$B$9*(1+Scenarios!$B$10)</f>
        <v>1021.6857232</v>
      </c>
      <c r="BB24" s="146">
        <f>J24*(IF(H24&gt;=100,1,Scenarios!$B$11+(1-Scenarios!$B$11-Scenarios!$B$12)*H24/100)*MIN(1,H24/100))*(1-Scenarios!$B$13)</f>
        <v>80.736715325551998</v>
      </c>
      <c r="BC24" s="146">
        <f>MAX(0,BA24*(IF(MIN(100,$H24+AZ24*5)&gt;=100,1,Scenarios!$B$11+(1-Scenarios!$B$11-Scenarios!$B$12)*MIN(100,$H24+AZ24*5)/100)*MIN(1,MIN(100,$H24+AZ24*5)/100))*(1-Scenarios!$B$13)-BB24)</f>
        <v>281.74409735140642</v>
      </c>
      <c r="BD24" s="146">
        <f>MAX(0,BA24*(IF(MIN(100,$H24+AZ24*15)&gt;=100,1,Scenarios!$B$11+(1-Scenarios!$B$11-Scenarios!$B$12)*MIN(100,$H24+AZ24*15)/100)*MIN(1,MIN(100,$H24+AZ24*15)/100))*(1-Scenarios!$B$13)-BB24)</f>
        <v>889.86472171444791</v>
      </c>
      <c r="BE24" s="146">
        <f>MAX(0,BA24*(IF(MIN(100,$H24+AZ24*27)&gt;=100,1,Scenarios!$B$11+(1-Scenarios!$B$11-Scenarios!$B$12)*MIN(100,$H24+AZ24*27)/100)*MIN(1,MIN(100,$H24+AZ24*27)/100))*(1-Scenarios!$B$13)-BB24)</f>
        <v>889.86472171444791</v>
      </c>
      <c r="BF24" s="146">
        <f>MAX(1,(YEAR(IF(I24="",EDATE($C$3,Scenarios!$C$7),IF(I24&lt;$C$3,EDATE($C$3,Scenarios!$C$6),EDATE(I24,Scenarios!$C$5))))-YEAR($C$3))*12+MONTH(IF(I24="",EDATE($C$3,Scenarios!$C$7),IF(I24&lt;$C$3,EDATE($C$3,Scenarios!$C$6),EDATE(I24,Scenarios!$C$5))))-MONTH($C$3))</f>
        <v>12</v>
      </c>
      <c r="BG24" s="178">
        <f>MIN(Scenarios!$C$14,(100-H24)/BF24)</f>
        <v>5.75</v>
      </c>
      <c r="BH24" s="146">
        <f>J24*(1-Scenarios!$C$8)+K24*G24/1000000*Scenarios!$C$9*(1+Scenarios!$C$10)</f>
        <v>1000.6441407999999</v>
      </c>
      <c r="BI24" s="146">
        <f>J24*(IF(H24&gt;=100,1,Scenarios!$C$11+(1-Scenarios!$C$11-Scenarios!$C$12)*H24/100)*MIN(1,H24/100))*(1-Scenarios!$C$13)</f>
        <v>80.736715325551998</v>
      </c>
      <c r="BJ24" s="146">
        <f>MAX(0,BH24*(IF(MIN(100,$H24+BG24*5)&gt;=100,1,Scenarios!$C$11+(1-Scenarios!$C$11-Scenarios!$C$12)*MIN(100,$H24+BG24*5)/100)*MIN(1,MIN(100,$H24+BG24*5)/100))*(1-Scenarios!$C$13)-BI24)</f>
        <v>179.68698872275166</v>
      </c>
      <c r="BK24" s="146">
        <f>MAX(0,BH24*(IF(MIN(100,$H24+BG24*15)&gt;=100,1,Scenarios!$C$11+(1-Scenarios!$C$11-Scenarios!$C$12)*MIN(100,$H24+BG24*15)/100)*MIN(1,MIN(100,$H24+BG24*15)/100))*(1-Scenarios!$C$13)-BI24)</f>
        <v>869.8752184344479</v>
      </c>
      <c r="BL24" s="146">
        <f>MAX(0,BH24*(IF(MIN(100,$H24+BG24*27)&gt;=100,1,Scenarios!$C$11+(1-Scenarios!$C$11-Scenarios!$C$12)*MIN(100,$H24+BG24*27)/100)*MIN(1,MIN(100,$H24+BG24*27)/100))*(1-Scenarios!$C$13)-BI24)</f>
        <v>869.8752184344479</v>
      </c>
      <c r="BM24" s="146">
        <f>MAX(1,(YEAR(IF(I24="",EDATE($C$3,Scenarios!$D$7),IF(I24&lt;$C$3,EDATE($C$3,Scenarios!$D$6),EDATE(I24,Scenarios!$D$5))))-YEAR($C$3))*12+MONTH(IF(I24="",EDATE($C$3,Scenarios!$D$7),IF(I24&lt;$C$3,EDATE($C$3,Scenarios!$D$6),EDATE(I24,Scenarios!$D$5))))-MONTH($C$3))</f>
        <v>6</v>
      </c>
      <c r="BN24" s="178">
        <f>MIN(Scenarios!$D$14,(100-H24)/BM24)</f>
        <v>8</v>
      </c>
      <c r="BO24" s="146">
        <f>J24*(1-Scenarios!$D$8)+K24*G24/1000000*Scenarios!$D$9*(1+Scenarios!$D$10)</f>
        <v>856.85999439999989</v>
      </c>
      <c r="BP24" s="146">
        <f>J24*(IF(H24&gt;=100,1,Scenarios!$D$11+(1-Scenarios!$D$11-Scenarios!$D$12)*H24/100)*MIN(1,H24/100))*(1-Scenarios!$D$13)</f>
        <v>80.736715325551998</v>
      </c>
      <c r="BQ24" s="146">
        <f>MAX(0,BO24*(IF(MIN(100,$H24+BN24*5)&gt;=100,1,Scenarios!$D$11+(1-Scenarios!$D$11-Scenarios!$D$12)*MIN(100,$H24+BN24*5)/100)*MIN(1,MIN(100,$H24+BN24*5)/100))*(1-Scenarios!$D$13)-BP24)</f>
        <v>223.26607150764085</v>
      </c>
      <c r="BR24" s="146">
        <f>MAX(0,BO24*(IF(MIN(100,$H24+BN24*15)&gt;=100,1,Scenarios!$D$11+(1-Scenarios!$D$11-Scenarios!$D$12)*MIN(100,$H24+BN24*15)/100)*MIN(1,MIN(100,$H24+BN24*15)/100))*(1-Scenarios!$D$13)-BP24)</f>
        <v>733.28027935444777</v>
      </c>
      <c r="BS24" s="146">
        <f>MAX(0,BO24*(IF(MIN(100,$H24+BN24*27)&gt;=100,1,Scenarios!$D$11+(1-Scenarios!$D$11-Scenarios!$D$12)*MIN(100,$H24+BN24*27)/100)*MIN(1,MIN(100,$H24+BN24*27)/100))*(1-Scenarios!$D$13)-BP24)</f>
        <v>733.28027935444777</v>
      </c>
      <c r="BT24" s="146">
        <f>MAX(1,(YEAR(IF(I24="",EDATE($C$3,Scenarios!$E$7),IF(I24&lt;$C$3,EDATE($C$3,Scenarios!$E$6),EDATE(I24,Scenarios!$E$5))))-YEAR($C$3))*12+MONTH(IF(I24="",EDATE($C$3,Scenarios!$E$7),IF(I24&lt;$C$3,EDATE($C$3,Scenarios!$E$6),EDATE(I24,Scenarios!$E$5))))-MONTH($C$3))</f>
        <v>6</v>
      </c>
      <c r="BU24" s="178">
        <f>MIN(Scenarios!$E$14,(100-H24)/BT24)</f>
        <v>8</v>
      </c>
      <c r="BV24" s="146">
        <f>J24*(1-Scenarios!$E$8)+K24*G24/1000000*Scenarios!$E$9*(1+Scenarios!$E$10)</f>
        <v>964.28896231999988</v>
      </c>
      <c r="BW24" s="146">
        <f>J24*(IF(H24&gt;=100,1,Scenarios!$E$11+(1-Scenarios!$E$11-Scenarios!$E$12)*H24/100)*MIN(1,H24/100))*(1-Scenarios!$E$13)</f>
        <v>80.736715325551998</v>
      </c>
      <c r="BX24" s="146">
        <f>MAX(0,BV24*(IF(MIN(100,$H24+BU24*5)&gt;=100,1,Scenarios!$E$11+(1-Scenarios!$E$11-Scenarios!$E$12)*MIN(100,$H24+BU24*5)/100)*MIN(1,MIN(100,$H24+BU24*5)/100))*(1-Scenarios!$E$13)-BW24)</f>
        <v>261.38047274907382</v>
      </c>
      <c r="BY24" s="146">
        <f>MAX(0,BV24*(IF(MIN(100,$H24+BU24*15)&gt;=100,1,Scenarios!$E$11+(1-Scenarios!$E$11-Scenarios!$E$12)*MIN(100,$H24+BU24*15)/100)*MIN(1,MIN(100,$H24+BU24*15)/100))*(1-Scenarios!$E$13)-BW24)</f>
        <v>835.33779887844776</v>
      </c>
      <c r="BZ24" s="146">
        <f>MAX(0,BV24*(IF(MIN(100,$H24+BU24*27)&gt;=100,1,Scenarios!$E$11+(1-Scenarios!$E$11-Scenarios!$E$12)*MIN(100,$H24+BU24*27)/100)*MIN(1,MIN(100,$H24+BU24*27)/100))*(1-Scenarios!$E$13)-BW24)</f>
        <v>835.33779887844776</v>
      </c>
      <c r="CA24" s="206">
        <f t="shared" si="7"/>
        <v>281.74412135140642</v>
      </c>
    </row>
    <row r="25" spans="1:79" ht="17.25" customHeight="1" x14ac:dyDescent="0.2">
      <c r="A25" s="135" t="s">
        <v>151</v>
      </c>
      <c r="B25" s="145" t="s">
        <v>152</v>
      </c>
      <c r="C25" s="145" t="s">
        <v>62</v>
      </c>
      <c r="D25" s="147">
        <v>46264</v>
      </c>
      <c r="E25" s="136">
        <v>1584</v>
      </c>
      <c r="F25" s="136">
        <v>1310</v>
      </c>
      <c r="G25" s="136">
        <v>2047146</v>
      </c>
      <c r="H25" s="191">
        <v>21</v>
      </c>
      <c r="I25" s="150">
        <v>46326</v>
      </c>
      <c r="J25" s="146">
        <f t="shared" si="0"/>
        <v>2681.7612600000002</v>
      </c>
      <c r="K25" s="146">
        <f t="shared" si="1"/>
        <v>274</v>
      </c>
      <c r="L25" s="192">
        <f t="shared" si="2"/>
        <v>0.82702020202020199</v>
      </c>
      <c r="M25" s="147">
        <f>IF(I25="",EDATE($C$3,Scenarios!$F$7),IF(I25&lt;$C$3,EDATE($C$3,Scenarios!$F$6),EDATE(I25,Scenarios!$F$5)))</f>
        <v>46326</v>
      </c>
      <c r="N25" s="146">
        <f t="shared" si="3"/>
        <v>1</v>
      </c>
      <c r="O25" s="178">
        <f>MIN(Scenarios!$F$14,(100-H25)/N25)</f>
        <v>8</v>
      </c>
      <c r="P25" s="146">
        <f>J25*(1-Scenarios!$F$8)+K25*G25/1000000*Scenarios!$F$9*(1+Scenarios!$F$10)</f>
        <v>3018.3120624000003</v>
      </c>
      <c r="Q25" s="146">
        <f>J25*(IF(H25&gt;=100,1,Scenarios!$F$11+(1-Scenarios!$F$11-Scenarios!$F$12)*H25/100)*MIN(1,H25/100))*(1-Scenarios!$F$13)</f>
        <v>120.91256992962002</v>
      </c>
      <c r="R25" s="146">
        <f t="shared" si="4"/>
        <v>694.17354758531314</v>
      </c>
      <c r="S25" s="146">
        <f t="shared" si="5"/>
        <v>2746.4838893503802</v>
      </c>
      <c r="T25" s="146">
        <f t="shared" si="6"/>
        <v>2746.4838893503802</v>
      </c>
      <c r="U25" s="193">
        <f>J25*IF(H25&gt;=100,1,Scenarios!$F$11+(1-Scenarios!$F$11-Scenarios!$F$12)*H25/100)</f>
        <v>606.07804476000001</v>
      </c>
      <c r="V25" s="201">
        <f>MAX(0,$P25*(IF(MIN(100,$H25+$O25*V$6)&gt;=100,1,Scenarios!$F$11+(1-Scenarios!$F$11-Scenarios!$F$12)*MIN(100,$H25+$O25*V$6)/100)*MIN(1,MIN(100,$H25+$O25*V$6)/100))*(1-Scenarios!$F$13)-$Q25)</f>
        <v>106.93075272476878</v>
      </c>
      <c r="W25" s="146">
        <f>MAX(0,$P25*(IF(MIN(100,$H25+$O25*W$6)&gt;=100,1,Scenarios!$F$11+(1-Scenarios!$F$11-Scenarios!$F$12)*MIN(100,$H25+$O25*W$6)/100)*MIN(1,MIN(100,$H25+$O25*W$6)/100))*(1-Scenarios!$F$13)-$Q25)</f>
        <v>220.70904422899923</v>
      </c>
      <c r="X25" s="146">
        <f>MAX(0,$P25*(IF(MIN(100,$H25+$O25*X$6)&gt;=100,1,Scenarios!$F$11+(1-Scenarios!$F$11-Scenarios!$F$12)*MIN(100,$H25+$O25*X$6)/100)*MIN(1,MIN(100,$H25+$O25*X$6)/100))*(1-Scenarios!$F$13)-$Q25)</f>
        <v>356.50894054050008</v>
      </c>
      <c r="Y25" s="146">
        <f>MAX(0,$P25*(IF(MIN(100,$H25+$O25*Y$6)&gt;=100,1,Scenarios!$F$11+(1-Scenarios!$F$11-Scenarios!$F$12)*MIN(100,$H25+$O25*Y$6)/100)*MIN(1,MIN(100,$H25+$O25*Y$6)/100))*(1-Scenarios!$F$13)-$Q25)</f>
        <v>514.3304416592714</v>
      </c>
      <c r="Z25" s="146">
        <f>MAX(0,$P25*(IF(MIN(100,$H25+$O25*Z$6)&gt;=100,1,Scenarios!$F$11+(1-Scenarios!$F$11-Scenarios!$F$12)*MIN(100,$H25+$O25*Z$6)/100)*MIN(1,MIN(100,$H25+$O25*Z$6)/100))*(1-Scenarios!$F$13)-$Q25)</f>
        <v>694.17354758531314</v>
      </c>
      <c r="AA25" s="146">
        <f>MAX(0,$P25*(IF(MIN(100,$H25+$O25*AA$6)&gt;=100,1,Scenarios!$F$11+(1-Scenarios!$F$11-Scenarios!$F$12)*MIN(100,$H25+$O25*AA$6)/100)*MIN(1,MIN(100,$H25+$O25*AA$6)/100))*(1-Scenarios!$F$13)-$Q25)</f>
        <v>896.03825831862468</v>
      </c>
      <c r="AB25" s="146">
        <f>MAX(0,$P25*(IF(MIN(100,$H25+$O25*AB$6)&gt;=100,1,Scenarios!$F$11+(1-Scenarios!$F$11-Scenarios!$F$12)*MIN(100,$H25+$O25*AB$6)/100)*MIN(1,MIN(100,$H25+$O25*AB$6)/100))*(1-Scenarios!$F$13)-$Q25)</f>
        <v>1119.9245738592074</v>
      </c>
      <c r="AC25" s="146">
        <f>MAX(0,$P25*(IF(MIN(100,$H25+$O25*AC$6)&gt;=100,1,Scenarios!$F$11+(1-Scenarios!$F$11-Scenarios!$F$12)*MIN(100,$H25+$O25*AC$6)/100)*MIN(1,MIN(100,$H25+$O25*AC$6)/100))*(1-Scenarios!$F$13)-$Q25)</f>
        <v>1365.8324942070603</v>
      </c>
      <c r="AD25" s="146">
        <f>MAX(0,$P25*(IF(MIN(100,$H25+$O25*AD$6)&gt;=100,1,Scenarios!$F$11+(1-Scenarios!$F$11-Scenarios!$F$12)*MIN(100,$H25+$O25*AD$6)/100)*MIN(1,MIN(100,$H25+$O25*AD$6)/100))*(1-Scenarios!$F$13)-$Q25)</f>
        <v>1633.7620193621838</v>
      </c>
      <c r="AE25" s="146">
        <f>MAX(0,$P25*(IF(MIN(100,$H25+$O25*AE$6)&gt;=100,1,Scenarios!$F$11+(1-Scenarios!$F$11-Scenarios!$F$12)*MIN(100,$H25+$O25*AE$6)/100)*MIN(1,MIN(100,$H25+$O25*AE$6)/100))*(1-Scenarios!$F$13)-$Q25)</f>
        <v>2746.4838893503802</v>
      </c>
      <c r="AF25" s="146">
        <f>MAX(0,$P25*(IF(MIN(100,$H25+$O25*AF$6)&gt;=100,1,Scenarios!$F$11+(1-Scenarios!$F$11-Scenarios!$F$12)*MIN(100,$H25+$O25*AF$6)/100)*MIN(1,MIN(100,$H25+$O25*AF$6)/100))*(1-Scenarios!$F$13)-$Q25)</f>
        <v>2746.4838893503802</v>
      </c>
      <c r="AG25" s="146">
        <f>MAX(0,$P25*(IF(MIN(100,$H25+$O25*AG$6)&gt;=100,1,Scenarios!$F$11+(1-Scenarios!$F$11-Scenarios!$F$12)*MIN(100,$H25+$O25*AG$6)/100)*MIN(1,MIN(100,$H25+$O25*AG$6)/100))*(1-Scenarios!$F$13)-$Q25)</f>
        <v>2746.4838893503802</v>
      </c>
      <c r="AH25" s="146">
        <f>MAX(0,$P25*(IF(MIN(100,$H25+$O25*AH$6)&gt;=100,1,Scenarios!$F$11+(1-Scenarios!$F$11-Scenarios!$F$12)*MIN(100,$H25+$O25*AH$6)/100)*MIN(1,MIN(100,$H25+$O25*AH$6)/100))*(1-Scenarios!$F$13)-$Q25)</f>
        <v>2746.4838893503802</v>
      </c>
      <c r="AI25" s="146">
        <f>MAX(0,$P25*(IF(MIN(100,$H25+$O25*AI$6)&gt;=100,1,Scenarios!$F$11+(1-Scenarios!$F$11-Scenarios!$F$12)*MIN(100,$H25+$O25*AI$6)/100)*MIN(1,MIN(100,$H25+$O25*AI$6)/100))*(1-Scenarios!$F$13)-$Q25)</f>
        <v>2746.4838893503802</v>
      </c>
      <c r="AJ25" s="146">
        <f>MAX(0,$P25*(IF(MIN(100,$H25+$O25*AJ$6)&gt;=100,1,Scenarios!$F$11+(1-Scenarios!$F$11-Scenarios!$F$12)*MIN(100,$H25+$O25*AJ$6)/100)*MIN(1,MIN(100,$H25+$O25*AJ$6)/100))*(1-Scenarios!$F$13)-$Q25)</f>
        <v>2746.4838893503802</v>
      </c>
      <c r="AK25" s="146">
        <f>MAX(0,$P25*(IF(MIN(100,$H25+$O25*AK$6)&gt;=100,1,Scenarios!$F$11+(1-Scenarios!$F$11-Scenarios!$F$12)*MIN(100,$H25+$O25*AK$6)/100)*MIN(1,MIN(100,$H25+$O25*AK$6)/100))*(1-Scenarios!$F$13)-$Q25)</f>
        <v>2746.4838893503802</v>
      </c>
      <c r="AL25" s="146">
        <f>MAX(0,$P25*(IF(MIN(100,$H25+$O25*AL$6)&gt;=100,1,Scenarios!$F$11+(1-Scenarios!$F$11-Scenarios!$F$12)*MIN(100,$H25+$O25*AL$6)/100)*MIN(1,MIN(100,$H25+$O25*AL$6)/100))*(1-Scenarios!$F$13)-$Q25)</f>
        <v>2746.4838893503802</v>
      </c>
      <c r="AM25" s="146">
        <f>MAX(0,$P25*(IF(MIN(100,$H25+$O25*AM$6)&gt;=100,1,Scenarios!$F$11+(1-Scenarios!$F$11-Scenarios!$F$12)*MIN(100,$H25+$O25*AM$6)/100)*MIN(1,MIN(100,$H25+$O25*AM$6)/100))*(1-Scenarios!$F$13)-$Q25)</f>
        <v>2746.4838893503802</v>
      </c>
      <c r="AN25" s="146">
        <f>MAX(0,$P25*(IF(MIN(100,$H25+$O25*AN$6)&gt;=100,1,Scenarios!$F$11+(1-Scenarios!$F$11-Scenarios!$F$12)*MIN(100,$H25+$O25*AN$6)/100)*MIN(1,MIN(100,$H25+$O25*AN$6)/100))*(1-Scenarios!$F$13)-$Q25)</f>
        <v>2746.4838893503802</v>
      </c>
      <c r="AO25" s="146">
        <f>MAX(0,$P25*(IF(MIN(100,$H25+$O25*AO$6)&gt;=100,1,Scenarios!$F$11+(1-Scenarios!$F$11-Scenarios!$F$12)*MIN(100,$H25+$O25*AO$6)/100)*MIN(1,MIN(100,$H25+$O25*AO$6)/100))*(1-Scenarios!$F$13)-$Q25)</f>
        <v>2746.4838893503802</v>
      </c>
      <c r="AP25" s="146">
        <f>MAX(0,$P25*(IF(MIN(100,$H25+$O25*AP$6)&gt;=100,1,Scenarios!$F$11+(1-Scenarios!$F$11-Scenarios!$F$12)*MIN(100,$H25+$O25*AP$6)/100)*MIN(1,MIN(100,$H25+$O25*AP$6)/100))*(1-Scenarios!$F$13)-$Q25)</f>
        <v>2746.4838893503802</v>
      </c>
      <c r="AQ25" s="146">
        <f>MAX(0,$P25*(IF(MIN(100,$H25+$O25*AQ$6)&gt;=100,1,Scenarios!$F$11+(1-Scenarios!$F$11-Scenarios!$F$12)*MIN(100,$H25+$O25*AQ$6)/100)*MIN(1,MIN(100,$H25+$O25*AQ$6)/100))*(1-Scenarios!$F$13)-$Q25)</f>
        <v>2746.4838893503802</v>
      </c>
      <c r="AR25" s="146">
        <f>MAX(0,$P25*(IF(MIN(100,$H25+$O25*AR$6)&gt;=100,1,Scenarios!$F$11+(1-Scenarios!$F$11-Scenarios!$F$12)*MIN(100,$H25+$O25*AR$6)/100)*MIN(1,MIN(100,$H25+$O25*AR$6)/100))*(1-Scenarios!$F$13)-$Q25)</f>
        <v>2746.4838893503802</v>
      </c>
      <c r="AS25" s="146">
        <f>MAX(0,$P25*(IF(MIN(100,$H25+$O25*AS$6)&gt;=100,1,Scenarios!$F$11+(1-Scenarios!$F$11-Scenarios!$F$12)*MIN(100,$H25+$O25*AS$6)/100)*MIN(1,MIN(100,$H25+$O25*AS$6)/100))*(1-Scenarios!$F$13)-$Q25)</f>
        <v>2746.4838893503802</v>
      </c>
      <c r="AT25" s="146">
        <f>MAX(0,$P25*(IF(MIN(100,$H25+$O25*AT$6)&gt;=100,1,Scenarios!$F$11+(1-Scenarios!$F$11-Scenarios!$F$12)*MIN(100,$H25+$O25*AT$6)/100)*MIN(1,MIN(100,$H25+$O25*AT$6)/100))*(1-Scenarios!$F$13)-$Q25)</f>
        <v>2746.4838893503802</v>
      </c>
      <c r="AU25" s="146">
        <f>MAX(0,$P25*(IF(MIN(100,$H25+$O25*AU$6)&gt;=100,1,Scenarios!$F$11+(1-Scenarios!$F$11-Scenarios!$F$12)*MIN(100,$H25+$O25*AU$6)/100)*MIN(1,MIN(100,$H25+$O25*AU$6)/100))*(1-Scenarios!$F$13)-$Q25)</f>
        <v>2746.4838893503802</v>
      </c>
      <c r="AV25" s="146">
        <f>MAX(0,$P25*(IF(MIN(100,$H25+$O25*AV$6)&gt;=100,1,Scenarios!$F$11+(1-Scenarios!$F$11-Scenarios!$F$12)*MIN(100,$H25+$O25*AV$6)/100)*MIN(1,MIN(100,$H25+$O25*AV$6)/100))*(1-Scenarios!$F$13)-$Q25)</f>
        <v>2746.4838893503802</v>
      </c>
      <c r="AW25" s="193">
        <f>MAX(0,$P25*(IF(MIN(100,$H25+$O25*AW$6)&gt;=100,1,Scenarios!$F$11+(1-Scenarios!$F$11-Scenarios!$F$12)*MIN(100,$H25+$O25*AW$6)/100)*MIN(1,MIN(100,$H25+$O25*AW$6)/100))*(1-Scenarios!$F$13)-$Q25)</f>
        <v>2746.4838893503802</v>
      </c>
      <c r="AX25" s="2"/>
      <c r="AY25" s="201">
        <f>MAX(1,(YEAR(IF(I25="",EDATE($C$3,Scenarios!$B$7),IF(I25&lt;$C$3,EDATE($C$3,Scenarios!$B$6),EDATE(I25,Scenarios!$B$5))))-YEAR($C$3))*12+MONTH(IF(I25="",EDATE($C$3,Scenarios!$B$7),IF(I25&lt;$C$3,EDATE($C$3,Scenarios!$B$6),EDATE(I25,Scenarios!$B$5))))-MONTH($C$3))</f>
        <v>1</v>
      </c>
      <c r="AZ25" s="178">
        <f>MIN(Scenarios!$B$14,(100-H25)/AY25)</f>
        <v>8</v>
      </c>
      <c r="BA25" s="146">
        <f>J25*(1-Scenarios!$B$8)+K25*G25/1000000*Scenarios!$B$9*(1+Scenarios!$B$10)</f>
        <v>3018.3120624000003</v>
      </c>
      <c r="BB25" s="146">
        <f>J25*(IF(H25&gt;=100,1,Scenarios!$B$11+(1-Scenarios!$B$11-Scenarios!$B$12)*H25/100)*MIN(1,H25/100))*(1-Scenarios!$B$13)</f>
        <v>120.91256992962002</v>
      </c>
      <c r="BC25" s="146">
        <f>MAX(0,BA25*(IF(MIN(100,$H25+AZ25*5)&gt;=100,1,Scenarios!$B$11+(1-Scenarios!$B$11-Scenarios!$B$12)*MIN(100,$H25+AZ25*5)/100)*MIN(1,MIN(100,$H25+AZ25*5)/100))*(1-Scenarios!$B$13)-BB25)</f>
        <v>694.17354758531314</v>
      </c>
      <c r="BD25" s="146">
        <f>MAX(0,BA25*(IF(MIN(100,$H25+AZ25*15)&gt;=100,1,Scenarios!$B$11+(1-Scenarios!$B$11-Scenarios!$B$12)*MIN(100,$H25+AZ25*15)/100)*MIN(1,MIN(100,$H25+AZ25*15)/100))*(1-Scenarios!$B$13)-BB25)</f>
        <v>2746.4838893503802</v>
      </c>
      <c r="BE25" s="146">
        <f>MAX(0,BA25*(IF(MIN(100,$H25+AZ25*27)&gt;=100,1,Scenarios!$B$11+(1-Scenarios!$B$11-Scenarios!$B$12)*MIN(100,$H25+AZ25*27)/100)*MIN(1,MIN(100,$H25+AZ25*27)/100))*(1-Scenarios!$B$13)-BB25)</f>
        <v>2746.4838893503802</v>
      </c>
      <c r="BF25" s="146">
        <f>MAX(1,(YEAR(IF(I25="",EDATE($C$3,Scenarios!$C$7),IF(I25&lt;$C$3,EDATE($C$3,Scenarios!$C$6),EDATE(I25,Scenarios!$C$5))))-YEAR($C$3))*12+MONTH(IF(I25="",EDATE($C$3,Scenarios!$C$7),IF(I25&lt;$C$3,EDATE($C$3,Scenarios!$C$6),EDATE(I25,Scenarios!$C$5))))-MONTH($C$3))</f>
        <v>7</v>
      </c>
      <c r="BG25" s="178">
        <f>MIN(Scenarios!$C$14,(100-H25)/BF25)</f>
        <v>6</v>
      </c>
      <c r="BH25" s="146">
        <f>J25*(1-Scenarios!$C$8)+K25*G25/1000000*Scenarios!$C$9*(1+Scenarios!$C$10)</f>
        <v>2906.1284616000003</v>
      </c>
      <c r="BI25" s="146">
        <f>J25*(IF(H25&gt;=100,1,Scenarios!$C$11+(1-Scenarios!$C$11-Scenarios!$C$12)*H25/100)*MIN(1,H25/100))*(1-Scenarios!$C$13)</f>
        <v>120.91256992962002</v>
      </c>
      <c r="BJ25" s="146">
        <f>MAX(0,BH25*(IF(MIN(100,$H25+BG25*5)&gt;=100,1,Scenarios!$C$11+(1-Scenarios!$C$11-Scenarios!$C$12)*MIN(100,$H25+BG25*5)/100)*MIN(1,MIN(100,$H25+BG25*5)/100))*(1-Scenarios!$C$13)-BI25)</f>
        <v>450.74324136633123</v>
      </c>
      <c r="BK25" s="146">
        <f>MAX(0,BH25*(IF(MIN(100,$H25+BG25*15)&gt;=100,1,Scenarios!$C$11+(1-Scenarios!$C$11-Scenarios!$C$12)*MIN(100,$H25+BG25*15)/100)*MIN(1,MIN(100,$H25+BG25*15)/100))*(1-Scenarios!$C$13)-BI25)</f>
        <v>2639.9094685903801</v>
      </c>
      <c r="BL25" s="146">
        <f>MAX(0,BH25*(IF(MIN(100,$H25+BG25*27)&gt;=100,1,Scenarios!$C$11+(1-Scenarios!$C$11-Scenarios!$C$12)*MIN(100,$H25+BG25*27)/100)*MIN(1,MIN(100,$H25+BG25*27)/100))*(1-Scenarios!$C$13)-BI25)</f>
        <v>2639.9094685903801</v>
      </c>
      <c r="BM25" s="146">
        <f>MAX(1,(YEAR(IF(I25="",EDATE($C$3,Scenarios!$D$7),IF(I25&lt;$C$3,EDATE($C$3,Scenarios!$D$6),EDATE(I25,Scenarios!$D$5))))-YEAR($C$3))*12+MONTH(IF(I25="",EDATE($C$3,Scenarios!$D$7),IF(I25&lt;$C$3,EDATE($C$3,Scenarios!$D$6),EDATE(I25,Scenarios!$D$5))))-MONTH($C$3))</f>
        <v>1</v>
      </c>
      <c r="BN25" s="178">
        <f>MIN(Scenarios!$D$14,(100-H25)/BM25)</f>
        <v>8</v>
      </c>
      <c r="BO25" s="146">
        <f>J25*(1-Scenarios!$D$8)+K25*G25/1000000*Scenarios!$D$9*(1+Scenarios!$D$10)</f>
        <v>2503.8642726000003</v>
      </c>
      <c r="BP25" s="146">
        <f>J25*(IF(H25&gt;=100,1,Scenarios!$D$11+(1-Scenarios!$D$11-Scenarios!$D$12)*H25/100)*MIN(1,H25/100))*(1-Scenarios!$D$13)</f>
        <v>120.91256992962002</v>
      </c>
      <c r="BQ25" s="146">
        <f>MAX(0,BO25*(IF(MIN(100,$H25+BN25*5)&gt;=100,1,Scenarios!$D$11+(1-Scenarios!$D$11-Scenarios!$D$12)*MIN(100,$H25+BN25*5)/100)*MIN(1,MIN(100,$H25+BN25*5)/100))*(1-Scenarios!$D$13)-BP25)</f>
        <v>555.24846529319234</v>
      </c>
      <c r="BR25" s="146">
        <f>MAX(0,BO25*(IF(MIN(100,$H25+BN25*15)&gt;=100,1,Scenarios!$D$11+(1-Scenarios!$D$11-Scenarios!$D$12)*MIN(100,$H25+BN25*15)/100)*MIN(1,MIN(100,$H25+BN25*15)/100))*(1-Scenarios!$D$13)-BP25)</f>
        <v>2257.75848904038</v>
      </c>
      <c r="BS25" s="146">
        <f>MAX(0,BO25*(IF(MIN(100,$H25+BN25*27)&gt;=100,1,Scenarios!$D$11+(1-Scenarios!$D$11-Scenarios!$D$12)*MIN(100,$H25+BN25*27)/100)*MIN(1,MIN(100,$H25+BN25*27)/100))*(1-Scenarios!$D$13)-BP25)</f>
        <v>2257.75848904038</v>
      </c>
      <c r="BT25" s="146">
        <f>MAX(1,(YEAR(IF(I25="",EDATE($C$3,Scenarios!$E$7),IF(I25&lt;$C$3,EDATE($C$3,Scenarios!$E$6),EDATE(I25,Scenarios!$E$5))))-YEAR($C$3))*12+MONTH(IF(I25="",EDATE($C$3,Scenarios!$E$7),IF(I25&lt;$C$3,EDATE($C$3,Scenarios!$E$6),EDATE(I25,Scenarios!$E$5))))-MONTH($C$3))</f>
        <v>1</v>
      </c>
      <c r="BU25" s="178">
        <f>MIN(Scenarios!$E$14,(100-H25)/BT25)</f>
        <v>8</v>
      </c>
      <c r="BV25" s="146">
        <f>J25*(1-Scenarios!$E$8)+K25*G25/1000000*Scenarios!$E$9*(1+Scenarios!$E$10)</f>
        <v>2833.7413790400001</v>
      </c>
      <c r="BW25" s="146">
        <f>J25*(IF(H25&gt;=100,1,Scenarios!$E$11+(1-Scenarios!$E$11-Scenarios!$E$12)*H25/100)*MIN(1,H25/100))*(1-Scenarios!$E$13)</f>
        <v>120.91256992962002</v>
      </c>
      <c r="BX25" s="146">
        <f>MAX(0,BV25*(IF(MIN(100,$H25+BU25*5)&gt;=100,1,Scenarios!$E$11+(1-Scenarios!$E$11-Scenarios!$E$12)*MIN(100,$H25+BU25*5)/100)*MIN(1,MIN(100,$H25+BU25*5)/100))*(1-Scenarios!$E$13)-BW25)</f>
        <v>644.330788255995</v>
      </c>
      <c r="BY25" s="146">
        <f>MAX(0,BV25*(IF(MIN(100,$H25+BU25*15)&gt;=100,1,Scenarios!$E$11+(1-Scenarios!$E$11-Scenarios!$E$12)*MIN(100,$H25+BU25*15)/100)*MIN(1,MIN(100,$H25+BU25*15)/100))*(1-Scenarios!$E$13)-BW25)</f>
        <v>2571.1417401583799</v>
      </c>
      <c r="BZ25" s="146">
        <f>MAX(0,BV25*(IF(MIN(100,$H25+BU25*27)&gt;=100,1,Scenarios!$E$11+(1-Scenarios!$E$11-Scenarios!$E$12)*MIN(100,$H25+BU25*27)/100)*MIN(1,MIN(100,$H25+BU25*27)/100))*(1-Scenarios!$E$13)-BW25)</f>
        <v>2571.1417401583799</v>
      </c>
      <c r="CA25" s="206">
        <f t="shared" si="7"/>
        <v>694.1735725853132</v>
      </c>
    </row>
    <row r="26" spans="1:79" ht="17.25" customHeight="1" x14ac:dyDescent="0.2">
      <c r="A26" s="135" t="s">
        <v>153</v>
      </c>
      <c r="B26" s="145" t="s">
        <v>154</v>
      </c>
      <c r="C26" s="145" t="s">
        <v>62</v>
      </c>
      <c r="D26" s="147">
        <v>46264</v>
      </c>
      <c r="E26" s="136">
        <v>216</v>
      </c>
      <c r="F26" s="136">
        <v>216</v>
      </c>
      <c r="G26" s="136">
        <v>1250913</v>
      </c>
      <c r="H26" s="191">
        <v>50</v>
      </c>
      <c r="I26" s="150">
        <v>46387</v>
      </c>
      <c r="J26" s="146">
        <f t="shared" si="0"/>
        <v>270.19720799999999</v>
      </c>
      <c r="K26" s="146">
        <f t="shared" si="1"/>
        <v>0</v>
      </c>
      <c r="L26" s="192">
        <f t="shared" si="2"/>
        <v>1</v>
      </c>
      <c r="M26" s="147">
        <f>IF(I26="",EDATE($C$3,Scenarios!$F$7),IF(I26&lt;$C$3,EDATE($C$3,Scenarios!$F$6),EDATE(I26,Scenarios!$F$5)))</f>
        <v>46387</v>
      </c>
      <c r="N26" s="146">
        <f t="shared" si="3"/>
        <v>3</v>
      </c>
      <c r="O26" s="178">
        <f>MIN(Scenarios!$F$14,(100-H26)/N26)</f>
        <v>8</v>
      </c>
      <c r="P26" s="146">
        <f>J26*(1-Scenarios!$F$8)+K26*G26/1000000*Scenarios!$F$9*(1+Scenarios!$F$10)</f>
        <v>270.19720799999999</v>
      </c>
      <c r="Q26" s="146">
        <f>J26*(IF(H26&gt;=100,1,Scenarios!$F$11+(1-Scenarios!$F$11-Scenarios!$F$12)*H26/100)*MIN(1,H26/100))*(1-Scenarios!$F$13)</f>
        <v>51.337469519999999</v>
      </c>
      <c r="R26" s="146">
        <f t="shared" si="4"/>
        <v>96.514442697599989</v>
      </c>
      <c r="S26" s="146">
        <f t="shared" si="5"/>
        <v>205.34987807999994</v>
      </c>
      <c r="T26" s="146">
        <f t="shared" si="6"/>
        <v>205.34987807999994</v>
      </c>
      <c r="U26" s="193">
        <f>J26*IF(H26&gt;=100,1,Scenarios!$F$11+(1-Scenarios!$F$11-Scenarios!$F$12)*H26/100)</f>
        <v>108.07888320000001</v>
      </c>
      <c r="V26" s="201">
        <f>MAX(0,$P26*(IF(MIN(100,$H26+$O26*V$6)&gt;=100,1,Scenarios!$F$11+(1-Scenarios!$F$11-Scenarios!$F$12)*MIN(100,$H26+$O26*V$6)/100)*MIN(1,MIN(100,$H26+$O26*V$6)/100))*(1-Scenarios!$F$13)-$Q26)</f>
        <v>15.360170880384004</v>
      </c>
      <c r="W26" s="146">
        <f>MAX(0,$P26*(IF(MIN(100,$H26+$O26*W$6)&gt;=100,1,Scenarios!$F$11+(1-Scenarios!$F$11-Scenarios!$F$12)*MIN(100,$H26+$O26*W$6)/100)*MIN(1,MIN(100,$H26+$O26*W$6)/100))*(1-Scenarios!$F$13)-$Q26)</f>
        <v>32.691700590336026</v>
      </c>
      <c r="X26" s="146">
        <f>MAX(0,$P26*(IF(MIN(100,$H26+$O26*X$6)&gt;=100,1,Scenarios!$F$11+(1-Scenarios!$F$11-Scenarios!$F$12)*MIN(100,$H26+$O26*X$6)/100)*MIN(1,MIN(100,$H26+$O26*X$6)/100))*(1-Scenarios!$F$13)-$Q26)</f>
        <v>51.99458912985601</v>
      </c>
      <c r="Y26" s="146">
        <f>MAX(0,$P26*(IF(MIN(100,$H26+$O26*Y$6)&gt;=100,1,Scenarios!$F$11+(1-Scenarios!$F$11-Scenarios!$F$12)*MIN(100,$H26+$O26*Y$6)/100)*MIN(1,MIN(100,$H26+$O26*Y$6)/100))*(1-Scenarios!$F$13)-$Q26)</f>
        <v>73.268836498943998</v>
      </c>
      <c r="Z26" s="146">
        <f>MAX(0,$P26*(IF(MIN(100,$H26+$O26*Z$6)&gt;=100,1,Scenarios!$F$11+(1-Scenarios!$F$11-Scenarios!$F$12)*MIN(100,$H26+$O26*Z$6)/100)*MIN(1,MIN(100,$H26+$O26*Z$6)/100))*(1-Scenarios!$F$13)-$Q26)</f>
        <v>96.514442697599989</v>
      </c>
      <c r="AA26" s="146">
        <f>MAX(0,$P26*(IF(MIN(100,$H26+$O26*AA$6)&gt;=100,1,Scenarios!$F$11+(1-Scenarios!$F$11-Scenarios!$F$12)*MIN(100,$H26+$O26*AA$6)/100)*MIN(1,MIN(100,$H26+$O26*AA$6)/100))*(1-Scenarios!$F$13)-$Q26)</f>
        <v>121.73140772582401</v>
      </c>
      <c r="AB26" s="146">
        <f>MAX(0,$P26*(IF(MIN(100,$H26+$O26*AB$6)&gt;=100,1,Scenarios!$F$11+(1-Scenarios!$F$11-Scenarios!$F$12)*MIN(100,$H26+$O26*AB$6)/100)*MIN(1,MIN(100,$H26+$O26*AB$6)/100))*(1-Scenarios!$F$13)-$Q26)</f>
        <v>205.34987807999994</v>
      </c>
      <c r="AC26" s="146">
        <f>MAX(0,$P26*(IF(MIN(100,$H26+$O26*AC$6)&gt;=100,1,Scenarios!$F$11+(1-Scenarios!$F$11-Scenarios!$F$12)*MIN(100,$H26+$O26*AC$6)/100)*MIN(1,MIN(100,$H26+$O26*AC$6)/100))*(1-Scenarios!$F$13)-$Q26)</f>
        <v>205.34987807999994</v>
      </c>
      <c r="AD26" s="146">
        <f>MAX(0,$P26*(IF(MIN(100,$H26+$O26*AD$6)&gt;=100,1,Scenarios!$F$11+(1-Scenarios!$F$11-Scenarios!$F$12)*MIN(100,$H26+$O26*AD$6)/100)*MIN(1,MIN(100,$H26+$O26*AD$6)/100))*(1-Scenarios!$F$13)-$Q26)</f>
        <v>205.34987807999994</v>
      </c>
      <c r="AE26" s="146">
        <f>MAX(0,$P26*(IF(MIN(100,$H26+$O26*AE$6)&gt;=100,1,Scenarios!$F$11+(1-Scenarios!$F$11-Scenarios!$F$12)*MIN(100,$H26+$O26*AE$6)/100)*MIN(1,MIN(100,$H26+$O26*AE$6)/100))*(1-Scenarios!$F$13)-$Q26)</f>
        <v>205.34987807999994</v>
      </c>
      <c r="AF26" s="146">
        <f>MAX(0,$P26*(IF(MIN(100,$H26+$O26*AF$6)&gt;=100,1,Scenarios!$F$11+(1-Scenarios!$F$11-Scenarios!$F$12)*MIN(100,$H26+$O26*AF$6)/100)*MIN(1,MIN(100,$H26+$O26*AF$6)/100))*(1-Scenarios!$F$13)-$Q26)</f>
        <v>205.34987807999994</v>
      </c>
      <c r="AG26" s="146">
        <f>MAX(0,$P26*(IF(MIN(100,$H26+$O26*AG$6)&gt;=100,1,Scenarios!$F$11+(1-Scenarios!$F$11-Scenarios!$F$12)*MIN(100,$H26+$O26*AG$6)/100)*MIN(1,MIN(100,$H26+$O26*AG$6)/100))*(1-Scenarios!$F$13)-$Q26)</f>
        <v>205.34987807999994</v>
      </c>
      <c r="AH26" s="146">
        <f>MAX(0,$P26*(IF(MIN(100,$H26+$O26*AH$6)&gt;=100,1,Scenarios!$F$11+(1-Scenarios!$F$11-Scenarios!$F$12)*MIN(100,$H26+$O26*AH$6)/100)*MIN(1,MIN(100,$H26+$O26*AH$6)/100))*(1-Scenarios!$F$13)-$Q26)</f>
        <v>205.34987807999994</v>
      </c>
      <c r="AI26" s="146">
        <f>MAX(0,$P26*(IF(MIN(100,$H26+$O26*AI$6)&gt;=100,1,Scenarios!$F$11+(1-Scenarios!$F$11-Scenarios!$F$12)*MIN(100,$H26+$O26*AI$6)/100)*MIN(1,MIN(100,$H26+$O26*AI$6)/100))*(1-Scenarios!$F$13)-$Q26)</f>
        <v>205.34987807999994</v>
      </c>
      <c r="AJ26" s="146">
        <f>MAX(0,$P26*(IF(MIN(100,$H26+$O26*AJ$6)&gt;=100,1,Scenarios!$F$11+(1-Scenarios!$F$11-Scenarios!$F$12)*MIN(100,$H26+$O26*AJ$6)/100)*MIN(1,MIN(100,$H26+$O26*AJ$6)/100))*(1-Scenarios!$F$13)-$Q26)</f>
        <v>205.34987807999994</v>
      </c>
      <c r="AK26" s="146">
        <f>MAX(0,$P26*(IF(MIN(100,$H26+$O26*AK$6)&gt;=100,1,Scenarios!$F$11+(1-Scenarios!$F$11-Scenarios!$F$12)*MIN(100,$H26+$O26*AK$6)/100)*MIN(1,MIN(100,$H26+$O26*AK$6)/100))*(1-Scenarios!$F$13)-$Q26)</f>
        <v>205.34987807999994</v>
      </c>
      <c r="AL26" s="146">
        <f>MAX(0,$P26*(IF(MIN(100,$H26+$O26*AL$6)&gt;=100,1,Scenarios!$F$11+(1-Scenarios!$F$11-Scenarios!$F$12)*MIN(100,$H26+$O26*AL$6)/100)*MIN(1,MIN(100,$H26+$O26*AL$6)/100))*(1-Scenarios!$F$13)-$Q26)</f>
        <v>205.34987807999994</v>
      </c>
      <c r="AM26" s="146">
        <f>MAX(0,$P26*(IF(MIN(100,$H26+$O26*AM$6)&gt;=100,1,Scenarios!$F$11+(1-Scenarios!$F$11-Scenarios!$F$12)*MIN(100,$H26+$O26*AM$6)/100)*MIN(1,MIN(100,$H26+$O26*AM$6)/100))*(1-Scenarios!$F$13)-$Q26)</f>
        <v>205.34987807999994</v>
      </c>
      <c r="AN26" s="146">
        <f>MAX(0,$P26*(IF(MIN(100,$H26+$O26*AN$6)&gt;=100,1,Scenarios!$F$11+(1-Scenarios!$F$11-Scenarios!$F$12)*MIN(100,$H26+$O26*AN$6)/100)*MIN(1,MIN(100,$H26+$O26*AN$6)/100))*(1-Scenarios!$F$13)-$Q26)</f>
        <v>205.34987807999994</v>
      </c>
      <c r="AO26" s="146">
        <f>MAX(0,$P26*(IF(MIN(100,$H26+$O26*AO$6)&gt;=100,1,Scenarios!$F$11+(1-Scenarios!$F$11-Scenarios!$F$12)*MIN(100,$H26+$O26*AO$6)/100)*MIN(1,MIN(100,$H26+$O26*AO$6)/100))*(1-Scenarios!$F$13)-$Q26)</f>
        <v>205.34987807999994</v>
      </c>
      <c r="AP26" s="146">
        <f>MAX(0,$P26*(IF(MIN(100,$H26+$O26*AP$6)&gt;=100,1,Scenarios!$F$11+(1-Scenarios!$F$11-Scenarios!$F$12)*MIN(100,$H26+$O26*AP$6)/100)*MIN(1,MIN(100,$H26+$O26*AP$6)/100))*(1-Scenarios!$F$13)-$Q26)</f>
        <v>205.34987807999994</v>
      </c>
      <c r="AQ26" s="146">
        <f>MAX(0,$P26*(IF(MIN(100,$H26+$O26*AQ$6)&gt;=100,1,Scenarios!$F$11+(1-Scenarios!$F$11-Scenarios!$F$12)*MIN(100,$H26+$O26*AQ$6)/100)*MIN(1,MIN(100,$H26+$O26*AQ$6)/100))*(1-Scenarios!$F$13)-$Q26)</f>
        <v>205.34987807999994</v>
      </c>
      <c r="AR26" s="146">
        <f>MAX(0,$P26*(IF(MIN(100,$H26+$O26*AR$6)&gt;=100,1,Scenarios!$F$11+(1-Scenarios!$F$11-Scenarios!$F$12)*MIN(100,$H26+$O26*AR$6)/100)*MIN(1,MIN(100,$H26+$O26*AR$6)/100))*(1-Scenarios!$F$13)-$Q26)</f>
        <v>205.34987807999994</v>
      </c>
      <c r="AS26" s="146">
        <f>MAX(0,$P26*(IF(MIN(100,$H26+$O26*AS$6)&gt;=100,1,Scenarios!$F$11+(1-Scenarios!$F$11-Scenarios!$F$12)*MIN(100,$H26+$O26*AS$6)/100)*MIN(1,MIN(100,$H26+$O26*AS$6)/100))*(1-Scenarios!$F$13)-$Q26)</f>
        <v>205.34987807999994</v>
      </c>
      <c r="AT26" s="146">
        <f>MAX(0,$P26*(IF(MIN(100,$H26+$O26*AT$6)&gt;=100,1,Scenarios!$F$11+(1-Scenarios!$F$11-Scenarios!$F$12)*MIN(100,$H26+$O26*AT$6)/100)*MIN(1,MIN(100,$H26+$O26*AT$6)/100))*(1-Scenarios!$F$13)-$Q26)</f>
        <v>205.34987807999994</v>
      </c>
      <c r="AU26" s="146">
        <f>MAX(0,$P26*(IF(MIN(100,$H26+$O26*AU$6)&gt;=100,1,Scenarios!$F$11+(1-Scenarios!$F$11-Scenarios!$F$12)*MIN(100,$H26+$O26*AU$6)/100)*MIN(1,MIN(100,$H26+$O26*AU$6)/100))*(1-Scenarios!$F$13)-$Q26)</f>
        <v>205.34987807999994</v>
      </c>
      <c r="AV26" s="146">
        <f>MAX(0,$P26*(IF(MIN(100,$H26+$O26*AV$6)&gt;=100,1,Scenarios!$F$11+(1-Scenarios!$F$11-Scenarios!$F$12)*MIN(100,$H26+$O26*AV$6)/100)*MIN(1,MIN(100,$H26+$O26*AV$6)/100))*(1-Scenarios!$F$13)-$Q26)</f>
        <v>205.34987807999994</v>
      </c>
      <c r="AW26" s="193">
        <f>MAX(0,$P26*(IF(MIN(100,$H26+$O26*AW$6)&gt;=100,1,Scenarios!$F$11+(1-Scenarios!$F$11-Scenarios!$F$12)*MIN(100,$H26+$O26*AW$6)/100)*MIN(1,MIN(100,$H26+$O26*AW$6)/100))*(1-Scenarios!$F$13)-$Q26)</f>
        <v>205.34987807999994</v>
      </c>
      <c r="AX26" s="2"/>
      <c r="AY26" s="201">
        <f>MAX(1,(YEAR(IF(I26="",EDATE($C$3,Scenarios!$B$7),IF(I26&lt;$C$3,EDATE($C$3,Scenarios!$B$6),EDATE(I26,Scenarios!$B$5))))-YEAR($C$3))*12+MONTH(IF(I26="",EDATE($C$3,Scenarios!$B$7),IF(I26&lt;$C$3,EDATE($C$3,Scenarios!$B$6),EDATE(I26,Scenarios!$B$5))))-MONTH($C$3))</f>
        <v>3</v>
      </c>
      <c r="AZ26" s="178">
        <f>MIN(Scenarios!$B$14,(100-H26)/AY26)</f>
        <v>8</v>
      </c>
      <c r="BA26" s="146">
        <f>J26*(1-Scenarios!$B$8)+K26*G26/1000000*Scenarios!$B$9*(1+Scenarios!$B$10)</f>
        <v>270.19720799999999</v>
      </c>
      <c r="BB26" s="146">
        <f>J26*(IF(H26&gt;=100,1,Scenarios!$B$11+(1-Scenarios!$B$11-Scenarios!$B$12)*H26/100)*MIN(1,H26/100))*(1-Scenarios!$B$13)</f>
        <v>51.337469519999999</v>
      </c>
      <c r="BC26" s="146">
        <f>MAX(0,BA26*(IF(MIN(100,$H26+AZ26*5)&gt;=100,1,Scenarios!$B$11+(1-Scenarios!$B$11-Scenarios!$B$12)*MIN(100,$H26+AZ26*5)/100)*MIN(1,MIN(100,$H26+AZ26*5)/100))*(1-Scenarios!$B$13)-BB26)</f>
        <v>96.514442697599989</v>
      </c>
      <c r="BD26" s="146">
        <f>MAX(0,BA26*(IF(MIN(100,$H26+AZ26*15)&gt;=100,1,Scenarios!$B$11+(1-Scenarios!$B$11-Scenarios!$B$12)*MIN(100,$H26+AZ26*15)/100)*MIN(1,MIN(100,$H26+AZ26*15)/100))*(1-Scenarios!$B$13)-BB26)</f>
        <v>205.34987807999994</v>
      </c>
      <c r="BE26" s="146">
        <f>MAX(0,BA26*(IF(MIN(100,$H26+AZ26*27)&gt;=100,1,Scenarios!$B$11+(1-Scenarios!$B$11-Scenarios!$B$12)*MIN(100,$H26+AZ26*27)/100)*MIN(1,MIN(100,$H26+AZ26*27)/100))*(1-Scenarios!$B$13)-BB26)</f>
        <v>205.34987807999994</v>
      </c>
      <c r="BF26" s="146">
        <f>MAX(1,(YEAR(IF(I26="",EDATE($C$3,Scenarios!$C$7),IF(I26&lt;$C$3,EDATE($C$3,Scenarios!$C$6),EDATE(I26,Scenarios!$C$5))))-YEAR($C$3))*12+MONTH(IF(I26="",EDATE($C$3,Scenarios!$C$7),IF(I26&lt;$C$3,EDATE($C$3,Scenarios!$C$6),EDATE(I26,Scenarios!$C$5))))-MONTH($C$3))</f>
        <v>9</v>
      </c>
      <c r="BG26" s="178">
        <f>MIN(Scenarios!$C$14,(100-H26)/BF26)</f>
        <v>5.5555555555555554</v>
      </c>
      <c r="BH26" s="146">
        <f>J26*(1-Scenarios!$C$8)+K26*G26/1000000*Scenarios!$C$9*(1+Scenarios!$C$10)</f>
        <v>270.19720799999999</v>
      </c>
      <c r="BI26" s="146">
        <f>J26*(IF(H26&gt;=100,1,Scenarios!$C$11+(1-Scenarios!$C$11-Scenarios!$C$12)*H26/100)*MIN(1,H26/100))*(1-Scenarios!$C$13)</f>
        <v>51.337469519999999</v>
      </c>
      <c r="BJ26" s="146">
        <f>MAX(0,BH26*(IF(MIN(100,$H26+BG26*5)&gt;=100,1,Scenarios!$C$11+(1-Scenarios!$C$11-Scenarios!$C$12)*MIN(100,$H26+BG26*5)/100)*MIN(1,MIN(100,$H26+BG26*5)/100))*(1-Scenarios!$C$13)-BI26)</f>
        <v>61.795102200000002</v>
      </c>
      <c r="BK26" s="146">
        <f>MAX(0,BH26*(IF(MIN(100,$H26+BG26*15)&gt;=100,1,Scenarios!$C$11+(1-Scenarios!$C$11-Scenarios!$C$12)*MIN(100,$H26+BG26*15)/100)*MIN(1,MIN(100,$H26+BG26*15)/100))*(1-Scenarios!$C$13)-BI26)</f>
        <v>205.34987807999994</v>
      </c>
      <c r="BL26" s="146">
        <f>MAX(0,BH26*(IF(MIN(100,$H26+BG26*27)&gt;=100,1,Scenarios!$C$11+(1-Scenarios!$C$11-Scenarios!$C$12)*MIN(100,$H26+BG26*27)/100)*MIN(1,MIN(100,$H26+BG26*27)/100))*(1-Scenarios!$C$13)-BI26)</f>
        <v>205.34987807999994</v>
      </c>
      <c r="BM26" s="146">
        <f>MAX(1,(YEAR(IF(I26="",EDATE($C$3,Scenarios!$D$7),IF(I26&lt;$C$3,EDATE($C$3,Scenarios!$D$6),EDATE(I26,Scenarios!$D$5))))-YEAR($C$3))*12+MONTH(IF(I26="",EDATE($C$3,Scenarios!$D$7),IF(I26&lt;$C$3,EDATE($C$3,Scenarios!$D$6),EDATE(I26,Scenarios!$D$5))))-MONTH($C$3))</f>
        <v>3</v>
      </c>
      <c r="BN26" s="178">
        <f>MIN(Scenarios!$D$14,(100-H26)/BM26)</f>
        <v>8</v>
      </c>
      <c r="BO26" s="146">
        <f>J26*(1-Scenarios!$D$8)+K26*G26/1000000*Scenarios!$D$9*(1+Scenarios!$D$10)</f>
        <v>229.66762679999999</v>
      </c>
      <c r="BP26" s="146">
        <f>J26*(IF(H26&gt;=100,1,Scenarios!$D$11+(1-Scenarios!$D$11-Scenarios!$D$12)*H26/100)*MIN(1,H26/100))*(1-Scenarios!$D$13)</f>
        <v>51.337469519999999</v>
      </c>
      <c r="BQ26" s="146">
        <f>MAX(0,BO26*(IF(MIN(100,$H26+BN26*5)&gt;=100,1,Scenarios!$D$11+(1-Scenarios!$D$11-Scenarios!$D$12)*MIN(100,$H26+BN26*5)/100)*MIN(1,MIN(100,$H26+BN26*5)/100))*(1-Scenarios!$D$13)-BP26)</f>
        <v>74.336655864960008</v>
      </c>
      <c r="BR26" s="146">
        <f>MAX(0,BO26*(IF(MIN(100,$H26+BN26*15)&gt;=100,1,Scenarios!$D$11+(1-Scenarios!$D$11-Scenarios!$D$12)*MIN(100,$H26+BN26*15)/100)*MIN(1,MIN(100,$H26+BN26*15)/100))*(1-Scenarios!$D$13)-BP26)</f>
        <v>166.84677593999999</v>
      </c>
      <c r="BS26" s="146">
        <f>MAX(0,BO26*(IF(MIN(100,$H26+BN26*27)&gt;=100,1,Scenarios!$D$11+(1-Scenarios!$D$11-Scenarios!$D$12)*MIN(100,$H26+BN26*27)/100)*MIN(1,MIN(100,$H26+BN26*27)/100))*(1-Scenarios!$D$13)-BP26)</f>
        <v>166.84677593999999</v>
      </c>
      <c r="BT26" s="146">
        <f>MAX(1,(YEAR(IF(I26="",EDATE($C$3,Scenarios!$E$7),IF(I26&lt;$C$3,EDATE($C$3,Scenarios!$E$6),EDATE(I26,Scenarios!$E$5))))-YEAR($C$3))*12+MONTH(IF(I26="",EDATE($C$3,Scenarios!$E$7),IF(I26&lt;$C$3,EDATE($C$3,Scenarios!$E$6),EDATE(I26,Scenarios!$E$5))))-MONTH($C$3))</f>
        <v>3</v>
      </c>
      <c r="BU26" s="178">
        <f>MIN(Scenarios!$E$14,(100-H26)/BT26)</f>
        <v>8</v>
      </c>
      <c r="BV26" s="146">
        <f>J26*(1-Scenarios!$E$8)+K26*G26/1000000*Scenarios!$E$9*(1+Scenarios!$E$10)</f>
        <v>256.68734759999995</v>
      </c>
      <c r="BW26" s="146">
        <f>J26*(IF(H26&gt;=100,1,Scenarios!$E$11+(1-Scenarios!$E$11-Scenarios!$E$12)*H26/100)*MIN(1,H26/100))*(1-Scenarios!$E$13)</f>
        <v>51.337469519999999</v>
      </c>
      <c r="BX26" s="146">
        <f>MAX(0,BV26*(IF(MIN(100,$H26+BU26*5)&gt;=100,1,Scenarios!$E$11+(1-Scenarios!$E$11-Scenarios!$E$12)*MIN(100,$H26+BU26*5)/100)*MIN(1,MIN(100,$H26+BU26*5)/100))*(1-Scenarios!$E$13)-BW26)</f>
        <v>89.121847086719995</v>
      </c>
      <c r="BY26" s="146">
        <f>MAX(0,BV26*(IF(MIN(100,$H26+BU26*15)&gt;=100,1,Scenarios!$E$11+(1-Scenarios!$E$11-Scenarios!$E$12)*MIN(100,$H26+BU26*15)/100)*MIN(1,MIN(100,$H26+BU26*15)/100))*(1-Scenarios!$E$13)-BW26)</f>
        <v>192.51551069999994</v>
      </c>
      <c r="BZ26" s="146">
        <f>MAX(0,BV26*(IF(MIN(100,$H26+BU26*27)&gt;=100,1,Scenarios!$E$11+(1-Scenarios!$E$11-Scenarios!$E$12)*MIN(100,$H26+BU26*27)/100)*MIN(1,MIN(100,$H26+BU26*27)/100))*(1-Scenarios!$E$13)-BW26)</f>
        <v>192.51551069999994</v>
      </c>
      <c r="CA26" s="206">
        <f t="shared" si="7"/>
        <v>96.514468697599995</v>
      </c>
    </row>
    <row r="27" spans="1:79" ht="17.25" customHeight="1" x14ac:dyDescent="0.2">
      <c r="A27" s="135" t="s">
        <v>155</v>
      </c>
      <c r="B27" s="145" t="s">
        <v>156</v>
      </c>
      <c r="C27" s="145" t="s">
        <v>62</v>
      </c>
      <c r="D27" s="147">
        <v>46264</v>
      </c>
      <c r="E27" s="136">
        <v>3333</v>
      </c>
      <c r="F27" s="136">
        <v>3300</v>
      </c>
      <c r="G27" s="136">
        <v>1622030</v>
      </c>
      <c r="H27" s="191">
        <v>22</v>
      </c>
      <c r="I27" s="150">
        <v>46387</v>
      </c>
      <c r="J27" s="146">
        <f t="shared" si="0"/>
        <v>5352.6989999999996</v>
      </c>
      <c r="K27" s="146">
        <f t="shared" si="1"/>
        <v>33</v>
      </c>
      <c r="L27" s="192">
        <f t="shared" si="2"/>
        <v>0.99009900990099009</v>
      </c>
      <c r="M27" s="147">
        <f>IF(I27="",EDATE($C$3,Scenarios!$F$7),IF(I27&lt;$C$3,EDATE($C$3,Scenarios!$F$6),EDATE(I27,Scenarios!$F$5)))</f>
        <v>46387</v>
      </c>
      <c r="N27" s="146">
        <f t="shared" si="3"/>
        <v>3</v>
      </c>
      <c r="O27" s="178">
        <f>MIN(Scenarios!$F$14,(100-H27)/N27)</f>
        <v>8</v>
      </c>
      <c r="P27" s="146">
        <f>J27*(1-Scenarios!$F$8)+K27*G27/1000000*Scenarios!$F$9*(1+Scenarios!$F$10)</f>
        <v>5384.8151939999998</v>
      </c>
      <c r="Q27" s="146">
        <f>J27*(IF(H27&gt;=100,1,Scenarios!$F$11+(1-Scenarios!$F$11-Scenarios!$F$12)*H27/100)*MIN(1,H27/100))*(1-Scenarios!$F$13)</f>
        <v>259.54166911200002</v>
      </c>
      <c r="R27" s="146">
        <f t="shared" si="4"/>
        <v>1237.4800333415519</v>
      </c>
      <c r="S27" s="146">
        <f t="shared" si="5"/>
        <v>4856.0327651879998</v>
      </c>
      <c r="T27" s="146">
        <f t="shared" si="6"/>
        <v>4856.0327651879998</v>
      </c>
      <c r="U27" s="193">
        <f>J27*IF(H27&gt;=100,1,Scenarios!$F$11+(1-Scenarios!$F$11-Scenarios!$F$12)*H27/100)</f>
        <v>1241.8261680000001</v>
      </c>
      <c r="V27" s="201">
        <f>MAX(0,$P27*(IF(MIN(100,$H27+$O27*V$6)&gt;=100,1,Scenarios!$F$11+(1-Scenarios!$F$11-Scenarios!$F$12)*MIN(100,$H27+$O27*V$6)/100)*MIN(1,MIN(100,$H27+$O27*V$6)/100))*(1-Scenarios!$F$13)-$Q27)</f>
        <v>170.16658336919994</v>
      </c>
      <c r="W27" s="146">
        <f>MAX(0,$P27*(IF(MIN(100,$H27+$O27*W$6)&gt;=100,1,Scenarios!$F$11+(1-Scenarios!$F$11-Scenarios!$F$12)*MIN(100,$H27+$O27*W$6)/100)*MIN(1,MIN(100,$H27+$O27*W$6)/100))*(1-Scenarios!$F$13)-$Q27)</f>
        <v>378.0635283791521</v>
      </c>
      <c r="X27" s="146">
        <f>MAX(0,$P27*(IF(MIN(100,$H27+$O27*X$6)&gt;=100,1,Scenarios!$F$11+(1-Scenarios!$F$11-Scenarios!$F$12)*MIN(100,$H27+$O27*X$6)/100)*MIN(1,MIN(100,$H27+$O27*X$6)/100))*(1-Scenarios!$F$13)-$Q27)</f>
        <v>625.2480850445279</v>
      </c>
      <c r="Y27" s="146">
        <f>MAX(0,$P27*(IF(MIN(100,$H27+$O27*Y$6)&gt;=100,1,Scenarios!$F$11+(1-Scenarios!$F$11-Scenarios!$F$12)*MIN(100,$H27+$O27*Y$6)/100)*MIN(1,MIN(100,$H27+$O27*Y$6)/100))*(1-Scenarios!$F$13)-$Q27)</f>
        <v>911.72025336532818</v>
      </c>
      <c r="Z27" s="146">
        <f>MAX(0,$P27*(IF(MIN(100,$H27+$O27*Z$6)&gt;=100,1,Scenarios!$F$11+(1-Scenarios!$F$11-Scenarios!$F$12)*MIN(100,$H27+$O27*Z$6)/100)*MIN(1,MIN(100,$H27+$O27*Z$6)/100))*(1-Scenarios!$F$13)-$Q27)</f>
        <v>1237.4800333415519</v>
      </c>
      <c r="AA27" s="146">
        <f>MAX(0,$P27*(IF(MIN(100,$H27+$O27*AA$6)&gt;=100,1,Scenarios!$F$11+(1-Scenarios!$F$11-Scenarios!$F$12)*MIN(100,$H27+$O27*AA$6)/100)*MIN(1,MIN(100,$H27+$O27*AA$6)/100))*(1-Scenarios!$F$13)-$Q27)</f>
        <v>1602.5274249732001</v>
      </c>
      <c r="AB27" s="146">
        <f>MAX(0,$P27*(IF(MIN(100,$H27+$O27*AB$6)&gt;=100,1,Scenarios!$F$11+(1-Scenarios!$F$11-Scenarios!$F$12)*MIN(100,$H27+$O27*AB$6)/100)*MIN(1,MIN(100,$H27+$O27*AB$6)/100))*(1-Scenarios!$F$13)-$Q27)</f>
        <v>2006.8624282602723</v>
      </c>
      <c r="AC27" s="146">
        <f>MAX(0,$P27*(IF(MIN(100,$H27+$O27*AC$6)&gt;=100,1,Scenarios!$F$11+(1-Scenarios!$F$11-Scenarios!$F$12)*MIN(100,$H27+$O27*AC$6)/100)*MIN(1,MIN(100,$H27+$O27*AC$6)/100))*(1-Scenarios!$F$13)-$Q27)</f>
        <v>2450.4850432027688</v>
      </c>
      <c r="AD27" s="146">
        <f>MAX(0,$P27*(IF(MIN(100,$H27+$O27*AD$6)&gt;=100,1,Scenarios!$F$11+(1-Scenarios!$F$11-Scenarios!$F$12)*MIN(100,$H27+$O27*AD$6)/100)*MIN(1,MIN(100,$H27+$O27*AD$6)/100))*(1-Scenarios!$F$13)-$Q27)</f>
        <v>2933.3952698006879</v>
      </c>
      <c r="AE27" s="146">
        <f>MAX(0,$P27*(IF(MIN(100,$H27+$O27*AE$6)&gt;=100,1,Scenarios!$F$11+(1-Scenarios!$F$11-Scenarios!$F$12)*MIN(100,$H27+$O27*AE$6)/100)*MIN(1,MIN(100,$H27+$O27*AE$6)/100))*(1-Scenarios!$F$13)-$Q27)</f>
        <v>4856.0327651879998</v>
      </c>
      <c r="AF27" s="146">
        <f>MAX(0,$P27*(IF(MIN(100,$H27+$O27*AF$6)&gt;=100,1,Scenarios!$F$11+(1-Scenarios!$F$11-Scenarios!$F$12)*MIN(100,$H27+$O27*AF$6)/100)*MIN(1,MIN(100,$H27+$O27*AF$6)/100))*(1-Scenarios!$F$13)-$Q27)</f>
        <v>4856.0327651879998</v>
      </c>
      <c r="AG27" s="146">
        <f>MAX(0,$P27*(IF(MIN(100,$H27+$O27*AG$6)&gt;=100,1,Scenarios!$F$11+(1-Scenarios!$F$11-Scenarios!$F$12)*MIN(100,$H27+$O27*AG$6)/100)*MIN(1,MIN(100,$H27+$O27*AG$6)/100))*(1-Scenarios!$F$13)-$Q27)</f>
        <v>4856.0327651879998</v>
      </c>
      <c r="AH27" s="146">
        <f>MAX(0,$P27*(IF(MIN(100,$H27+$O27*AH$6)&gt;=100,1,Scenarios!$F$11+(1-Scenarios!$F$11-Scenarios!$F$12)*MIN(100,$H27+$O27*AH$6)/100)*MIN(1,MIN(100,$H27+$O27*AH$6)/100))*(1-Scenarios!$F$13)-$Q27)</f>
        <v>4856.0327651879998</v>
      </c>
      <c r="AI27" s="146">
        <f>MAX(0,$P27*(IF(MIN(100,$H27+$O27*AI$6)&gt;=100,1,Scenarios!$F$11+(1-Scenarios!$F$11-Scenarios!$F$12)*MIN(100,$H27+$O27*AI$6)/100)*MIN(1,MIN(100,$H27+$O27*AI$6)/100))*(1-Scenarios!$F$13)-$Q27)</f>
        <v>4856.0327651879998</v>
      </c>
      <c r="AJ27" s="146">
        <f>MAX(0,$P27*(IF(MIN(100,$H27+$O27*AJ$6)&gt;=100,1,Scenarios!$F$11+(1-Scenarios!$F$11-Scenarios!$F$12)*MIN(100,$H27+$O27*AJ$6)/100)*MIN(1,MIN(100,$H27+$O27*AJ$6)/100))*(1-Scenarios!$F$13)-$Q27)</f>
        <v>4856.0327651879998</v>
      </c>
      <c r="AK27" s="146">
        <f>MAX(0,$P27*(IF(MIN(100,$H27+$O27*AK$6)&gt;=100,1,Scenarios!$F$11+(1-Scenarios!$F$11-Scenarios!$F$12)*MIN(100,$H27+$O27*AK$6)/100)*MIN(1,MIN(100,$H27+$O27*AK$6)/100))*(1-Scenarios!$F$13)-$Q27)</f>
        <v>4856.0327651879998</v>
      </c>
      <c r="AL27" s="146">
        <f>MAX(0,$P27*(IF(MIN(100,$H27+$O27*AL$6)&gt;=100,1,Scenarios!$F$11+(1-Scenarios!$F$11-Scenarios!$F$12)*MIN(100,$H27+$O27*AL$6)/100)*MIN(1,MIN(100,$H27+$O27*AL$6)/100))*(1-Scenarios!$F$13)-$Q27)</f>
        <v>4856.0327651879998</v>
      </c>
      <c r="AM27" s="146">
        <f>MAX(0,$P27*(IF(MIN(100,$H27+$O27*AM$6)&gt;=100,1,Scenarios!$F$11+(1-Scenarios!$F$11-Scenarios!$F$12)*MIN(100,$H27+$O27*AM$6)/100)*MIN(1,MIN(100,$H27+$O27*AM$6)/100))*(1-Scenarios!$F$13)-$Q27)</f>
        <v>4856.0327651879998</v>
      </c>
      <c r="AN27" s="146">
        <f>MAX(0,$P27*(IF(MIN(100,$H27+$O27*AN$6)&gt;=100,1,Scenarios!$F$11+(1-Scenarios!$F$11-Scenarios!$F$12)*MIN(100,$H27+$O27*AN$6)/100)*MIN(1,MIN(100,$H27+$O27*AN$6)/100))*(1-Scenarios!$F$13)-$Q27)</f>
        <v>4856.0327651879998</v>
      </c>
      <c r="AO27" s="146">
        <f>MAX(0,$P27*(IF(MIN(100,$H27+$O27*AO$6)&gt;=100,1,Scenarios!$F$11+(1-Scenarios!$F$11-Scenarios!$F$12)*MIN(100,$H27+$O27*AO$6)/100)*MIN(1,MIN(100,$H27+$O27*AO$6)/100))*(1-Scenarios!$F$13)-$Q27)</f>
        <v>4856.0327651879998</v>
      </c>
      <c r="AP27" s="146">
        <f>MAX(0,$P27*(IF(MIN(100,$H27+$O27*AP$6)&gt;=100,1,Scenarios!$F$11+(1-Scenarios!$F$11-Scenarios!$F$12)*MIN(100,$H27+$O27*AP$6)/100)*MIN(1,MIN(100,$H27+$O27*AP$6)/100))*(1-Scenarios!$F$13)-$Q27)</f>
        <v>4856.0327651879998</v>
      </c>
      <c r="AQ27" s="146">
        <f>MAX(0,$P27*(IF(MIN(100,$H27+$O27*AQ$6)&gt;=100,1,Scenarios!$F$11+(1-Scenarios!$F$11-Scenarios!$F$12)*MIN(100,$H27+$O27*AQ$6)/100)*MIN(1,MIN(100,$H27+$O27*AQ$6)/100))*(1-Scenarios!$F$13)-$Q27)</f>
        <v>4856.0327651879998</v>
      </c>
      <c r="AR27" s="146">
        <f>MAX(0,$P27*(IF(MIN(100,$H27+$O27*AR$6)&gt;=100,1,Scenarios!$F$11+(1-Scenarios!$F$11-Scenarios!$F$12)*MIN(100,$H27+$O27*AR$6)/100)*MIN(1,MIN(100,$H27+$O27*AR$6)/100))*(1-Scenarios!$F$13)-$Q27)</f>
        <v>4856.0327651879998</v>
      </c>
      <c r="AS27" s="146">
        <f>MAX(0,$P27*(IF(MIN(100,$H27+$O27*AS$6)&gt;=100,1,Scenarios!$F$11+(1-Scenarios!$F$11-Scenarios!$F$12)*MIN(100,$H27+$O27*AS$6)/100)*MIN(1,MIN(100,$H27+$O27*AS$6)/100))*(1-Scenarios!$F$13)-$Q27)</f>
        <v>4856.0327651879998</v>
      </c>
      <c r="AT27" s="146">
        <f>MAX(0,$P27*(IF(MIN(100,$H27+$O27*AT$6)&gt;=100,1,Scenarios!$F$11+(1-Scenarios!$F$11-Scenarios!$F$12)*MIN(100,$H27+$O27*AT$6)/100)*MIN(1,MIN(100,$H27+$O27*AT$6)/100))*(1-Scenarios!$F$13)-$Q27)</f>
        <v>4856.0327651879998</v>
      </c>
      <c r="AU27" s="146">
        <f>MAX(0,$P27*(IF(MIN(100,$H27+$O27*AU$6)&gt;=100,1,Scenarios!$F$11+(1-Scenarios!$F$11-Scenarios!$F$12)*MIN(100,$H27+$O27*AU$6)/100)*MIN(1,MIN(100,$H27+$O27*AU$6)/100))*(1-Scenarios!$F$13)-$Q27)</f>
        <v>4856.0327651879998</v>
      </c>
      <c r="AV27" s="146">
        <f>MAX(0,$P27*(IF(MIN(100,$H27+$O27*AV$6)&gt;=100,1,Scenarios!$F$11+(1-Scenarios!$F$11-Scenarios!$F$12)*MIN(100,$H27+$O27*AV$6)/100)*MIN(1,MIN(100,$H27+$O27*AV$6)/100))*(1-Scenarios!$F$13)-$Q27)</f>
        <v>4856.0327651879998</v>
      </c>
      <c r="AW27" s="193">
        <f>MAX(0,$P27*(IF(MIN(100,$H27+$O27*AW$6)&gt;=100,1,Scenarios!$F$11+(1-Scenarios!$F$11-Scenarios!$F$12)*MIN(100,$H27+$O27*AW$6)/100)*MIN(1,MIN(100,$H27+$O27*AW$6)/100))*(1-Scenarios!$F$13)-$Q27)</f>
        <v>4856.0327651879998</v>
      </c>
      <c r="AX27" s="2"/>
      <c r="AY27" s="201">
        <f>MAX(1,(YEAR(IF(I27="",EDATE($C$3,Scenarios!$B$7),IF(I27&lt;$C$3,EDATE($C$3,Scenarios!$B$6),EDATE(I27,Scenarios!$B$5))))-YEAR($C$3))*12+MONTH(IF(I27="",EDATE($C$3,Scenarios!$B$7),IF(I27&lt;$C$3,EDATE($C$3,Scenarios!$B$6),EDATE(I27,Scenarios!$B$5))))-MONTH($C$3))</f>
        <v>3</v>
      </c>
      <c r="AZ27" s="178">
        <f>MIN(Scenarios!$B$14,(100-H27)/AY27)</f>
        <v>8</v>
      </c>
      <c r="BA27" s="146">
        <f>J27*(1-Scenarios!$B$8)+K27*G27/1000000*Scenarios!$B$9*(1+Scenarios!$B$10)</f>
        <v>5384.8151939999998</v>
      </c>
      <c r="BB27" s="146">
        <f>J27*(IF(H27&gt;=100,1,Scenarios!$B$11+(1-Scenarios!$B$11-Scenarios!$B$12)*H27/100)*MIN(1,H27/100))*(1-Scenarios!$B$13)</f>
        <v>259.54166911200002</v>
      </c>
      <c r="BC27" s="146">
        <f>MAX(0,BA27*(IF(MIN(100,$H27+AZ27*5)&gt;=100,1,Scenarios!$B$11+(1-Scenarios!$B$11-Scenarios!$B$12)*MIN(100,$H27+AZ27*5)/100)*MIN(1,MIN(100,$H27+AZ27*5)/100))*(1-Scenarios!$B$13)-BB27)</f>
        <v>1237.4800333415519</v>
      </c>
      <c r="BD27" s="146">
        <f>MAX(0,BA27*(IF(MIN(100,$H27+AZ27*15)&gt;=100,1,Scenarios!$B$11+(1-Scenarios!$B$11-Scenarios!$B$12)*MIN(100,$H27+AZ27*15)/100)*MIN(1,MIN(100,$H27+AZ27*15)/100))*(1-Scenarios!$B$13)-BB27)</f>
        <v>4856.0327651879998</v>
      </c>
      <c r="BE27" s="146">
        <f>MAX(0,BA27*(IF(MIN(100,$H27+AZ27*27)&gt;=100,1,Scenarios!$B$11+(1-Scenarios!$B$11-Scenarios!$B$12)*MIN(100,$H27+AZ27*27)/100)*MIN(1,MIN(100,$H27+AZ27*27)/100))*(1-Scenarios!$B$13)-BB27)</f>
        <v>4856.0327651879998</v>
      </c>
      <c r="BF27" s="146">
        <f>MAX(1,(YEAR(IF(I27="",EDATE($C$3,Scenarios!$C$7),IF(I27&lt;$C$3,EDATE($C$3,Scenarios!$C$6),EDATE(I27,Scenarios!$C$5))))-YEAR($C$3))*12+MONTH(IF(I27="",EDATE($C$3,Scenarios!$C$7),IF(I27&lt;$C$3,EDATE($C$3,Scenarios!$C$6),EDATE(I27,Scenarios!$C$5))))-MONTH($C$3))</f>
        <v>9</v>
      </c>
      <c r="BG27" s="178">
        <f>MIN(Scenarios!$C$14,(100-H27)/BF27)</f>
        <v>6</v>
      </c>
      <c r="BH27" s="146">
        <f>J27*(1-Scenarios!$C$8)+K27*G27/1000000*Scenarios!$C$9*(1+Scenarios!$C$10)</f>
        <v>5374.1097959999997</v>
      </c>
      <c r="BI27" s="146">
        <f>J27*(IF(H27&gt;=100,1,Scenarios!$C$11+(1-Scenarios!$C$11-Scenarios!$C$12)*H27/100)*MIN(1,H27/100))*(1-Scenarios!$C$13)</f>
        <v>259.54166911200002</v>
      </c>
      <c r="BJ27" s="146">
        <f>MAX(0,BH27*(IF(MIN(100,$H27+BG27*5)&gt;=100,1,Scenarios!$C$11+(1-Scenarios!$C$11-Scenarios!$C$12)*MIN(100,$H27+BG27*5)/100)*MIN(1,MIN(100,$H27+BG27*5)/100))*(1-Scenarios!$C$13)-BI27)</f>
        <v>834.24014944828798</v>
      </c>
      <c r="BK27" s="146">
        <f>MAX(0,BH27*(IF(MIN(100,$H27+BG27*15)&gt;=100,1,Scenarios!$C$11+(1-Scenarios!$C$11-Scenarios!$C$12)*MIN(100,$H27+BG27*15)/100)*MIN(1,MIN(100,$H27+BG27*15)/100))*(1-Scenarios!$C$13)-BI27)</f>
        <v>4845.8626370879992</v>
      </c>
      <c r="BL27" s="146">
        <f>MAX(0,BH27*(IF(MIN(100,$H27+BG27*27)&gt;=100,1,Scenarios!$C$11+(1-Scenarios!$C$11-Scenarios!$C$12)*MIN(100,$H27+BG27*27)/100)*MIN(1,MIN(100,$H27+BG27*27)/100))*(1-Scenarios!$C$13)-BI27)</f>
        <v>4845.8626370879992</v>
      </c>
      <c r="BM27" s="146">
        <f>MAX(1,(YEAR(IF(I27="",EDATE($C$3,Scenarios!$D$7),IF(I27&lt;$C$3,EDATE($C$3,Scenarios!$D$6),EDATE(I27,Scenarios!$D$5))))-YEAR($C$3))*12+MONTH(IF(I27="",EDATE($C$3,Scenarios!$D$7),IF(I27&lt;$C$3,EDATE($C$3,Scenarios!$D$6),EDATE(I27,Scenarios!$D$5))))-MONTH($C$3))</f>
        <v>3</v>
      </c>
      <c r="BN27" s="178">
        <f>MIN(Scenarios!$D$14,(100-H27)/BM27)</f>
        <v>8</v>
      </c>
      <c r="BO27" s="146">
        <f>J27*(1-Scenarios!$D$8)+K27*G27/1000000*Scenarios!$D$9*(1+Scenarios!$D$10)</f>
        <v>4571.2049459999998</v>
      </c>
      <c r="BP27" s="146">
        <f>J27*(IF(H27&gt;=100,1,Scenarios!$D$11+(1-Scenarios!$D$11-Scenarios!$D$12)*H27/100)*MIN(1,H27/100))*(1-Scenarios!$D$13)</f>
        <v>259.54166911200002</v>
      </c>
      <c r="BQ27" s="146">
        <f>MAX(0,BO27*(IF(MIN(100,$H27+BN27*5)&gt;=100,1,Scenarios!$D$11+(1-Scenarios!$D$11-Scenarios!$D$12)*MIN(100,$H27+BN27*5)/100)*MIN(1,MIN(100,$H27+BN27*5)/100))*(1-Scenarios!$D$13)-BP27)</f>
        <v>1011.289875515568</v>
      </c>
      <c r="BR27" s="146">
        <f>MAX(0,BO27*(IF(MIN(100,$H27+BN27*15)&gt;=100,1,Scenarios!$D$11+(1-Scenarios!$D$11-Scenarios!$D$12)*MIN(100,$H27+BN27*15)/100)*MIN(1,MIN(100,$H27+BN27*15)/100))*(1-Scenarios!$D$13)-BP27)</f>
        <v>4083.103029588</v>
      </c>
      <c r="BS27" s="146">
        <f>MAX(0,BO27*(IF(MIN(100,$H27+BN27*27)&gt;=100,1,Scenarios!$D$11+(1-Scenarios!$D$11-Scenarios!$D$12)*MIN(100,$H27+BN27*27)/100)*MIN(1,MIN(100,$H27+BN27*27)/100))*(1-Scenarios!$D$13)-BP27)</f>
        <v>4083.103029588</v>
      </c>
      <c r="BT27" s="146">
        <f>MAX(1,(YEAR(IF(I27="",EDATE($C$3,Scenarios!$E$7),IF(I27&lt;$C$3,EDATE($C$3,Scenarios!$E$6),EDATE(I27,Scenarios!$E$5))))-YEAR($C$3))*12+MONTH(IF(I27="",EDATE($C$3,Scenarios!$E$7),IF(I27&lt;$C$3,EDATE($C$3,Scenarios!$E$6),EDATE(I27,Scenarios!$E$5))))-MONTH($C$3))</f>
        <v>3</v>
      </c>
      <c r="BU27" s="178">
        <f>MIN(Scenarios!$E$14,(100-H27)/BT27)</f>
        <v>8</v>
      </c>
      <c r="BV27" s="146">
        <f>J27*(1-Scenarios!$E$8)+K27*G27/1000000*Scenarios!$E$9*(1+Scenarios!$E$10)</f>
        <v>5112.3628148999987</v>
      </c>
      <c r="BW27" s="146">
        <f>J27*(IF(H27&gt;=100,1,Scenarios!$E$11+(1-Scenarios!$E$11-Scenarios!$E$12)*H27/100)*MIN(1,H27/100))*(1-Scenarios!$E$13)</f>
        <v>259.54166911200002</v>
      </c>
      <c r="BX27" s="146">
        <f>MAX(0,BV27*(IF(MIN(100,$H27+BU27*5)&gt;=100,1,Scenarios!$E$11+(1-Scenarios!$E$11-Scenarios!$E$12)*MIN(100,$H27+BU27*5)/100)*MIN(1,MIN(100,$H27+BU27*5)/100))*(1-Scenarios!$E$13)-BW27)</f>
        <v>1161.7360923327192</v>
      </c>
      <c r="BY27" s="146">
        <f>MAX(0,BV27*(IF(MIN(100,$H27+BU27*15)&gt;=100,1,Scenarios!$E$11+(1-Scenarios!$E$11-Scenarios!$E$12)*MIN(100,$H27+BU27*15)/100)*MIN(1,MIN(100,$H27+BU27*15)/100))*(1-Scenarios!$E$13)-BW27)</f>
        <v>4597.2030050429985</v>
      </c>
      <c r="BZ27" s="146">
        <f>MAX(0,BV27*(IF(MIN(100,$H27+BU27*27)&gt;=100,1,Scenarios!$E$11+(1-Scenarios!$E$11-Scenarios!$E$12)*MIN(100,$H27+BU27*27)/100)*MIN(1,MIN(100,$H27+BU27*27)/100))*(1-Scenarios!$E$13)-BW27)</f>
        <v>4597.2030050429985</v>
      </c>
      <c r="CA27" s="206">
        <f t="shared" si="7"/>
        <v>1237.480060341552</v>
      </c>
    </row>
    <row r="28" spans="1:79" ht="17.25" customHeight="1" x14ac:dyDescent="0.2">
      <c r="A28" s="135" t="s">
        <v>157</v>
      </c>
      <c r="B28" s="145" t="s">
        <v>158</v>
      </c>
      <c r="C28" s="145" t="s">
        <v>62</v>
      </c>
      <c r="D28" s="147">
        <v>46264</v>
      </c>
      <c r="E28" s="136">
        <v>163</v>
      </c>
      <c r="F28" s="136">
        <v>117</v>
      </c>
      <c r="G28" s="136">
        <v>15404533</v>
      </c>
      <c r="H28" s="191">
        <v>65</v>
      </c>
      <c r="I28" s="150">
        <v>46387</v>
      </c>
      <c r="J28" s="146">
        <f t="shared" si="0"/>
        <v>1802.330361</v>
      </c>
      <c r="K28" s="146">
        <f t="shared" si="1"/>
        <v>46</v>
      </c>
      <c r="L28" s="192">
        <f t="shared" si="2"/>
        <v>0.71779141104294475</v>
      </c>
      <c r="M28" s="147">
        <f>IF(I28="",EDATE($C$3,Scenarios!$F$7),IF(I28&lt;$C$3,EDATE($C$3,Scenarios!$F$6),EDATE(I28,Scenarios!$F$5)))</f>
        <v>46387</v>
      </c>
      <c r="N28" s="146">
        <f t="shared" si="3"/>
        <v>3</v>
      </c>
      <c r="O28" s="178">
        <f>MIN(Scenarios!$F$14,(100-H28)/N28)</f>
        <v>8</v>
      </c>
      <c r="P28" s="146">
        <f>J28*(1-Scenarios!$F$8)+K28*G28/1000000*Scenarios!$F$9*(1+Scenarios!$F$10)</f>
        <v>2227.4954717999999</v>
      </c>
      <c r="Q28" s="146">
        <f>J28*(IF(H28&gt;=100,1,Scenarios!$F$11+(1-Scenarios!$F$11-Scenarios!$F$12)*H28/100)*MIN(1,H28/100))*(1-Scenarios!$F$13)</f>
        <v>545.34010897957512</v>
      </c>
      <c r="R28" s="146">
        <f t="shared" si="4"/>
        <v>1570.7805892304245</v>
      </c>
      <c r="S28" s="146">
        <f t="shared" si="5"/>
        <v>1570.7805892304245</v>
      </c>
      <c r="T28" s="146">
        <f t="shared" si="6"/>
        <v>1570.7805892304245</v>
      </c>
      <c r="U28" s="193">
        <f>J28*IF(H28&gt;=100,1,Scenarios!$F$11+(1-Scenarios!$F$11-Scenarios!$F$12)*H28/100)</f>
        <v>883.14187689000016</v>
      </c>
      <c r="V28" s="201">
        <f>MAX(0,$P28*(IF(MIN(100,$H28+$O28*V$6)&gt;=100,1,Scenarios!$F$11+(1-Scenarios!$F$11-Scenarios!$F$12)*MIN(100,$H28+$O28*V$6)/100)*MIN(1,MIN(100,$H28+$O28*V$6)/100))*(1-Scenarios!$F$13)-$Q28)</f>
        <v>285.74513403542028</v>
      </c>
      <c r="W28" s="146">
        <f>MAX(0,$P28*(IF(MIN(100,$H28+$O28*W$6)&gt;=100,1,Scenarios!$F$11+(1-Scenarios!$F$11-Scenarios!$F$12)*MIN(100,$H28+$O28*W$6)/100)*MIN(1,MIN(100,$H28+$O28*W$6)/100))*(1-Scenarios!$F$13)-$Q28)</f>
        <v>459.09774163278348</v>
      </c>
      <c r="X28" s="146">
        <f>MAX(0,$P28*(IF(MIN(100,$H28+$O28*X$6)&gt;=100,1,Scenarios!$F$11+(1-Scenarios!$F$11-Scenarios!$F$12)*MIN(100,$H28+$O28*X$6)/100)*MIN(1,MIN(100,$H28+$O28*X$6)/100))*(1-Scenarios!$F$13)-$Q28)</f>
        <v>648.70215619239923</v>
      </c>
      <c r="Y28" s="146">
        <f>MAX(0,$P28*(IF(MIN(100,$H28+$O28*Y$6)&gt;=100,1,Scenarios!$F$11+(1-Scenarios!$F$11-Scenarios!$F$12)*MIN(100,$H28+$O28*Y$6)/100)*MIN(1,MIN(100,$H28+$O28*Y$6)/100))*(1-Scenarios!$F$13)-$Q28)</f>
        <v>854.5583777142682</v>
      </c>
      <c r="Z28" s="146">
        <f>MAX(0,$P28*(IF(MIN(100,$H28+$O28*Z$6)&gt;=100,1,Scenarios!$F$11+(1-Scenarios!$F$11-Scenarios!$F$12)*MIN(100,$H28+$O28*Z$6)/100)*MIN(1,MIN(100,$H28+$O28*Z$6)/100))*(1-Scenarios!$F$13)-$Q28)</f>
        <v>1570.7805892304245</v>
      </c>
      <c r="AA28" s="146">
        <f>MAX(0,$P28*(IF(MIN(100,$H28+$O28*AA$6)&gt;=100,1,Scenarios!$F$11+(1-Scenarios!$F$11-Scenarios!$F$12)*MIN(100,$H28+$O28*AA$6)/100)*MIN(1,MIN(100,$H28+$O28*AA$6)/100))*(1-Scenarios!$F$13)-$Q28)</f>
        <v>1570.7805892304245</v>
      </c>
      <c r="AB28" s="146">
        <f>MAX(0,$P28*(IF(MIN(100,$H28+$O28*AB$6)&gt;=100,1,Scenarios!$F$11+(1-Scenarios!$F$11-Scenarios!$F$12)*MIN(100,$H28+$O28*AB$6)/100)*MIN(1,MIN(100,$H28+$O28*AB$6)/100))*(1-Scenarios!$F$13)-$Q28)</f>
        <v>1570.7805892304245</v>
      </c>
      <c r="AC28" s="146">
        <f>MAX(0,$P28*(IF(MIN(100,$H28+$O28*AC$6)&gt;=100,1,Scenarios!$F$11+(1-Scenarios!$F$11-Scenarios!$F$12)*MIN(100,$H28+$O28*AC$6)/100)*MIN(1,MIN(100,$H28+$O28*AC$6)/100))*(1-Scenarios!$F$13)-$Q28)</f>
        <v>1570.7805892304245</v>
      </c>
      <c r="AD28" s="146">
        <f>MAX(0,$P28*(IF(MIN(100,$H28+$O28*AD$6)&gt;=100,1,Scenarios!$F$11+(1-Scenarios!$F$11-Scenarios!$F$12)*MIN(100,$H28+$O28*AD$6)/100)*MIN(1,MIN(100,$H28+$O28*AD$6)/100))*(1-Scenarios!$F$13)-$Q28)</f>
        <v>1570.7805892304245</v>
      </c>
      <c r="AE28" s="146">
        <f>MAX(0,$P28*(IF(MIN(100,$H28+$O28*AE$6)&gt;=100,1,Scenarios!$F$11+(1-Scenarios!$F$11-Scenarios!$F$12)*MIN(100,$H28+$O28*AE$6)/100)*MIN(1,MIN(100,$H28+$O28*AE$6)/100))*(1-Scenarios!$F$13)-$Q28)</f>
        <v>1570.7805892304245</v>
      </c>
      <c r="AF28" s="146">
        <f>MAX(0,$P28*(IF(MIN(100,$H28+$O28*AF$6)&gt;=100,1,Scenarios!$F$11+(1-Scenarios!$F$11-Scenarios!$F$12)*MIN(100,$H28+$O28*AF$6)/100)*MIN(1,MIN(100,$H28+$O28*AF$6)/100))*(1-Scenarios!$F$13)-$Q28)</f>
        <v>1570.7805892304245</v>
      </c>
      <c r="AG28" s="146">
        <f>MAX(0,$P28*(IF(MIN(100,$H28+$O28*AG$6)&gt;=100,1,Scenarios!$F$11+(1-Scenarios!$F$11-Scenarios!$F$12)*MIN(100,$H28+$O28*AG$6)/100)*MIN(1,MIN(100,$H28+$O28*AG$6)/100))*(1-Scenarios!$F$13)-$Q28)</f>
        <v>1570.7805892304245</v>
      </c>
      <c r="AH28" s="146">
        <f>MAX(0,$P28*(IF(MIN(100,$H28+$O28*AH$6)&gt;=100,1,Scenarios!$F$11+(1-Scenarios!$F$11-Scenarios!$F$12)*MIN(100,$H28+$O28*AH$6)/100)*MIN(1,MIN(100,$H28+$O28*AH$6)/100))*(1-Scenarios!$F$13)-$Q28)</f>
        <v>1570.7805892304245</v>
      </c>
      <c r="AI28" s="146">
        <f>MAX(0,$P28*(IF(MIN(100,$H28+$O28*AI$6)&gt;=100,1,Scenarios!$F$11+(1-Scenarios!$F$11-Scenarios!$F$12)*MIN(100,$H28+$O28*AI$6)/100)*MIN(1,MIN(100,$H28+$O28*AI$6)/100))*(1-Scenarios!$F$13)-$Q28)</f>
        <v>1570.7805892304245</v>
      </c>
      <c r="AJ28" s="146">
        <f>MAX(0,$P28*(IF(MIN(100,$H28+$O28*AJ$6)&gt;=100,1,Scenarios!$F$11+(1-Scenarios!$F$11-Scenarios!$F$12)*MIN(100,$H28+$O28*AJ$6)/100)*MIN(1,MIN(100,$H28+$O28*AJ$6)/100))*(1-Scenarios!$F$13)-$Q28)</f>
        <v>1570.7805892304245</v>
      </c>
      <c r="AK28" s="146">
        <f>MAX(0,$P28*(IF(MIN(100,$H28+$O28*AK$6)&gt;=100,1,Scenarios!$F$11+(1-Scenarios!$F$11-Scenarios!$F$12)*MIN(100,$H28+$O28*AK$6)/100)*MIN(1,MIN(100,$H28+$O28*AK$6)/100))*(1-Scenarios!$F$13)-$Q28)</f>
        <v>1570.7805892304245</v>
      </c>
      <c r="AL28" s="146">
        <f>MAX(0,$P28*(IF(MIN(100,$H28+$O28*AL$6)&gt;=100,1,Scenarios!$F$11+(1-Scenarios!$F$11-Scenarios!$F$12)*MIN(100,$H28+$O28*AL$6)/100)*MIN(1,MIN(100,$H28+$O28*AL$6)/100))*(1-Scenarios!$F$13)-$Q28)</f>
        <v>1570.7805892304245</v>
      </c>
      <c r="AM28" s="146">
        <f>MAX(0,$P28*(IF(MIN(100,$H28+$O28*AM$6)&gt;=100,1,Scenarios!$F$11+(1-Scenarios!$F$11-Scenarios!$F$12)*MIN(100,$H28+$O28*AM$6)/100)*MIN(1,MIN(100,$H28+$O28*AM$6)/100))*(1-Scenarios!$F$13)-$Q28)</f>
        <v>1570.7805892304245</v>
      </c>
      <c r="AN28" s="146">
        <f>MAX(0,$P28*(IF(MIN(100,$H28+$O28*AN$6)&gt;=100,1,Scenarios!$F$11+(1-Scenarios!$F$11-Scenarios!$F$12)*MIN(100,$H28+$O28*AN$6)/100)*MIN(1,MIN(100,$H28+$O28*AN$6)/100))*(1-Scenarios!$F$13)-$Q28)</f>
        <v>1570.7805892304245</v>
      </c>
      <c r="AO28" s="146">
        <f>MAX(0,$P28*(IF(MIN(100,$H28+$O28*AO$6)&gt;=100,1,Scenarios!$F$11+(1-Scenarios!$F$11-Scenarios!$F$12)*MIN(100,$H28+$O28*AO$6)/100)*MIN(1,MIN(100,$H28+$O28*AO$6)/100))*(1-Scenarios!$F$13)-$Q28)</f>
        <v>1570.7805892304245</v>
      </c>
      <c r="AP28" s="146">
        <f>MAX(0,$P28*(IF(MIN(100,$H28+$O28*AP$6)&gt;=100,1,Scenarios!$F$11+(1-Scenarios!$F$11-Scenarios!$F$12)*MIN(100,$H28+$O28*AP$6)/100)*MIN(1,MIN(100,$H28+$O28*AP$6)/100))*(1-Scenarios!$F$13)-$Q28)</f>
        <v>1570.7805892304245</v>
      </c>
      <c r="AQ28" s="146">
        <f>MAX(0,$P28*(IF(MIN(100,$H28+$O28*AQ$6)&gt;=100,1,Scenarios!$F$11+(1-Scenarios!$F$11-Scenarios!$F$12)*MIN(100,$H28+$O28*AQ$6)/100)*MIN(1,MIN(100,$H28+$O28*AQ$6)/100))*(1-Scenarios!$F$13)-$Q28)</f>
        <v>1570.7805892304245</v>
      </c>
      <c r="AR28" s="146">
        <f>MAX(0,$P28*(IF(MIN(100,$H28+$O28*AR$6)&gt;=100,1,Scenarios!$F$11+(1-Scenarios!$F$11-Scenarios!$F$12)*MIN(100,$H28+$O28*AR$6)/100)*MIN(1,MIN(100,$H28+$O28*AR$6)/100))*(1-Scenarios!$F$13)-$Q28)</f>
        <v>1570.7805892304245</v>
      </c>
      <c r="AS28" s="146">
        <f>MAX(0,$P28*(IF(MIN(100,$H28+$O28*AS$6)&gt;=100,1,Scenarios!$F$11+(1-Scenarios!$F$11-Scenarios!$F$12)*MIN(100,$H28+$O28*AS$6)/100)*MIN(1,MIN(100,$H28+$O28*AS$6)/100))*(1-Scenarios!$F$13)-$Q28)</f>
        <v>1570.7805892304245</v>
      </c>
      <c r="AT28" s="146">
        <f>MAX(0,$P28*(IF(MIN(100,$H28+$O28*AT$6)&gt;=100,1,Scenarios!$F$11+(1-Scenarios!$F$11-Scenarios!$F$12)*MIN(100,$H28+$O28*AT$6)/100)*MIN(1,MIN(100,$H28+$O28*AT$6)/100))*(1-Scenarios!$F$13)-$Q28)</f>
        <v>1570.7805892304245</v>
      </c>
      <c r="AU28" s="146">
        <f>MAX(0,$P28*(IF(MIN(100,$H28+$O28*AU$6)&gt;=100,1,Scenarios!$F$11+(1-Scenarios!$F$11-Scenarios!$F$12)*MIN(100,$H28+$O28*AU$6)/100)*MIN(1,MIN(100,$H28+$O28*AU$6)/100))*(1-Scenarios!$F$13)-$Q28)</f>
        <v>1570.7805892304245</v>
      </c>
      <c r="AV28" s="146">
        <f>MAX(0,$P28*(IF(MIN(100,$H28+$O28*AV$6)&gt;=100,1,Scenarios!$F$11+(1-Scenarios!$F$11-Scenarios!$F$12)*MIN(100,$H28+$O28*AV$6)/100)*MIN(1,MIN(100,$H28+$O28*AV$6)/100))*(1-Scenarios!$F$13)-$Q28)</f>
        <v>1570.7805892304245</v>
      </c>
      <c r="AW28" s="193">
        <f>MAX(0,$P28*(IF(MIN(100,$H28+$O28*AW$6)&gt;=100,1,Scenarios!$F$11+(1-Scenarios!$F$11-Scenarios!$F$12)*MIN(100,$H28+$O28*AW$6)/100)*MIN(1,MIN(100,$H28+$O28*AW$6)/100))*(1-Scenarios!$F$13)-$Q28)</f>
        <v>1570.7805892304245</v>
      </c>
      <c r="AX28" s="2"/>
      <c r="AY28" s="201">
        <f>MAX(1,(YEAR(IF(I28="",EDATE($C$3,Scenarios!$B$7),IF(I28&lt;$C$3,EDATE($C$3,Scenarios!$B$6),EDATE(I28,Scenarios!$B$5))))-YEAR($C$3))*12+MONTH(IF(I28="",EDATE($C$3,Scenarios!$B$7),IF(I28&lt;$C$3,EDATE($C$3,Scenarios!$B$6),EDATE(I28,Scenarios!$B$5))))-MONTH($C$3))</f>
        <v>3</v>
      </c>
      <c r="AZ28" s="178">
        <f>MIN(Scenarios!$B$14,(100-H28)/AY28)</f>
        <v>8</v>
      </c>
      <c r="BA28" s="146">
        <f>J28*(1-Scenarios!$B$8)+K28*G28/1000000*Scenarios!$B$9*(1+Scenarios!$B$10)</f>
        <v>2227.4954717999999</v>
      </c>
      <c r="BB28" s="146">
        <f>J28*(IF(H28&gt;=100,1,Scenarios!$B$11+(1-Scenarios!$B$11-Scenarios!$B$12)*H28/100)*MIN(1,H28/100))*(1-Scenarios!$B$13)</f>
        <v>545.34010897957512</v>
      </c>
      <c r="BC28" s="146">
        <f>MAX(0,BA28*(IF(MIN(100,$H28+AZ28*5)&gt;=100,1,Scenarios!$B$11+(1-Scenarios!$B$11-Scenarios!$B$12)*MIN(100,$H28+AZ28*5)/100)*MIN(1,MIN(100,$H28+AZ28*5)/100))*(1-Scenarios!$B$13)-BB28)</f>
        <v>1570.7805892304245</v>
      </c>
      <c r="BD28" s="146">
        <f>MAX(0,BA28*(IF(MIN(100,$H28+AZ28*15)&gt;=100,1,Scenarios!$B$11+(1-Scenarios!$B$11-Scenarios!$B$12)*MIN(100,$H28+AZ28*15)/100)*MIN(1,MIN(100,$H28+AZ28*15)/100))*(1-Scenarios!$B$13)-BB28)</f>
        <v>1570.7805892304245</v>
      </c>
      <c r="BE28" s="146">
        <f>MAX(0,BA28*(IF(MIN(100,$H28+AZ28*27)&gt;=100,1,Scenarios!$B$11+(1-Scenarios!$B$11-Scenarios!$B$12)*MIN(100,$H28+AZ28*27)/100)*MIN(1,MIN(100,$H28+AZ28*27)/100))*(1-Scenarios!$B$13)-BB28)</f>
        <v>1570.7805892304245</v>
      </c>
      <c r="BF28" s="146">
        <f>MAX(1,(YEAR(IF(I28="",EDATE($C$3,Scenarios!$C$7),IF(I28&lt;$C$3,EDATE($C$3,Scenarios!$C$6),EDATE(I28,Scenarios!$C$5))))-YEAR($C$3))*12+MONTH(IF(I28="",EDATE($C$3,Scenarios!$C$7),IF(I28&lt;$C$3,EDATE($C$3,Scenarios!$C$6),EDATE(I28,Scenarios!$C$5))))-MONTH($C$3))</f>
        <v>9</v>
      </c>
      <c r="BG28" s="178">
        <f>MIN(Scenarios!$C$14,(100-H28)/BF28)</f>
        <v>3.8888888888888888</v>
      </c>
      <c r="BH28" s="146">
        <f>J28*(1-Scenarios!$C$8)+K28*G28/1000000*Scenarios!$C$9*(1+Scenarios!$C$10)</f>
        <v>2085.7737682000002</v>
      </c>
      <c r="BI28" s="146">
        <f>J28*(IF(H28&gt;=100,1,Scenarios!$C$11+(1-Scenarios!$C$11-Scenarios!$C$12)*H28/100)*MIN(1,H28/100))*(1-Scenarios!$C$13)</f>
        <v>545.34010897957512</v>
      </c>
      <c r="BJ28" s="146">
        <f>MAX(0,BH28*(IF(MIN(100,$H28+BG28*5)&gt;=100,1,Scenarios!$C$11+(1-Scenarios!$C$11-Scenarios!$C$12)*MIN(100,$H28+BG28*5)/100)*MIN(1,MIN(100,$H28+BG28*5)/100))*(1-Scenarios!$C$13)-BI28)</f>
        <v>469.76735856321318</v>
      </c>
      <c r="BK28" s="146">
        <f>MAX(0,BH28*(IF(MIN(100,$H28+BG28*15)&gt;=100,1,Scenarios!$C$11+(1-Scenarios!$C$11-Scenarios!$C$12)*MIN(100,$H28+BG28*15)/100)*MIN(1,MIN(100,$H28+BG28*15)/100))*(1-Scenarios!$C$13)-BI28)</f>
        <v>1436.1449708104251</v>
      </c>
      <c r="BL28" s="146">
        <f>MAX(0,BH28*(IF(MIN(100,$H28+BG28*27)&gt;=100,1,Scenarios!$C$11+(1-Scenarios!$C$11-Scenarios!$C$12)*MIN(100,$H28+BG28*27)/100)*MIN(1,MIN(100,$H28+BG28*27)/100))*(1-Scenarios!$C$13)-BI28)</f>
        <v>1436.1449708104251</v>
      </c>
      <c r="BM28" s="146">
        <f>MAX(1,(YEAR(IF(I28="",EDATE($C$3,Scenarios!$D$7),IF(I28&lt;$C$3,EDATE($C$3,Scenarios!$D$6),EDATE(I28,Scenarios!$D$5))))-YEAR($C$3))*12+MONTH(IF(I28="",EDATE($C$3,Scenarios!$D$7),IF(I28&lt;$C$3,EDATE($C$3,Scenarios!$D$6),EDATE(I28,Scenarios!$D$5))))-MONTH($C$3))</f>
        <v>3</v>
      </c>
      <c r="BN28" s="178">
        <f>MIN(Scenarios!$D$14,(100-H28)/BM28)</f>
        <v>8</v>
      </c>
      <c r="BO28" s="146">
        <f>J28*(1-Scenarios!$D$8)+K28*G28/1000000*Scenarios!$D$9*(1+Scenarios!$D$10)</f>
        <v>1815.42421405</v>
      </c>
      <c r="BP28" s="146">
        <f>J28*(IF(H28&gt;=100,1,Scenarios!$D$11+(1-Scenarios!$D$11-Scenarios!$D$12)*H28/100)*MIN(1,H28/100))*(1-Scenarios!$D$13)</f>
        <v>545.34010897957512</v>
      </c>
      <c r="BQ28" s="146">
        <f>MAX(0,BO28*(IF(MIN(100,$H28+BN28*5)&gt;=100,1,Scenarios!$D$11+(1-Scenarios!$D$11-Scenarios!$D$12)*MIN(100,$H28+BN28*5)/100)*MIN(1,MIN(100,$H28+BN28*5)/100))*(1-Scenarios!$D$13)-BP28)</f>
        <v>1179.3128943679249</v>
      </c>
      <c r="BR28" s="146">
        <f>MAX(0,BO28*(IF(MIN(100,$H28+BN28*15)&gt;=100,1,Scenarios!$D$11+(1-Scenarios!$D$11-Scenarios!$D$12)*MIN(100,$H28+BN28*15)/100)*MIN(1,MIN(100,$H28+BN28*15)/100))*(1-Scenarios!$D$13)-BP28)</f>
        <v>1179.3128943679249</v>
      </c>
      <c r="BS28" s="146">
        <f>MAX(0,BO28*(IF(MIN(100,$H28+BN28*27)&gt;=100,1,Scenarios!$D$11+(1-Scenarios!$D$11-Scenarios!$D$12)*MIN(100,$H28+BN28*27)/100)*MIN(1,MIN(100,$H28+BN28*27)/100))*(1-Scenarios!$D$13)-BP28)</f>
        <v>1179.3128943679249</v>
      </c>
      <c r="BT28" s="146">
        <f>MAX(1,(YEAR(IF(I28="",EDATE($C$3,Scenarios!$E$7),IF(I28&lt;$C$3,EDATE($C$3,Scenarios!$E$6),EDATE(I28,Scenarios!$E$5))))-YEAR($C$3))*12+MONTH(IF(I28="",EDATE($C$3,Scenarios!$E$7),IF(I28&lt;$C$3,EDATE($C$3,Scenarios!$E$6),EDATE(I28,Scenarios!$E$5))))-MONTH($C$3))</f>
        <v>3</v>
      </c>
      <c r="BU28" s="178">
        <f>MIN(Scenarios!$E$14,(100-H28)/BT28)</f>
        <v>8</v>
      </c>
      <c r="BV28" s="146">
        <f>J28*(1-Scenarios!$E$8)+K28*G28/1000000*Scenarios!$E$9*(1+Scenarios!$E$10)</f>
        <v>2073.6041871299999</v>
      </c>
      <c r="BW28" s="146">
        <f>J28*(IF(H28&gt;=100,1,Scenarios!$E$11+(1-Scenarios!$E$11-Scenarios!$E$12)*H28/100)*MIN(1,H28/100))*(1-Scenarios!$E$13)</f>
        <v>545.34010897957512</v>
      </c>
      <c r="BX28" s="146">
        <f>MAX(0,BV28*(IF(MIN(100,$H28+BU28*5)&gt;=100,1,Scenarios!$E$11+(1-Scenarios!$E$11-Scenarios!$E$12)*MIN(100,$H28+BU28*5)/100)*MIN(1,MIN(100,$H28+BU28*5)/100))*(1-Scenarios!$E$13)-BW28)</f>
        <v>1424.5838687939245</v>
      </c>
      <c r="BY28" s="146">
        <f>MAX(0,BV28*(IF(MIN(100,$H28+BU28*15)&gt;=100,1,Scenarios!$E$11+(1-Scenarios!$E$11-Scenarios!$E$12)*MIN(100,$H28+BU28*15)/100)*MIN(1,MIN(100,$H28+BU28*15)/100))*(1-Scenarios!$E$13)-BW28)</f>
        <v>1424.5838687939245</v>
      </c>
      <c r="BZ28" s="146">
        <f>MAX(0,BV28*(IF(MIN(100,$H28+BU28*27)&gt;=100,1,Scenarios!$E$11+(1-Scenarios!$E$11-Scenarios!$E$12)*MIN(100,$H28+BU28*27)/100)*MIN(1,MIN(100,$H28+BU28*27)/100))*(1-Scenarios!$E$13)-BW28)</f>
        <v>1424.5838687939245</v>
      </c>
      <c r="CA28" s="206">
        <f t="shared" si="7"/>
        <v>1570.7806172304245</v>
      </c>
    </row>
    <row r="29" spans="1:79" ht="17.25" customHeight="1" x14ac:dyDescent="0.2">
      <c r="A29" s="135" t="s">
        <v>159</v>
      </c>
      <c r="B29" s="145" t="s">
        <v>160</v>
      </c>
      <c r="C29" s="145" t="s">
        <v>161</v>
      </c>
      <c r="D29" s="147">
        <v>46188</v>
      </c>
      <c r="E29" s="136">
        <v>697</v>
      </c>
      <c r="F29" s="136">
        <v>697</v>
      </c>
      <c r="G29" s="136">
        <v>876065</v>
      </c>
      <c r="H29" s="191">
        <v>0</v>
      </c>
      <c r="I29" s="150">
        <v>46446</v>
      </c>
      <c r="J29" s="146">
        <f t="shared" si="0"/>
        <v>610.61730499999999</v>
      </c>
      <c r="K29" s="146">
        <f t="shared" si="1"/>
        <v>0</v>
      </c>
      <c r="L29" s="192">
        <f t="shared" si="2"/>
        <v>1</v>
      </c>
      <c r="M29" s="147">
        <f>IF(I29="",EDATE($C$3,Scenarios!$F$7),IF(I29&lt;$C$3,EDATE($C$3,Scenarios!$F$6),EDATE(I29,Scenarios!$F$5)))</f>
        <v>46446</v>
      </c>
      <c r="N29" s="146">
        <f t="shared" si="3"/>
        <v>5</v>
      </c>
      <c r="O29" s="178">
        <f>MIN(Scenarios!$F$14,(100-H29)/N29)</f>
        <v>8</v>
      </c>
      <c r="P29" s="146">
        <f>J29*(1-Scenarios!$F$8)+K29*G29/1000000*Scenarios!$F$9*(1+Scenarios!$F$10)</f>
        <v>610.61730499999999</v>
      </c>
      <c r="Q29" s="146">
        <f>J29*(IF(H29&gt;=100,1,Scenarios!$F$11+(1-Scenarios!$F$11-Scenarios!$F$12)*H29/100)*MIN(1,H29/100))*(1-Scenarios!$F$13)</f>
        <v>0</v>
      </c>
      <c r="R29" s="146">
        <f t="shared" si="4"/>
        <v>78.89175580600002</v>
      </c>
      <c r="S29" s="146">
        <f t="shared" si="5"/>
        <v>580.08643974999995</v>
      </c>
      <c r="T29" s="146">
        <f t="shared" si="6"/>
        <v>580.08643974999995</v>
      </c>
      <c r="U29" s="193">
        <f>J29*IF(H29&gt;=100,1,Scenarios!$F$11+(1-Scenarios!$F$11-Scenarios!$F$12)*H29/100)</f>
        <v>61.061730500000003</v>
      </c>
      <c r="V29" s="201">
        <f>MAX(0,$P29*(IF(MIN(100,$H29+$O29*V$6)&gt;=100,1,Scenarios!$F$11+(1-Scenarios!$F$11-Scenarios!$F$12)*MIN(100,$H29+$O29*V$6)/100)*MIN(1,MIN(100,$H29+$O29*V$6)/100))*(1-Scenarios!$F$13)-$Q29)</f>
        <v>6.8682234466400001</v>
      </c>
      <c r="W29" s="146">
        <f>MAX(0,$P29*(IF(MIN(100,$H29+$O29*W$6)&gt;=100,1,Scenarios!$F$11+(1-Scenarios!$F$11-Scenarios!$F$12)*MIN(100,$H29+$O29*W$6)/100)*MIN(1,MIN(100,$H29+$O29*W$6)/100))*(1-Scenarios!$F$13)-$Q29)</f>
        <v>18.191510750559999</v>
      </c>
      <c r="X29" s="146">
        <f>MAX(0,$P29*(IF(MIN(100,$H29+$O29*X$6)&gt;=100,1,Scenarios!$F$11+(1-Scenarios!$F$11-Scenarios!$F$12)*MIN(100,$H29+$O29*X$6)/100)*MIN(1,MIN(100,$H29+$O29*X$6)/100))*(1-Scenarios!$F$13)-$Q29)</f>
        <v>33.969861911759999</v>
      </c>
      <c r="Y29" s="146">
        <f>MAX(0,$P29*(IF(MIN(100,$H29+$O29*Y$6)&gt;=100,1,Scenarios!$F$11+(1-Scenarios!$F$11-Scenarios!$F$12)*MIN(100,$H29+$O29*Y$6)/100)*MIN(1,MIN(100,$H29+$O29*Y$6)/100))*(1-Scenarios!$F$13)-$Q29)</f>
        <v>54.203276930240001</v>
      </c>
      <c r="Z29" s="146">
        <f>MAX(0,$P29*(IF(MIN(100,$H29+$O29*Z$6)&gt;=100,1,Scenarios!$F$11+(1-Scenarios!$F$11-Scenarios!$F$12)*MIN(100,$H29+$O29*Z$6)/100)*MIN(1,MIN(100,$H29+$O29*Z$6)/100))*(1-Scenarios!$F$13)-$Q29)</f>
        <v>78.89175580600002</v>
      </c>
      <c r="AA29" s="146">
        <f>MAX(0,$P29*(IF(MIN(100,$H29+$O29*AA$6)&gt;=100,1,Scenarios!$F$11+(1-Scenarios!$F$11-Scenarios!$F$12)*MIN(100,$H29+$O29*AA$6)/100)*MIN(1,MIN(100,$H29+$O29*AA$6)/100))*(1-Scenarios!$F$13)-$Q29)</f>
        <v>108.03529853903999</v>
      </c>
      <c r="AB29" s="146">
        <f>MAX(0,$P29*(IF(MIN(100,$H29+$O29*AB$6)&gt;=100,1,Scenarios!$F$11+(1-Scenarios!$F$11-Scenarios!$F$12)*MIN(100,$H29+$O29*AB$6)/100)*MIN(1,MIN(100,$H29+$O29*AB$6)/100))*(1-Scenarios!$F$13)-$Q29)</f>
        <v>141.63390512936002</v>
      </c>
      <c r="AC29" s="146">
        <f>MAX(0,$P29*(IF(MIN(100,$H29+$O29*AC$6)&gt;=100,1,Scenarios!$F$11+(1-Scenarios!$F$11-Scenarios!$F$12)*MIN(100,$H29+$O29*AC$6)/100)*MIN(1,MIN(100,$H29+$O29*AC$6)/100))*(1-Scenarios!$F$13)-$Q29)</f>
        <v>179.68757557696003</v>
      </c>
      <c r="AD29" s="146">
        <f>MAX(0,$P29*(IF(MIN(100,$H29+$O29*AD$6)&gt;=100,1,Scenarios!$F$11+(1-Scenarios!$F$11-Scenarios!$F$12)*MIN(100,$H29+$O29*AD$6)/100)*MIN(1,MIN(100,$H29+$O29*AD$6)/100))*(1-Scenarios!$F$13)-$Q29)</f>
        <v>222.19630988183997</v>
      </c>
      <c r="AE29" s="146">
        <f>MAX(0,$P29*(IF(MIN(100,$H29+$O29*AE$6)&gt;=100,1,Scenarios!$F$11+(1-Scenarios!$F$11-Scenarios!$F$12)*MIN(100,$H29+$O29*AE$6)/100)*MIN(1,MIN(100,$H29+$O29*AE$6)/100))*(1-Scenarios!$F$13)-$Q29)</f>
        <v>269.16010804400003</v>
      </c>
      <c r="AF29" s="146">
        <f>MAX(0,$P29*(IF(MIN(100,$H29+$O29*AF$6)&gt;=100,1,Scenarios!$F$11+(1-Scenarios!$F$11-Scenarios!$F$12)*MIN(100,$H29+$O29*AF$6)/100)*MIN(1,MIN(100,$H29+$O29*AF$6)/100))*(1-Scenarios!$F$13)-$Q29)</f>
        <v>320.57897006344007</v>
      </c>
      <c r="AG29" s="146">
        <f>MAX(0,$P29*(IF(MIN(100,$H29+$O29*AG$6)&gt;=100,1,Scenarios!$F$11+(1-Scenarios!$F$11-Scenarios!$F$12)*MIN(100,$H29+$O29*AG$6)/100)*MIN(1,MIN(100,$H29+$O29*AG$6)/100))*(1-Scenarios!$F$13)-$Q29)</f>
        <v>376.45289594015998</v>
      </c>
      <c r="AH29" s="146">
        <f>MAX(0,$P29*(IF(MIN(100,$H29+$O29*AH$6)&gt;=100,1,Scenarios!$F$11+(1-Scenarios!$F$11-Scenarios!$F$12)*MIN(100,$H29+$O29*AH$6)/100)*MIN(1,MIN(100,$H29+$O29*AH$6)/100))*(1-Scenarios!$F$13)-$Q29)</f>
        <v>580.08643974999995</v>
      </c>
      <c r="AI29" s="146">
        <f>MAX(0,$P29*(IF(MIN(100,$H29+$O29*AI$6)&gt;=100,1,Scenarios!$F$11+(1-Scenarios!$F$11-Scenarios!$F$12)*MIN(100,$H29+$O29*AI$6)/100)*MIN(1,MIN(100,$H29+$O29*AI$6)/100))*(1-Scenarios!$F$13)-$Q29)</f>
        <v>580.08643974999995</v>
      </c>
      <c r="AJ29" s="146">
        <f>MAX(0,$P29*(IF(MIN(100,$H29+$O29*AJ$6)&gt;=100,1,Scenarios!$F$11+(1-Scenarios!$F$11-Scenarios!$F$12)*MIN(100,$H29+$O29*AJ$6)/100)*MIN(1,MIN(100,$H29+$O29*AJ$6)/100))*(1-Scenarios!$F$13)-$Q29)</f>
        <v>580.08643974999995</v>
      </c>
      <c r="AK29" s="146">
        <f>MAX(0,$P29*(IF(MIN(100,$H29+$O29*AK$6)&gt;=100,1,Scenarios!$F$11+(1-Scenarios!$F$11-Scenarios!$F$12)*MIN(100,$H29+$O29*AK$6)/100)*MIN(1,MIN(100,$H29+$O29*AK$6)/100))*(1-Scenarios!$F$13)-$Q29)</f>
        <v>580.08643974999995</v>
      </c>
      <c r="AL29" s="146">
        <f>MAX(0,$P29*(IF(MIN(100,$H29+$O29*AL$6)&gt;=100,1,Scenarios!$F$11+(1-Scenarios!$F$11-Scenarios!$F$12)*MIN(100,$H29+$O29*AL$6)/100)*MIN(1,MIN(100,$H29+$O29*AL$6)/100))*(1-Scenarios!$F$13)-$Q29)</f>
        <v>580.08643974999995</v>
      </c>
      <c r="AM29" s="146">
        <f>MAX(0,$P29*(IF(MIN(100,$H29+$O29*AM$6)&gt;=100,1,Scenarios!$F$11+(1-Scenarios!$F$11-Scenarios!$F$12)*MIN(100,$H29+$O29*AM$6)/100)*MIN(1,MIN(100,$H29+$O29*AM$6)/100))*(1-Scenarios!$F$13)-$Q29)</f>
        <v>580.08643974999995</v>
      </c>
      <c r="AN29" s="146">
        <f>MAX(0,$P29*(IF(MIN(100,$H29+$O29*AN$6)&gt;=100,1,Scenarios!$F$11+(1-Scenarios!$F$11-Scenarios!$F$12)*MIN(100,$H29+$O29*AN$6)/100)*MIN(1,MIN(100,$H29+$O29*AN$6)/100))*(1-Scenarios!$F$13)-$Q29)</f>
        <v>580.08643974999995</v>
      </c>
      <c r="AO29" s="146">
        <f>MAX(0,$P29*(IF(MIN(100,$H29+$O29*AO$6)&gt;=100,1,Scenarios!$F$11+(1-Scenarios!$F$11-Scenarios!$F$12)*MIN(100,$H29+$O29*AO$6)/100)*MIN(1,MIN(100,$H29+$O29*AO$6)/100))*(1-Scenarios!$F$13)-$Q29)</f>
        <v>580.08643974999995</v>
      </c>
      <c r="AP29" s="146">
        <f>MAX(0,$P29*(IF(MIN(100,$H29+$O29*AP$6)&gt;=100,1,Scenarios!$F$11+(1-Scenarios!$F$11-Scenarios!$F$12)*MIN(100,$H29+$O29*AP$6)/100)*MIN(1,MIN(100,$H29+$O29*AP$6)/100))*(1-Scenarios!$F$13)-$Q29)</f>
        <v>580.08643974999995</v>
      </c>
      <c r="AQ29" s="146">
        <f>MAX(0,$P29*(IF(MIN(100,$H29+$O29*AQ$6)&gt;=100,1,Scenarios!$F$11+(1-Scenarios!$F$11-Scenarios!$F$12)*MIN(100,$H29+$O29*AQ$6)/100)*MIN(1,MIN(100,$H29+$O29*AQ$6)/100))*(1-Scenarios!$F$13)-$Q29)</f>
        <v>580.08643974999995</v>
      </c>
      <c r="AR29" s="146">
        <f>MAX(0,$P29*(IF(MIN(100,$H29+$O29*AR$6)&gt;=100,1,Scenarios!$F$11+(1-Scenarios!$F$11-Scenarios!$F$12)*MIN(100,$H29+$O29*AR$6)/100)*MIN(1,MIN(100,$H29+$O29*AR$6)/100))*(1-Scenarios!$F$13)-$Q29)</f>
        <v>580.08643974999995</v>
      </c>
      <c r="AS29" s="146">
        <f>MAX(0,$P29*(IF(MIN(100,$H29+$O29*AS$6)&gt;=100,1,Scenarios!$F$11+(1-Scenarios!$F$11-Scenarios!$F$12)*MIN(100,$H29+$O29*AS$6)/100)*MIN(1,MIN(100,$H29+$O29*AS$6)/100))*(1-Scenarios!$F$13)-$Q29)</f>
        <v>580.08643974999995</v>
      </c>
      <c r="AT29" s="146">
        <f>MAX(0,$P29*(IF(MIN(100,$H29+$O29*AT$6)&gt;=100,1,Scenarios!$F$11+(1-Scenarios!$F$11-Scenarios!$F$12)*MIN(100,$H29+$O29*AT$6)/100)*MIN(1,MIN(100,$H29+$O29*AT$6)/100))*(1-Scenarios!$F$13)-$Q29)</f>
        <v>580.08643974999995</v>
      </c>
      <c r="AU29" s="146">
        <f>MAX(0,$P29*(IF(MIN(100,$H29+$O29*AU$6)&gt;=100,1,Scenarios!$F$11+(1-Scenarios!$F$11-Scenarios!$F$12)*MIN(100,$H29+$O29*AU$6)/100)*MIN(1,MIN(100,$H29+$O29*AU$6)/100))*(1-Scenarios!$F$13)-$Q29)</f>
        <v>580.08643974999995</v>
      </c>
      <c r="AV29" s="146">
        <f>MAX(0,$P29*(IF(MIN(100,$H29+$O29*AV$6)&gt;=100,1,Scenarios!$F$11+(1-Scenarios!$F$11-Scenarios!$F$12)*MIN(100,$H29+$O29*AV$6)/100)*MIN(1,MIN(100,$H29+$O29*AV$6)/100))*(1-Scenarios!$F$13)-$Q29)</f>
        <v>580.08643974999995</v>
      </c>
      <c r="AW29" s="193">
        <f>MAX(0,$P29*(IF(MIN(100,$H29+$O29*AW$6)&gt;=100,1,Scenarios!$F$11+(1-Scenarios!$F$11-Scenarios!$F$12)*MIN(100,$H29+$O29*AW$6)/100)*MIN(1,MIN(100,$H29+$O29*AW$6)/100))*(1-Scenarios!$F$13)-$Q29)</f>
        <v>580.08643974999995</v>
      </c>
      <c r="AX29" s="2"/>
      <c r="AY29" s="201">
        <f>MAX(1,(YEAR(IF(I29="",EDATE($C$3,Scenarios!$B$7),IF(I29&lt;$C$3,EDATE($C$3,Scenarios!$B$6),EDATE(I29,Scenarios!$B$5))))-YEAR($C$3))*12+MONTH(IF(I29="",EDATE($C$3,Scenarios!$B$7),IF(I29&lt;$C$3,EDATE($C$3,Scenarios!$B$6),EDATE(I29,Scenarios!$B$5))))-MONTH($C$3))</f>
        <v>5</v>
      </c>
      <c r="AZ29" s="178">
        <f>MIN(Scenarios!$B$14,(100-H29)/AY29)</f>
        <v>8</v>
      </c>
      <c r="BA29" s="146">
        <f>J29*(1-Scenarios!$B$8)+K29*G29/1000000*Scenarios!$B$9*(1+Scenarios!$B$10)</f>
        <v>610.61730499999999</v>
      </c>
      <c r="BB29" s="146">
        <f>J29*(IF(H29&gt;=100,1,Scenarios!$B$11+(1-Scenarios!$B$11-Scenarios!$B$12)*H29/100)*MIN(1,H29/100))*(1-Scenarios!$B$13)</f>
        <v>0</v>
      </c>
      <c r="BC29" s="146">
        <f>MAX(0,BA29*(IF(MIN(100,$H29+AZ29*5)&gt;=100,1,Scenarios!$B$11+(1-Scenarios!$B$11-Scenarios!$B$12)*MIN(100,$H29+AZ29*5)/100)*MIN(1,MIN(100,$H29+AZ29*5)/100))*(1-Scenarios!$B$13)-BB29)</f>
        <v>78.89175580600002</v>
      </c>
      <c r="BD29" s="146">
        <f>MAX(0,BA29*(IF(MIN(100,$H29+AZ29*15)&gt;=100,1,Scenarios!$B$11+(1-Scenarios!$B$11-Scenarios!$B$12)*MIN(100,$H29+AZ29*15)/100)*MIN(1,MIN(100,$H29+AZ29*15)/100))*(1-Scenarios!$B$13)-BB29)</f>
        <v>580.08643974999995</v>
      </c>
      <c r="BE29" s="146">
        <f>MAX(0,BA29*(IF(MIN(100,$H29+AZ29*27)&gt;=100,1,Scenarios!$B$11+(1-Scenarios!$B$11-Scenarios!$B$12)*MIN(100,$H29+AZ29*27)/100)*MIN(1,MIN(100,$H29+AZ29*27)/100))*(1-Scenarios!$B$13)-BB29)</f>
        <v>580.08643974999995</v>
      </c>
      <c r="BF29" s="146">
        <f>MAX(1,(YEAR(IF(I29="",EDATE($C$3,Scenarios!$C$7),IF(I29&lt;$C$3,EDATE($C$3,Scenarios!$C$6),EDATE(I29,Scenarios!$C$5))))-YEAR($C$3))*12+MONTH(IF(I29="",EDATE($C$3,Scenarios!$C$7),IF(I29&lt;$C$3,EDATE($C$3,Scenarios!$C$6),EDATE(I29,Scenarios!$C$5))))-MONTH($C$3))</f>
        <v>11</v>
      </c>
      <c r="BG29" s="178">
        <f>MIN(Scenarios!$C$14,(100-H29)/BF29)</f>
        <v>6</v>
      </c>
      <c r="BH29" s="146">
        <f>J29*(1-Scenarios!$C$8)+K29*G29/1000000*Scenarios!$C$9*(1+Scenarios!$C$10)</f>
        <v>610.61730499999999</v>
      </c>
      <c r="BI29" s="146">
        <f>J29*(IF(H29&gt;=100,1,Scenarios!$C$11+(1-Scenarios!$C$11-Scenarios!$C$12)*H29/100)*MIN(1,H29/100))*(1-Scenarios!$C$13)</f>
        <v>0</v>
      </c>
      <c r="BJ29" s="146">
        <f>MAX(0,BH29*(IF(MIN(100,$H29+BG29*5)&gt;=100,1,Scenarios!$C$11+(1-Scenarios!$C$11-Scenarios!$C$12)*MIN(100,$H29+BG29*5)/100)*MIN(1,MIN(100,$H29+BG29*5)/100))*(1-Scenarios!$C$13)-BI29)</f>
        <v>48.727260939000004</v>
      </c>
      <c r="BK29" s="146">
        <f>MAX(0,BH29*(IF(MIN(100,$H29+BG29*15)&gt;=100,1,Scenarios!$C$11+(1-Scenarios!$C$11-Scenarios!$C$12)*MIN(100,$H29+BG29*15)/100)*MIN(1,MIN(100,$H29+BG29*15)/100))*(1-Scenarios!$C$13)-BI29)</f>
        <v>334.12978929600001</v>
      </c>
      <c r="BL29" s="146">
        <f>MAX(0,BH29*(IF(MIN(100,$H29+BG29*27)&gt;=100,1,Scenarios!$C$11+(1-Scenarios!$C$11-Scenarios!$C$12)*MIN(100,$H29+BG29*27)/100)*MIN(1,MIN(100,$H29+BG29*27)/100))*(1-Scenarios!$C$13)-BI29)</f>
        <v>580.08643974999995</v>
      </c>
      <c r="BM29" s="146">
        <f>MAX(1,(YEAR(IF(I29="",EDATE($C$3,Scenarios!$D$7),IF(I29&lt;$C$3,EDATE($C$3,Scenarios!$D$6),EDATE(I29,Scenarios!$D$5))))-YEAR($C$3))*12+MONTH(IF(I29="",EDATE($C$3,Scenarios!$D$7),IF(I29&lt;$C$3,EDATE($C$3,Scenarios!$D$6),EDATE(I29,Scenarios!$D$5))))-MONTH($C$3))</f>
        <v>5</v>
      </c>
      <c r="BN29" s="178">
        <f>MIN(Scenarios!$D$14,(100-H29)/BM29)</f>
        <v>8</v>
      </c>
      <c r="BO29" s="146">
        <f>J29*(1-Scenarios!$D$8)+K29*G29/1000000*Scenarios!$D$9*(1+Scenarios!$D$10)</f>
        <v>519.02470925</v>
      </c>
      <c r="BP29" s="146">
        <f>J29*(IF(H29&gt;=100,1,Scenarios!$D$11+(1-Scenarios!$D$11-Scenarios!$D$12)*H29/100)*MIN(1,H29/100))*(1-Scenarios!$D$13)</f>
        <v>0</v>
      </c>
      <c r="BQ29" s="146">
        <f>MAX(0,BO29*(IF(MIN(100,$H29+BN29*5)&gt;=100,1,Scenarios!$D$11+(1-Scenarios!$D$11-Scenarios!$D$12)*MIN(100,$H29+BN29*5)/100)*MIN(1,MIN(100,$H29+BN29*5)/100))*(1-Scenarios!$D$13)-BP29)</f>
        <v>67.057992435100019</v>
      </c>
      <c r="BR29" s="146">
        <f>MAX(0,BO29*(IF(MIN(100,$H29+BN29*15)&gt;=100,1,Scenarios!$D$11+(1-Scenarios!$D$11-Scenarios!$D$12)*MIN(100,$H29+BN29*15)/100)*MIN(1,MIN(100,$H29+BN29*15)/100))*(1-Scenarios!$D$13)-BP29)</f>
        <v>493.07347378749995</v>
      </c>
      <c r="BS29" s="146">
        <f>MAX(0,BO29*(IF(MIN(100,$H29+BN29*27)&gt;=100,1,Scenarios!$D$11+(1-Scenarios!$D$11-Scenarios!$D$12)*MIN(100,$H29+BN29*27)/100)*MIN(1,MIN(100,$H29+BN29*27)/100))*(1-Scenarios!$D$13)-BP29)</f>
        <v>493.07347378749995</v>
      </c>
      <c r="BT29" s="146">
        <f>MAX(1,(YEAR(IF(I29="",EDATE($C$3,Scenarios!$E$7),IF(I29&lt;$C$3,EDATE($C$3,Scenarios!$E$6),EDATE(I29,Scenarios!$E$5))))-YEAR($C$3))*12+MONTH(IF(I29="",EDATE($C$3,Scenarios!$E$7),IF(I29&lt;$C$3,EDATE($C$3,Scenarios!$E$6),EDATE(I29,Scenarios!$E$5))))-MONTH($C$3))</f>
        <v>5</v>
      </c>
      <c r="BU29" s="178">
        <f>MIN(Scenarios!$E$14,(100-H29)/BT29)</f>
        <v>8</v>
      </c>
      <c r="BV29" s="146">
        <f>J29*(1-Scenarios!$E$8)+K29*G29/1000000*Scenarios!$E$9*(1+Scenarios!$E$10)</f>
        <v>580.08643974999995</v>
      </c>
      <c r="BW29" s="146">
        <f>J29*(IF(H29&gt;=100,1,Scenarios!$E$11+(1-Scenarios!$E$11-Scenarios!$E$12)*H29/100)*MIN(1,H29/100))*(1-Scenarios!$E$13)</f>
        <v>0</v>
      </c>
      <c r="BX29" s="146">
        <f>MAX(0,BV29*(IF(MIN(100,$H29+BU29*5)&gt;=100,1,Scenarios!$E$11+(1-Scenarios!$E$11-Scenarios!$E$12)*MIN(100,$H29+BU29*5)/100)*MIN(1,MIN(100,$H29+BU29*5)/100))*(1-Scenarios!$E$13)-BW29)</f>
        <v>74.947168015700015</v>
      </c>
      <c r="BY29" s="146">
        <f>MAX(0,BV29*(IF(MIN(100,$H29+BU29*15)&gt;=100,1,Scenarios!$E$11+(1-Scenarios!$E$11-Scenarios!$E$12)*MIN(100,$H29+BU29*15)/100)*MIN(1,MIN(100,$H29+BU29*15)/100))*(1-Scenarios!$E$13)-BW29)</f>
        <v>551.08211776249993</v>
      </c>
      <c r="BZ29" s="146">
        <f>MAX(0,BV29*(IF(MIN(100,$H29+BU29*27)&gt;=100,1,Scenarios!$E$11+(1-Scenarios!$E$11-Scenarios!$E$12)*MIN(100,$H29+BU29*27)/100)*MIN(1,MIN(100,$H29+BU29*27)/100))*(1-Scenarios!$E$13)-BW29)</f>
        <v>551.08211776249993</v>
      </c>
      <c r="CA29" s="206">
        <f t="shared" si="7"/>
        <v>78.891784806000018</v>
      </c>
    </row>
    <row r="30" spans="1:79" ht="17.25" customHeight="1" x14ac:dyDescent="0.2">
      <c r="A30" s="135" t="s">
        <v>162</v>
      </c>
      <c r="B30" s="145" t="s">
        <v>163</v>
      </c>
      <c r="C30" s="145" t="s">
        <v>161</v>
      </c>
      <c r="D30" s="147">
        <v>46188</v>
      </c>
      <c r="E30" s="136">
        <v>1500</v>
      </c>
      <c r="F30" s="136">
        <v>1500</v>
      </c>
      <c r="G30" s="136">
        <v>788224</v>
      </c>
      <c r="H30" s="191">
        <v>0</v>
      </c>
      <c r="I30" s="150">
        <v>46477</v>
      </c>
      <c r="J30" s="146">
        <f t="shared" si="0"/>
        <v>1182.336</v>
      </c>
      <c r="K30" s="146">
        <f t="shared" si="1"/>
        <v>0</v>
      </c>
      <c r="L30" s="192">
        <f t="shared" si="2"/>
        <v>1</v>
      </c>
      <c r="M30" s="147">
        <f>IF(I30="",EDATE($C$3,Scenarios!$F$7),IF(I30&lt;$C$3,EDATE($C$3,Scenarios!$F$6),EDATE(I30,Scenarios!$F$5)))</f>
        <v>46477</v>
      </c>
      <c r="N30" s="146">
        <f t="shared" si="3"/>
        <v>6</v>
      </c>
      <c r="O30" s="178">
        <f>MIN(Scenarios!$F$14,(100-H30)/N30)</f>
        <v>8</v>
      </c>
      <c r="P30" s="146">
        <f>J30*(1-Scenarios!$F$8)+K30*G30/1000000*Scenarios!$F$9*(1+Scenarios!$F$10)</f>
        <v>1182.336</v>
      </c>
      <c r="Q30" s="146">
        <f>J30*(IF(H30&gt;=100,1,Scenarios!$F$11+(1-Scenarios!$F$11-Scenarios!$F$12)*H30/100)*MIN(1,H30/100))*(1-Scenarios!$F$13)</f>
        <v>0</v>
      </c>
      <c r="R30" s="146">
        <f t="shared" si="4"/>
        <v>152.75781120000005</v>
      </c>
      <c r="S30" s="146">
        <f t="shared" si="5"/>
        <v>1123.2192</v>
      </c>
      <c r="T30" s="146">
        <f t="shared" si="6"/>
        <v>1123.2192</v>
      </c>
      <c r="U30" s="193">
        <f>J30*IF(H30&gt;=100,1,Scenarios!$F$11+(1-Scenarios!$F$11-Scenarios!$F$12)*H30/100)</f>
        <v>118.23360000000001</v>
      </c>
      <c r="V30" s="201">
        <f>MAX(0,$P30*(IF(MIN(100,$H30+$O30*V$6)&gt;=100,1,Scenarios!$F$11+(1-Scenarios!$F$11-Scenarios!$F$12)*MIN(100,$H30+$O30*V$6)/100)*MIN(1,MIN(100,$H30+$O30*V$6)/100))*(1-Scenarios!$F$13)-$Q30)</f>
        <v>13.298915328000001</v>
      </c>
      <c r="W30" s="146">
        <f>MAX(0,$P30*(IF(MIN(100,$H30+$O30*W$6)&gt;=100,1,Scenarios!$F$11+(1-Scenarios!$F$11-Scenarios!$F$12)*MIN(100,$H30+$O30*W$6)/100)*MIN(1,MIN(100,$H30+$O30*W$6)/100))*(1-Scenarios!$F$13)-$Q30)</f>
        <v>35.224154111999994</v>
      </c>
      <c r="X30" s="146">
        <f>MAX(0,$P30*(IF(MIN(100,$H30+$O30*X$6)&gt;=100,1,Scenarios!$F$11+(1-Scenarios!$F$11-Scenarios!$F$12)*MIN(100,$H30+$O30*X$6)/100)*MIN(1,MIN(100,$H30+$O30*X$6)/100))*(1-Scenarios!$F$13)-$Q30)</f>
        <v>65.775716351999989</v>
      </c>
      <c r="Y30" s="146">
        <f>MAX(0,$P30*(IF(MIN(100,$H30+$O30*Y$6)&gt;=100,1,Scenarios!$F$11+(1-Scenarios!$F$11-Scenarios!$F$12)*MIN(100,$H30+$O30*Y$6)/100)*MIN(1,MIN(100,$H30+$O30*Y$6)/100))*(1-Scenarios!$F$13)-$Q30)</f>
        <v>104.95360204800001</v>
      </c>
      <c r="Z30" s="146">
        <f>MAX(0,$P30*(IF(MIN(100,$H30+$O30*Z$6)&gt;=100,1,Scenarios!$F$11+(1-Scenarios!$F$11-Scenarios!$F$12)*MIN(100,$H30+$O30*Z$6)/100)*MIN(1,MIN(100,$H30+$O30*Z$6)/100))*(1-Scenarios!$F$13)-$Q30)</f>
        <v>152.75781120000005</v>
      </c>
      <c r="AA30" s="146">
        <f>MAX(0,$P30*(IF(MIN(100,$H30+$O30*AA$6)&gt;=100,1,Scenarios!$F$11+(1-Scenarios!$F$11-Scenarios!$F$12)*MIN(100,$H30+$O30*AA$6)/100)*MIN(1,MIN(100,$H30+$O30*AA$6)/100))*(1-Scenarios!$F$13)-$Q30)</f>
        <v>209.18834380799998</v>
      </c>
      <c r="AB30" s="146">
        <f>MAX(0,$P30*(IF(MIN(100,$H30+$O30*AB$6)&gt;=100,1,Scenarios!$F$11+(1-Scenarios!$F$11-Scenarios!$F$12)*MIN(100,$H30+$O30*AB$6)/100)*MIN(1,MIN(100,$H30+$O30*AB$6)/100))*(1-Scenarios!$F$13)-$Q30)</f>
        <v>274.24519987200006</v>
      </c>
      <c r="AC30" s="146">
        <f>MAX(0,$P30*(IF(MIN(100,$H30+$O30*AC$6)&gt;=100,1,Scenarios!$F$11+(1-Scenarios!$F$11-Scenarios!$F$12)*MIN(100,$H30+$O30*AC$6)/100)*MIN(1,MIN(100,$H30+$O30*AC$6)/100))*(1-Scenarios!$F$13)-$Q30)</f>
        <v>347.92837939200007</v>
      </c>
      <c r="AD30" s="146">
        <f>MAX(0,$P30*(IF(MIN(100,$H30+$O30*AD$6)&gt;=100,1,Scenarios!$F$11+(1-Scenarios!$F$11-Scenarios!$F$12)*MIN(100,$H30+$O30*AD$6)/100)*MIN(1,MIN(100,$H30+$O30*AD$6)/100))*(1-Scenarios!$F$13)-$Q30)</f>
        <v>430.23788236799999</v>
      </c>
      <c r="AE30" s="146">
        <f>MAX(0,$P30*(IF(MIN(100,$H30+$O30*AE$6)&gt;=100,1,Scenarios!$F$11+(1-Scenarios!$F$11-Scenarios!$F$12)*MIN(100,$H30+$O30*AE$6)/100)*MIN(1,MIN(100,$H30+$O30*AE$6)/100))*(1-Scenarios!$F$13)-$Q30)</f>
        <v>521.17370879999999</v>
      </c>
      <c r="AF30" s="146">
        <f>MAX(0,$P30*(IF(MIN(100,$H30+$O30*AF$6)&gt;=100,1,Scenarios!$F$11+(1-Scenarios!$F$11-Scenarios!$F$12)*MIN(100,$H30+$O30*AF$6)/100)*MIN(1,MIN(100,$H30+$O30*AF$6)/100))*(1-Scenarios!$F$13)-$Q30)</f>
        <v>620.73585868800012</v>
      </c>
      <c r="AG30" s="146">
        <f>MAX(0,$P30*(IF(MIN(100,$H30+$O30*AG$6)&gt;=100,1,Scenarios!$F$11+(1-Scenarios!$F$11-Scenarios!$F$12)*MIN(100,$H30+$O30*AG$6)/100)*MIN(1,MIN(100,$H30+$O30*AG$6)/100))*(1-Scenarios!$F$13)-$Q30)</f>
        <v>728.92433203199994</v>
      </c>
      <c r="AH30" s="146">
        <f>MAX(0,$P30*(IF(MIN(100,$H30+$O30*AH$6)&gt;=100,1,Scenarios!$F$11+(1-Scenarios!$F$11-Scenarios!$F$12)*MIN(100,$H30+$O30*AH$6)/100)*MIN(1,MIN(100,$H30+$O30*AH$6)/100))*(1-Scenarios!$F$13)-$Q30)</f>
        <v>1123.2192</v>
      </c>
      <c r="AI30" s="146">
        <f>MAX(0,$P30*(IF(MIN(100,$H30+$O30*AI$6)&gt;=100,1,Scenarios!$F$11+(1-Scenarios!$F$11-Scenarios!$F$12)*MIN(100,$H30+$O30*AI$6)/100)*MIN(1,MIN(100,$H30+$O30*AI$6)/100))*(1-Scenarios!$F$13)-$Q30)</f>
        <v>1123.2192</v>
      </c>
      <c r="AJ30" s="146">
        <f>MAX(0,$P30*(IF(MIN(100,$H30+$O30*AJ$6)&gt;=100,1,Scenarios!$F$11+(1-Scenarios!$F$11-Scenarios!$F$12)*MIN(100,$H30+$O30*AJ$6)/100)*MIN(1,MIN(100,$H30+$O30*AJ$6)/100))*(1-Scenarios!$F$13)-$Q30)</f>
        <v>1123.2192</v>
      </c>
      <c r="AK30" s="146">
        <f>MAX(0,$P30*(IF(MIN(100,$H30+$O30*AK$6)&gt;=100,1,Scenarios!$F$11+(1-Scenarios!$F$11-Scenarios!$F$12)*MIN(100,$H30+$O30*AK$6)/100)*MIN(1,MIN(100,$H30+$O30*AK$6)/100))*(1-Scenarios!$F$13)-$Q30)</f>
        <v>1123.2192</v>
      </c>
      <c r="AL30" s="146">
        <f>MAX(0,$P30*(IF(MIN(100,$H30+$O30*AL$6)&gt;=100,1,Scenarios!$F$11+(1-Scenarios!$F$11-Scenarios!$F$12)*MIN(100,$H30+$O30*AL$6)/100)*MIN(1,MIN(100,$H30+$O30*AL$6)/100))*(1-Scenarios!$F$13)-$Q30)</f>
        <v>1123.2192</v>
      </c>
      <c r="AM30" s="146">
        <f>MAX(0,$P30*(IF(MIN(100,$H30+$O30*AM$6)&gt;=100,1,Scenarios!$F$11+(1-Scenarios!$F$11-Scenarios!$F$12)*MIN(100,$H30+$O30*AM$6)/100)*MIN(1,MIN(100,$H30+$O30*AM$6)/100))*(1-Scenarios!$F$13)-$Q30)</f>
        <v>1123.2192</v>
      </c>
      <c r="AN30" s="146">
        <f>MAX(0,$P30*(IF(MIN(100,$H30+$O30*AN$6)&gt;=100,1,Scenarios!$F$11+(1-Scenarios!$F$11-Scenarios!$F$12)*MIN(100,$H30+$O30*AN$6)/100)*MIN(1,MIN(100,$H30+$O30*AN$6)/100))*(1-Scenarios!$F$13)-$Q30)</f>
        <v>1123.2192</v>
      </c>
      <c r="AO30" s="146">
        <f>MAX(0,$P30*(IF(MIN(100,$H30+$O30*AO$6)&gt;=100,1,Scenarios!$F$11+(1-Scenarios!$F$11-Scenarios!$F$12)*MIN(100,$H30+$O30*AO$6)/100)*MIN(1,MIN(100,$H30+$O30*AO$6)/100))*(1-Scenarios!$F$13)-$Q30)</f>
        <v>1123.2192</v>
      </c>
      <c r="AP30" s="146">
        <f>MAX(0,$P30*(IF(MIN(100,$H30+$O30*AP$6)&gt;=100,1,Scenarios!$F$11+(1-Scenarios!$F$11-Scenarios!$F$12)*MIN(100,$H30+$O30*AP$6)/100)*MIN(1,MIN(100,$H30+$O30*AP$6)/100))*(1-Scenarios!$F$13)-$Q30)</f>
        <v>1123.2192</v>
      </c>
      <c r="AQ30" s="146">
        <f>MAX(0,$P30*(IF(MIN(100,$H30+$O30*AQ$6)&gt;=100,1,Scenarios!$F$11+(1-Scenarios!$F$11-Scenarios!$F$12)*MIN(100,$H30+$O30*AQ$6)/100)*MIN(1,MIN(100,$H30+$O30*AQ$6)/100))*(1-Scenarios!$F$13)-$Q30)</f>
        <v>1123.2192</v>
      </c>
      <c r="AR30" s="146">
        <f>MAX(0,$P30*(IF(MIN(100,$H30+$O30*AR$6)&gt;=100,1,Scenarios!$F$11+(1-Scenarios!$F$11-Scenarios!$F$12)*MIN(100,$H30+$O30*AR$6)/100)*MIN(1,MIN(100,$H30+$O30*AR$6)/100))*(1-Scenarios!$F$13)-$Q30)</f>
        <v>1123.2192</v>
      </c>
      <c r="AS30" s="146">
        <f>MAX(0,$P30*(IF(MIN(100,$H30+$O30*AS$6)&gt;=100,1,Scenarios!$F$11+(1-Scenarios!$F$11-Scenarios!$F$12)*MIN(100,$H30+$O30*AS$6)/100)*MIN(1,MIN(100,$H30+$O30*AS$6)/100))*(1-Scenarios!$F$13)-$Q30)</f>
        <v>1123.2192</v>
      </c>
      <c r="AT30" s="146">
        <f>MAX(0,$P30*(IF(MIN(100,$H30+$O30*AT$6)&gt;=100,1,Scenarios!$F$11+(1-Scenarios!$F$11-Scenarios!$F$12)*MIN(100,$H30+$O30*AT$6)/100)*MIN(1,MIN(100,$H30+$O30*AT$6)/100))*(1-Scenarios!$F$13)-$Q30)</f>
        <v>1123.2192</v>
      </c>
      <c r="AU30" s="146">
        <f>MAX(0,$P30*(IF(MIN(100,$H30+$O30*AU$6)&gt;=100,1,Scenarios!$F$11+(1-Scenarios!$F$11-Scenarios!$F$12)*MIN(100,$H30+$O30*AU$6)/100)*MIN(1,MIN(100,$H30+$O30*AU$6)/100))*(1-Scenarios!$F$13)-$Q30)</f>
        <v>1123.2192</v>
      </c>
      <c r="AV30" s="146">
        <f>MAX(0,$P30*(IF(MIN(100,$H30+$O30*AV$6)&gt;=100,1,Scenarios!$F$11+(1-Scenarios!$F$11-Scenarios!$F$12)*MIN(100,$H30+$O30*AV$6)/100)*MIN(1,MIN(100,$H30+$O30*AV$6)/100))*(1-Scenarios!$F$13)-$Q30)</f>
        <v>1123.2192</v>
      </c>
      <c r="AW30" s="193">
        <f>MAX(0,$P30*(IF(MIN(100,$H30+$O30*AW$6)&gt;=100,1,Scenarios!$F$11+(1-Scenarios!$F$11-Scenarios!$F$12)*MIN(100,$H30+$O30*AW$6)/100)*MIN(1,MIN(100,$H30+$O30*AW$6)/100))*(1-Scenarios!$F$13)-$Q30)</f>
        <v>1123.2192</v>
      </c>
      <c r="AX30" s="2"/>
      <c r="AY30" s="201">
        <f>MAX(1,(YEAR(IF(I30="",EDATE($C$3,Scenarios!$B$7),IF(I30&lt;$C$3,EDATE($C$3,Scenarios!$B$6),EDATE(I30,Scenarios!$B$5))))-YEAR($C$3))*12+MONTH(IF(I30="",EDATE($C$3,Scenarios!$B$7),IF(I30&lt;$C$3,EDATE($C$3,Scenarios!$B$6),EDATE(I30,Scenarios!$B$5))))-MONTH($C$3))</f>
        <v>6</v>
      </c>
      <c r="AZ30" s="178">
        <f>MIN(Scenarios!$B$14,(100-H30)/AY30)</f>
        <v>8</v>
      </c>
      <c r="BA30" s="146">
        <f>J30*(1-Scenarios!$B$8)+K30*G30/1000000*Scenarios!$B$9*(1+Scenarios!$B$10)</f>
        <v>1182.336</v>
      </c>
      <c r="BB30" s="146">
        <f>J30*(IF(H30&gt;=100,1,Scenarios!$B$11+(1-Scenarios!$B$11-Scenarios!$B$12)*H30/100)*MIN(1,H30/100))*(1-Scenarios!$B$13)</f>
        <v>0</v>
      </c>
      <c r="BC30" s="146">
        <f>MAX(0,BA30*(IF(MIN(100,$H30+AZ30*5)&gt;=100,1,Scenarios!$B$11+(1-Scenarios!$B$11-Scenarios!$B$12)*MIN(100,$H30+AZ30*5)/100)*MIN(1,MIN(100,$H30+AZ30*5)/100))*(1-Scenarios!$B$13)-BB30)</f>
        <v>152.75781120000005</v>
      </c>
      <c r="BD30" s="146">
        <f>MAX(0,BA30*(IF(MIN(100,$H30+AZ30*15)&gt;=100,1,Scenarios!$B$11+(1-Scenarios!$B$11-Scenarios!$B$12)*MIN(100,$H30+AZ30*15)/100)*MIN(1,MIN(100,$H30+AZ30*15)/100))*(1-Scenarios!$B$13)-BB30)</f>
        <v>1123.2192</v>
      </c>
      <c r="BE30" s="146">
        <f>MAX(0,BA30*(IF(MIN(100,$H30+AZ30*27)&gt;=100,1,Scenarios!$B$11+(1-Scenarios!$B$11-Scenarios!$B$12)*MIN(100,$H30+AZ30*27)/100)*MIN(1,MIN(100,$H30+AZ30*27)/100))*(1-Scenarios!$B$13)-BB30)</f>
        <v>1123.2192</v>
      </c>
      <c r="BF30" s="146">
        <f>MAX(1,(YEAR(IF(I30="",EDATE($C$3,Scenarios!$C$7),IF(I30&lt;$C$3,EDATE($C$3,Scenarios!$C$6),EDATE(I30,Scenarios!$C$5))))-YEAR($C$3))*12+MONTH(IF(I30="",EDATE($C$3,Scenarios!$C$7),IF(I30&lt;$C$3,EDATE($C$3,Scenarios!$C$6),EDATE(I30,Scenarios!$C$5))))-MONTH($C$3))</f>
        <v>12</v>
      </c>
      <c r="BG30" s="178">
        <f>MIN(Scenarios!$C$14,(100-H30)/BF30)</f>
        <v>6</v>
      </c>
      <c r="BH30" s="146">
        <f>J30*(1-Scenarios!$C$8)+K30*G30/1000000*Scenarios!$C$9*(1+Scenarios!$C$10)</f>
        <v>1182.336</v>
      </c>
      <c r="BI30" s="146">
        <f>J30*(IF(H30&gt;=100,1,Scenarios!$C$11+(1-Scenarios!$C$11-Scenarios!$C$12)*H30/100)*MIN(1,H30/100))*(1-Scenarios!$C$13)</f>
        <v>0</v>
      </c>
      <c r="BJ30" s="146">
        <f>MAX(0,BH30*(IF(MIN(100,$H30+BG30*5)&gt;=100,1,Scenarios!$C$11+(1-Scenarios!$C$11-Scenarios!$C$12)*MIN(100,$H30+BG30*5)/100)*MIN(1,MIN(100,$H30+BG30*5)/100))*(1-Scenarios!$C$13)-BI30)</f>
        <v>94.350412800000001</v>
      </c>
      <c r="BK30" s="146">
        <f>MAX(0,BH30*(IF(MIN(100,$H30+BG30*15)&gt;=100,1,Scenarios!$C$11+(1-Scenarios!$C$11-Scenarios!$C$12)*MIN(100,$H30+BG30*15)/100)*MIN(1,MIN(100,$H30+BG30*15)/100))*(1-Scenarios!$C$13)-BI30)</f>
        <v>646.97425920000012</v>
      </c>
      <c r="BL30" s="146">
        <f>MAX(0,BH30*(IF(MIN(100,$H30+BG30*27)&gt;=100,1,Scenarios!$C$11+(1-Scenarios!$C$11-Scenarios!$C$12)*MIN(100,$H30+BG30*27)/100)*MIN(1,MIN(100,$H30+BG30*27)/100))*(1-Scenarios!$C$13)-BI30)</f>
        <v>1123.2192</v>
      </c>
      <c r="BM30" s="146">
        <f>MAX(1,(YEAR(IF(I30="",EDATE($C$3,Scenarios!$D$7),IF(I30&lt;$C$3,EDATE($C$3,Scenarios!$D$6),EDATE(I30,Scenarios!$D$5))))-YEAR($C$3))*12+MONTH(IF(I30="",EDATE($C$3,Scenarios!$D$7),IF(I30&lt;$C$3,EDATE($C$3,Scenarios!$D$6),EDATE(I30,Scenarios!$D$5))))-MONTH($C$3))</f>
        <v>6</v>
      </c>
      <c r="BN30" s="178">
        <f>MIN(Scenarios!$D$14,(100-H30)/BM30)</f>
        <v>8</v>
      </c>
      <c r="BO30" s="146">
        <f>J30*(1-Scenarios!$D$8)+K30*G30/1000000*Scenarios!$D$9*(1+Scenarios!$D$10)</f>
        <v>1004.9856</v>
      </c>
      <c r="BP30" s="146">
        <f>J30*(IF(H30&gt;=100,1,Scenarios!$D$11+(1-Scenarios!$D$11-Scenarios!$D$12)*H30/100)*MIN(1,H30/100))*(1-Scenarios!$D$13)</f>
        <v>0</v>
      </c>
      <c r="BQ30" s="146">
        <f>MAX(0,BO30*(IF(MIN(100,$H30+BN30*5)&gt;=100,1,Scenarios!$D$11+(1-Scenarios!$D$11-Scenarios!$D$12)*MIN(100,$H30+BN30*5)/100)*MIN(1,MIN(100,$H30+BN30*5)/100))*(1-Scenarios!$D$13)-BP30)</f>
        <v>129.84413952000003</v>
      </c>
      <c r="BR30" s="146">
        <f>MAX(0,BO30*(IF(MIN(100,$H30+BN30*15)&gt;=100,1,Scenarios!$D$11+(1-Scenarios!$D$11-Scenarios!$D$12)*MIN(100,$H30+BN30*15)/100)*MIN(1,MIN(100,$H30+BN30*15)/100))*(1-Scenarios!$D$13)-BP30)</f>
        <v>954.73631999999998</v>
      </c>
      <c r="BS30" s="146">
        <f>MAX(0,BO30*(IF(MIN(100,$H30+BN30*27)&gt;=100,1,Scenarios!$D$11+(1-Scenarios!$D$11-Scenarios!$D$12)*MIN(100,$H30+BN30*27)/100)*MIN(1,MIN(100,$H30+BN30*27)/100))*(1-Scenarios!$D$13)-BP30)</f>
        <v>954.73631999999998</v>
      </c>
      <c r="BT30" s="146">
        <f>MAX(1,(YEAR(IF(I30="",EDATE($C$3,Scenarios!$E$7),IF(I30&lt;$C$3,EDATE($C$3,Scenarios!$E$6),EDATE(I30,Scenarios!$E$5))))-YEAR($C$3))*12+MONTH(IF(I30="",EDATE($C$3,Scenarios!$E$7),IF(I30&lt;$C$3,EDATE($C$3,Scenarios!$E$6),EDATE(I30,Scenarios!$E$5))))-MONTH($C$3))</f>
        <v>6</v>
      </c>
      <c r="BU30" s="178">
        <f>MIN(Scenarios!$E$14,(100-H30)/BT30)</f>
        <v>8</v>
      </c>
      <c r="BV30" s="146">
        <f>J30*(1-Scenarios!$E$8)+K30*G30/1000000*Scenarios!$E$9*(1+Scenarios!$E$10)</f>
        <v>1123.2192</v>
      </c>
      <c r="BW30" s="146">
        <f>J30*(IF(H30&gt;=100,1,Scenarios!$E$11+(1-Scenarios!$E$11-Scenarios!$E$12)*H30/100)*MIN(1,H30/100))*(1-Scenarios!$E$13)</f>
        <v>0</v>
      </c>
      <c r="BX30" s="146">
        <f>MAX(0,BV30*(IF(MIN(100,$H30+BU30*5)&gt;=100,1,Scenarios!$E$11+(1-Scenarios!$E$11-Scenarios!$E$12)*MIN(100,$H30+BU30*5)/100)*MIN(1,MIN(100,$H30+BU30*5)/100))*(1-Scenarios!$E$13)-BW30)</f>
        <v>145.11992064000003</v>
      </c>
      <c r="BY30" s="146">
        <f>MAX(0,BV30*(IF(MIN(100,$H30+BU30*15)&gt;=100,1,Scenarios!$E$11+(1-Scenarios!$E$11-Scenarios!$E$12)*MIN(100,$H30+BU30*15)/100)*MIN(1,MIN(100,$H30+BU30*15)/100))*(1-Scenarios!$E$13)-BW30)</f>
        <v>1067.0582399999998</v>
      </c>
      <c r="BZ30" s="146">
        <f>MAX(0,BV30*(IF(MIN(100,$H30+BU30*27)&gt;=100,1,Scenarios!$E$11+(1-Scenarios!$E$11-Scenarios!$E$12)*MIN(100,$H30+BU30*27)/100)*MIN(1,MIN(100,$H30+BU30*27)/100))*(1-Scenarios!$E$13)-BW30)</f>
        <v>1067.0582399999998</v>
      </c>
      <c r="CA30" s="206">
        <f t="shared" si="7"/>
        <v>152.75784120000006</v>
      </c>
    </row>
    <row r="31" spans="1:79" ht="17.25" customHeight="1" x14ac:dyDescent="0.2">
      <c r="A31" s="135" t="s">
        <v>164</v>
      </c>
      <c r="B31" s="145" t="s">
        <v>165</v>
      </c>
      <c r="C31" s="145" t="s">
        <v>161</v>
      </c>
      <c r="D31" s="147">
        <v>46188</v>
      </c>
      <c r="E31" s="136">
        <v>0</v>
      </c>
      <c r="F31" s="136">
        <v>0</v>
      </c>
      <c r="G31" s="136">
        <v>0</v>
      </c>
      <c r="H31" s="191">
        <v>4.34</v>
      </c>
      <c r="I31" s="150">
        <v>46507</v>
      </c>
      <c r="J31" s="146">
        <f t="shared" si="0"/>
        <v>0</v>
      </c>
      <c r="K31" s="146">
        <f t="shared" si="1"/>
        <v>0</v>
      </c>
      <c r="L31" s="192">
        <f t="shared" si="2"/>
        <v>0</v>
      </c>
      <c r="M31" s="147">
        <f>IF(I31="",EDATE($C$3,Scenarios!$F$7),IF(I31&lt;$C$3,EDATE($C$3,Scenarios!$F$6),EDATE(I31,Scenarios!$F$5)))</f>
        <v>46507</v>
      </c>
      <c r="N31" s="146">
        <f t="shared" si="3"/>
        <v>7</v>
      </c>
      <c r="O31" s="178">
        <f>MIN(Scenarios!$F$14,(100-H31)/N31)</f>
        <v>8</v>
      </c>
      <c r="P31" s="146">
        <f>J31*(1-Scenarios!$F$8)+K31*G31/1000000*Scenarios!$F$9*(1+Scenarios!$F$10)</f>
        <v>0</v>
      </c>
      <c r="Q31" s="146">
        <f>J31*(IF(H31&gt;=100,1,Scenarios!$F$11+(1-Scenarios!$F$11-Scenarios!$F$12)*H31/100)*MIN(1,H31/100))*(1-Scenarios!$F$13)</f>
        <v>0</v>
      </c>
      <c r="R31" s="146">
        <f t="shared" si="4"/>
        <v>0</v>
      </c>
      <c r="S31" s="146">
        <f t="shared" si="5"/>
        <v>0</v>
      </c>
      <c r="T31" s="146">
        <f t="shared" si="6"/>
        <v>0</v>
      </c>
      <c r="U31" s="193">
        <f>J31*IF(H31&gt;=100,1,Scenarios!$F$11+(1-Scenarios!$F$11-Scenarios!$F$12)*H31/100)</f>
        <v>0</v>
      </c>
      <c r="V31" s="201">
        <f>MAX(0,$P31*(IF(MIN(100,$H31+$O31*V$6)&gt;=100,1,Scenarios!$F$11+(1-Scenarios!$F$11-Scenarios!$F$12)*MIN(100,$H31+$O31*V$6)/100)*MIN(1,MIN(100,$H31+$O31*V$6)/100))*(1-Scenarios!$F$13)-$Q31)</f>
        <v>0</v>
      </c>
      <c r="W31" s="146">
        <f>MAX(0,$P31*(IF(MIN(100,$H31+$O31*W$6)&gt;=100,1,Scenarios!$F$11+(1-Scenarios!$F$11-Scenarios!$F$12)*MIN(100,$H31+$O31*W$6)/100)*MIN(1,MIN(100,$H31+$O31*W$6)/100))*(1-Scenarios!$F$13)-$Q31)</f>
        <v>0</v>
      </c>
      <c r="X31" s="146">
        <f>MAX(0,$P31*(IF(MIN(100,$H31+$O31*X$6)&gt;=100,1,Scenarios!$F$11+(1-Scenarios!$F$11-Scenarios!$F$12)*MIN(100,$H31+$O31*X$6)/100)*MIN(1,MIN(100,$H31+$O31*X$6)/100))*(1-Scenarios!$F$13)-$Q31)</f>
        <v>0</v>
      </c>
      <c r="Y31" s="146">
        <f>MAX(0,$P31*(IF(MIN(100,$H31+$O31*Y$6)&gt;=100,1,Scenarios!$F$11+(1-Scenarios!$F$11-Scenarios!$F$12)*MIN(100,$H31+$O31*Y$6)/100)*MIN(1,MIN(100,$H31+$O31*Y$6)/100))*(1-Scenarios!$F$13)-$Q31)</f>
        <v>0</v>
      </c>
      <c r="Z31" s="146">
        <f>MAX(0,$P31*(IF(MIN(100,$H31+$O31*Z$6)&gt;=100,1,Scenarios!$F$11+(1-Scenarios!$F$11-Scenarios!$F$12)*MIN(100,$H31+$O31*Z$6)/100)*MIN(1,MIN(100,$H31+$O31*Z$6)/100))*(1-Scenarios!$F$13)-$Q31)</f>
        <v>0</v>
      </c>
      <c r="AA31" s="146">
        <f>MAX(0,$P31*(IF(MIN(100,$H31+$O31*AA$6)&gt;=100,1,Scenarios!$F$11+(1-Scenarios!$F$11-Scenarios!$F$12)*MIN(100,$H31+$O31*AA$6)/100)*MIN(1,MIN(100,$H31+$O31*AA$6)/100))*(1-Scenarios!$F$13)-$Q31)</f>
        <v>0</v>
      </c>
      <c r="AB31" s="146">
        <f>MAX(0,$P31*(IF(MIN(100,$H31+$O31*AB$6)&gt;=100,1,Scenarios!$F$11+(1-Scenarios!$F$11-Scenarios!$F$12)*MIN(100,$H31+$O31*AB$6)/100)*MIN(1,MIN(100,$H31+$O31*AB$6)/100))*(1-Scenarios!$F$13)-$Q31)</f>
        <v>0</v>
      </c>
      <c r="AC31" s="146">
        <f>MAX(0,$P31*(IF(MIN(100,$H31+$O31*AC$6)&gt;=100,1,Scenarios!$F$11+(1-Scenarios!$F$11-Scenarios!$F$12)*MIN(100,$H31+$O31*AC$6)/100)*MIN(1,MIN(100,$H31+$O31*AC$6)/100))*(1-Scenarios!$F$13)-$Q31)</f>
        <v>0</v>
      </c>
      <c r="AD31" s="146">
        <f>MAX(0,$P31*(IF(MIN(100,$H31+$O31*AD$6)&gt;=100,1,Scenarios!$F$11+(1-Scenarios!$F$11-Scenarios!$F$12)*MIN(100,$H31+$O31*AD$6)/100)*MIN(1,MIN(100,$H31+$O31*AD$6)/100))*(1-Scenarios!$F$13)-$Q31)</f>
        <v>0</v>
      </c>
      <c r="AE31" s="146">
        <f>MAX(0,$P31*(IF(MIN(100,$H31+$O31*AE$6)&gt;=100,1,Scenarios!$F$11+(1-Scenarios!$F$11-Scenarios!$F$12)*MIN(100,$H31+$O31*AE$6)/100)*MIN(1,MIN(100,$H31+$O31*AE$6)/100))*(1-Scenarios!$F$13)-$Q31)</f>
        <v>0</v>
      </c>
      <c r="AF31" s="146">
        <f>MAX(0,$P31*(IF(MIN(100,$H31+$O31*AF$6)&gt;=100,1,Scenarios!$F$11+(1-Scenarios!$F$11-Scenarios!$F$12)*MIN(100,$H31+$O31*AF$6)/100)*MIN(1,MIN(100,$H31+$O31*AF$6)/100))*(1-Scenarios!$F$13)-$Q31)</f>
        <v>0</v>
      </c>
      <c r="AG31" s="146">
        <f>MAX(0,$P31*(IF(MIN(100,$H31+$O31*AG$6)&gt;=100,1,Scenarios!$F$11+(1-Scenarios!$F$11-Scenarios!$F$12)*MIN(100,$H31+$O31*AG$6)/100)*MIN(1,MIN(100,$H31+$O31*AG$6)/100))*(1-Scenarios!$F$13)-$Q31)</f>
        <v>0</v>
      </c>
      <c r="AH31" s="146">
        <f>MAX(0,$P31*(IF(MIN(100,$H31+$O31*AH$6)&gt;=100,1,Scenarios!$F$11+(1-Scenarios!$F$11-Scenarios!$F$12)*MIN(100,$H31+$O31*AH$6)/100)*MIN(1,MIN(100,$H31+$O31*AH$6)/100))*(1-Scenarios!$F$13)-$Q31)</f>
        <v>0</v>
      </c>
      <c r="AI31" s="146">
        <f>MAX(0,$P31*(IF(MIN(100,$H31+$O31*AI$6)&gt;=100,1,Scenarios!$F$11+(1-Scenarios!$F$11-Scenarios!$F$12)*MIN(100,$H31+$O31*AI$6)/100)*MIN(1,MIN(100,$H31+$O31*AI$6)/100))*(1-Scenarios!$F$13)-$Q31)</f>
        <v>0</v>
      </c>
      <c r="AJ31" s="146">
        <f>MAX(0,$P31*(IF(MIN(100,$H31+$O31*AJ$6)&gt;=100,1,Scenarios!$F$11+(1-Scenarios!$F$11-Scenarios!$F$12)*MIN(100,$H31+$O31*AJ$6)/100)*MIN(1,MIN(100,$H31+$O31*AJ$6)/100))*(1-Scenarios!$F$13)-$Q31)</f>
        <v>0</v>
      </c>
      <c r="AK31" s="146">
        <f>MAX(0,$P31*(IF(MIN(100,$H31+$O31*AK$6)&gt;=100,1,Scenarios!$F$11+(1-Scenarios!$F$11-Scenarios!$F$12)*MIN(100,$H31+$O31*AK$6)/100)*MIN(1,MIN(100,$H31+$O31*AK$6)/100))*(1-Scenarios!$F$13)-$Q31)</f>
        <v>0</v>
      </c>
      <c r="AL31" s="146">
        <f>MAX(0,$P31*(IF(MIN(100,$H31+$O31*AL$6)&gt;=100,1,Scenarios!$F$11+(1-Scenarios!$F$11-Scenarios!$F$12)*MIN(100,$H31+$O31*AL$6)/100)*MIN(1,MIN(100,$H31+$O31*AL$6)/100))*(1-Scenarios!$F$13)-$Q31)</f>
        <v>0</v>
      </c>
      <c r="AM31" s="146">
        <f>MAX(0,$P31*(IF(MIN(100,$H31+$O31*AM$6)&gt;=100,1,Scenarios!$F$11+(1-Scenarios!$F$11-Scenarios!$F$12)*MIN(100,$H31+$O31*AM$6)/100)*MIN(1,MIN(100,$H31+$O31*AM$6)/100))*(1-Scenarios!$F$13)-$Q31)</f>
        <v>0</v>
      </c>
      <c r="AN31" s="146">
        <f>MAX(0,$P31*(IF(MIN(100,$H31+$O31*AN$6)&gt;=100,1,Scenarios!$F$11+(1-Scenarios!$F$11-Scenarios!$F$12)*MIN(100,$H31+$O31*AN$6)/100)*MIN(1,MIN(100,$H31+$O31*AN$6)/100))*(1-Scenarios!$F$13)-$Q31)</f>
        <v>0</v>
      </c>
      <c r="AO31" s="146">
        <f>MAX(0,$P31*(IF(MIN(100,$H31+$O31*AO$6)&gt;=100,1,Scenarios!$F$11+(1-Scenarios!$F$11-Scenarios!$F$12)*MIN(100,$H31+$O31*AO$6)/100)*MIN(1,MIN(100,$H31+$O31*AO$6)/100))*(1-Scenarios!$F$13)-$Q31)</f>
        <v>0</v>
      </c>
      <c r="AP31" s="146">
        <f>MAX(0,$P31*(IF(MIN(100,$H31+$O31*AP$6)&gt;=100,1,Scenarios!$F$11+(1-Scenarios!$F$11-Scenarios!$F$12)*MIN(100,$H31+$O31*AP$6)/100)*MIN(1,MIN(100,$H31+$O31*AP$6)/100))*(1-Scenarios!$F$13)-$Q31)</f>
        <v>0</v>
      </c>
      <c r="AQ31" s="146">
        <f>MAX(0,$P31*(IF(MIN(100,$H31+$O31*AQ$6)&gt;=100,1,Scenarios!$F$11+(1-Scenarios!$F$11-Scenarios!$F$12)*MIN(100,$H31+$O31*AQ$6)/100)*MIN(1,MIN(100,$H31+$O31*AQ$6)/100))*(1-Scenarios!$F$13)-$Q31)</f>
        <v>0</v>
      </c>
      <c r="AR31" s="146">
        <f>MAX(0,$P31*(IF(MIN(100,$H31+$O31*AR$6)&gt;=100,1,Scenarios!$F$11+(1-Scenarios!$F$11-Scenarios!$F$12)*MIN(100,$H31+$O31*AR$6)/100)*MIN(1,MIN(100,$H31+$O31*AR$6)/100))*(1-Scenarios!$F$13)-$Q31)</f>
        <v>0</v>
      </c>
      <c r="AS31" s="146">
        <f>MAX(0,$P31*(IF(MIN(100,$H31+$O31*AS$6)&gt;=100,1,Scenarios!$F$11+(1-Scenarios!$F$11-Scenarios!$F$12)*MIN(100,$H31+$O31*AS$6)/100)*MIN(1,MIN(100,$H31+$O31*AS$6)/100))*(1-Scenarios!$F$13)-$Q31)</f>
        <v>0</v>
      </c>
      <c r="AT31" s="146">
        <f>MAX(0,$P31*(IF(MIN(100,$H31+$O31*AT$6)&gt;=100,1,Scenarios!$F$11+(1-Scenarios!$F$11-Scenarios!$F$12)*MIN(100,$H31+$O31*AT$6)/100)*MIN(1,MIN(100,$H31+$O31*AT$6)/100))*(1-Scenarios!$F$13)-$Q31)</f>
        <v>0</v>
      </c>
      <c r="AU31" s="146">
        <f>MAX(0,$P31*(IF(MIN(100,$H31+$O31*AU$6)&gt;=100,1,Scenarios!$F$11+(1-Scenarios!$F$11-Scenarios!$F$12)*MIN(100,$H31+$O31*AU$6)/100)*MIN(1,MIN(100,$H31+$O31*AU$6)/100))*(1-Scenarios!$F$13)-$Q31)</f>
        <v>0</v>
      </c>
      <c r="AV31" s="146">
        <f>MAX(0,$P31*(IF(MIN(100,$H31+$O31*AV$6)&gt;=100,1,Scenarios!$F$11+(1-Scenarios!$F$11-Scenarios!$F$12)*MIN(100,$H31+$O31*AV$6)/100)*MIN(1,MIN(100,$H31+$O31*AV$6)/100))*(1-Scenarios!$F$13)-$Q31)</f>
        <v>0</v>
      </c>
      <c r="AW31" s="193">
        <f>MAX(0,$P31*(IF(MIN(100,$H31+$O31*AW$6)&gt;=100,1,Scenarios!$F$11+(1-Scenarios!$F$11-Scenarios!$F$12)*MIN(100,$H31+$O31*AW$6)/100)*MIN(1,MIN(100,$H31+$O31*AW$6)/100))*(1-Scenarios!$F$13)-$Q31)</f>
        <v>0</v>
      </c>
      <c r="AX31" s="2"/>
      <c r="AY31" s="201">
        <f>MAX(1,(YEAR(IF(I31="",EDATE($C$3,Scenarios!$B$7),IF(I31&lt;$C$3,EDATE($C$3,Scenarios!$B$6),EDATE(I31,Scenarios!$B$5))))-YEAR($C$3))*12+MONTH(IF(I31="",EDATE($C$3,Scenarios!$B$7),IF(I31&lt;$C$3,EDATE($C$3,Scenarios!$B$6),EDATE(I31,Scenarios!$B$5))))-MONTH($C$3))</f>
        <v>7</v>
      </c>
      <c r="AZ31" s="178">
        <f>MIN(Scenarios!$B$14,(100-H31)/AY31)</f>
        <v>8</v>
      </c>
      <c r="BA31" s="146">
        <f>J31*(1-Scenarios!$B$8)+K31*G31/1000000*Scenarios!$B$9*(1+Scenarios!$B$10)</f>
        <v>0</v>
      </c>
      <c r="BB31" s="146">
        <f>J31*(IF(H31&gt;=100,1,Scenarios!$B$11+(1-Scenarios!$B$11-Scenarios!$B$12)*H31/100)*MIN(1,H31/100))*(1-Scenarios!$B$13)</f>
        <v>0</v>
      </c>
      <c r="BC31" s="146">
        <f>MAX(0,BA31*(IF(MIN(100,$H31+AZ31*5)&gt;=100,1,Scenarios!$B$11+(1-Scenarios!$B$11-Scenarios!$B$12)*MIN(100,$H31+AZ31*5)/100)*MIN(1,MIN(100,$H31+AZ31*5)/100))*(1-Scenarios!$B$13)-BB31)</f>
        <v>0</v>
      </c>
      <c r="BD31" s="146">
        <f>MAX(0,BA31*(IF(MIN(100,$H31+AZ31*15)&gt;=100,1,Scenarios!$B$11+(1-Scenarios!$B$11-Scenarios!$B$12)*MIN(100,$H31+AZ31*15)/100)*MIN(1,MIN(100,$H31+AZ31*15)/100))*(1-Scenarios!$B$13)-BB31)</f>
        <v>0</v>
      </c>
      <c r="BE31" s="146">
        <f>MAX(0,BA31*(IF(MIN(100,$H31+AZ31*27)&gt;=100,1,Scenarios!$B$11+(1-Scenarios!$B$11-Scenarios!$B$12)*MIN(100,$H31+AZ31*27)/100)*MIN(1,MIN(100,$H31+AZ31*27)/100))*(1-Scenarios!$B$13)-BB31)</f>
        <v>0</v>
      </c>
      <c r="BF31" s="146">
        <f>MAX(1,(YEAR(IF(I31="",EDATE($C$3,Scenarios!$C$7),IF(I31&lt;$C$3,EDATE($C$3,Scenarios!$C$6),EDATE(I31,Scenarios!$C$5))))-YEAR($C$3))*12+MONTH(IF(I31="",EDATE($C$3,Scenarios!$C$7),IF(I31&lt;$C$3,EDATE($C$3,Scenarios!$C$6),EDATE(I31,Scenarios!$C$5))))-MONTH($C$3))</f>
        <v>13</v>
      </c>
      <c r="BG31" s="178">
        <f>MIN(Scenarios!$C$14,(100-H31)/BF31)</f>
        <v>6</v>
      </c>
      <c r="BH31" s="146">
        <f>J31*(1-Scenarios!$C$8)+K31*G31/1000000*Scenarios!$C$9*(1+Scenarios!$C$10)</f>
        <v>0</v>
      </c>
      <c r="BI31" s="146">
        <f>J31*(IF(H31&gt;=100,1,Scenarios!$C$11+(1-Scenarios!$C$11-Scenarios!$C$12)*H31/100)*MIN(1,H31/100))*(1-Scenarios!$C$13)</f>
        <v>0</v>
      </c>
      <c r="BJ31" s="146">
        <f>MAX(0,BH31*(IF(MIN(100,$H31+BG31*5)&gt;=100,1,Scenarios!$C$11+(1-Scenarios!$C$11-Scenarios!$C$12)*MIN(100,$H31+BG31*5)/100)*MIN(1,MIN(100,$H31+BG31*5)/100))*(1-Scenarios!$C$13)-BI31)</f>
        <v>0</v>
      </c>
      <c r="BK31" s="146">
        <f>MAX(0,BH31*(IF(MIN(100,$H31+BG31*15)&gt;=100,1,Scenarios!$C$11+(1-Scenarios!$C$11-Scenarios!$C$12)*MIN(100,$H31+BG31*15)/100)*MIN(1,MIN(100,$H31+BG31*15)/100))*(1-Scenarios!$C$13)-BI31)</f>
        <v>0</v>
      </c>
      <c r="BL31" s="146">
        <f>MAX(0,BH31*(IF(MIN(100,$H31+BG31*27)&gt;=100,1,Scenarios!$C$11+(1-Scenarios!$C$11-Scenarios!$C$12)*MIN(100,$H31+BG31*27)/100)*MIN(1,MIN(100,$H31+BG31*27)/100))*(1-Scenarios!$C$13)-BI31)</f>
        <v>0</v>
      </c>
      <c r="BM31" s="146">
        <f>MAX(1,(YEAR(IF(I31="",EDATE($C$3,Scenarios!$D$7),IF(I31&lt;$C$3,EDATE($C$3,Scenarios!$D$6),EDATE(I31,Scenarios!$D$5))))-YEAR($C$3))*12+MONTH(IF(I31="",EDATE($C$3,Scenarios!$D$7),IF(I31&lt;$C$3,EDATE($C$3,Scenarios!$D$6),EDATE(I31,Scenarios!$D$5))))-MONTH($C$3))</f>
        <v>7</v>
      </c>
      <c r="BN31" s="178">
        <f>MIN(Scenarios!$D$14,(100-H31)/BM31)</f>
        <v>8</v>
      </c>
      <c r="BO31" s="146">
        <f>J31*(1-Scenarios!$D$8)+K31*G31/1000000*Scenarios!$D$9*(1+Scenarios!$D$10)</f>
        <v>0</v>
      </c>
      <c r="BP31" s="146">
        <f>J31*(IF(H31&gt;=100,1,Scenarios!$D$11+(1-Scenarios!$D$11-Scenarios!$D$12)*H31/100)*MIN(1,H31/100))*(1-Scenarios!$D$13)</f>
        <v>0</v>
      </c>
      <c r="BQ31" s="146">
        <f>MAX(0,BO31*(IF(MIN(100,$H31+BN31*5)&gt;=100,1,Scenarios!$D$11+(1-Scenarios!$D$11-Scenarios!$D$12)*MIN(100,$H31+BN31*5)/100)*MIN(1,MIN(100,$H31+BN31*5)/100))*(1-Scenarios!$D$13)-BP31)</f>
        <v>0</v>
      </c>
      <c r="BR31" s="146">
        <f>MAX(0,BO31*(IF(MIN(100,$H31+BN31*15)&gt;=100,1,Scenarios!$D$11+(1-Scenarios!$D$11-Scenarios!$D$12)*MIN(100,$H31+BN31*15)/100)*MIN(1,MIN(100,$H31+BN31*15)/100))*(1-Scenarios!$D$13)-BP31)</f>
        <v>0</v>
      </c>
      <c r="BS31" s="146">
        <f>MAX(0,BO31*(IF(MIN(100,$H31+BN31*27)&gt;=100,1,Scenarios!$D$11+(1-Scenarios!$D$11-Scenarios!$D$12)*MIN(100,$H31+BN31*27)/100)*MIN(1,MIN(100,$H31+BN31*27)/100))*(1-Scenarios!$D$13)-BP31)</f>
        <v>0</v>
      </c>
      <c r="BT31" s="146">
        <f>MAX(1,(YEAR(IF(I31="",EDATE($C$3,Scenarios!$E$7),IF(I31&lt;$C$3,EDATE($C$3,Scenarios!$E$6),EDATE(I31,Scenarios!$E$5))))-YEAR($C$3))*12+MONTH(IF(I31="",EDATE($C$3,Scenarios!$E$7),IF(I31&lt;$C$3,EDATE($C$3,Scenarios!$E$6),EDATE(I31,Scenarios!$E$5))))-MONTH($C$3))</f>
        <v>7</v>
      </c>
      <c r="BU31" s="178">
        <f>MIN(Scenarios!$E$14,(100-H31)/BT31)</f>
        <v>8</v>
      </c>
      <c r="BV31" s="146">
        <f>J31*(1-Scenarios!$E$8)+K31*G31/1000000*Scenarios!$E$9*(1+Scenarios!$E$10)</f>
        <v>0</v>
      </c>
      <c r="BW31" s="146">
        <f>J31*(IF(H31&gt;=100,1,Scenarios!$E$11+(1-Scenarios!$E$11-Scenarios!$E$12)*H31/100)*MIN(1,H31/100))*(1-Scenarios!$E$13)</f>
        <v>0</v>
      </c>
      <c r="BX31" s="146">
        <f>MAX(0,BV31*(IF(MIN(100,$H31+BU31*5)&gt;=100,1,Scenarios!$E$11+(1-Scenarios!$E$11-Scenarios!$E$12)*MIN(100,$H31+BU31*5)/100)*MIN(1,MIN(100,$H31+BU31*5)/100))*(1-Scenarios!$E$13)-BW31)</f>
        <v>0</v>
      </c>
      <c r="BY31" s="146">
        <f>MAX(0,BV31*(IF(MIN(100,$H31+BU31*15)&gt;=100,1,Scenarios!$E$11+(1-Scenarios!$E$11-Scenarios!$E$12)*MIN(100,$H31+BU31*15)/100)*MIN(1,MIN(100,$H31+BU31*15)/100))*(1-Scenarios!$E$13)-BW31)</f>
        <v>0</v>
      </c>
      <c r="BZ31" s="146">
        <f>MAX(0,BV31*(IF(MIN(100,$H31+BU31*27)&gt;=100,1,Scenarios!$E$11+(1-Scenarios!$E$11-Scenarios!$E$12)*MIN(100,$H31+BU31*27)/100)*MIN(1,MIN(100,$H31+BU31*27)/100))*(1-Scenarios!$E$13)-BW31)</f>
        <v>0</v>
      </c>
      <c r="CA31" s="206">
        <f t="shared" si="7"/>
        <v>3.1000000000000001E-5</v>
      </c>
    </row>
    <row r="32" spans="1:79" ht="17.25" customHeight="1" x14ac:dyDescent="0.2">
      <c r="A32" s="135" t="s">
        <v>166</v>
      </c>
      <c r="B32" s="145" t="s">
        <v>167</v>
      </c>
      <c r="C32" s="145" t="s">
        <v>168</v>
      </c>
      <c r="D32" s="147">
        <v>46188</v>
      </c>
      <c r="E32" s="136">
        <v>822</v>
      </c>
      <c r="F32" s="136">
        <v>805</v>
      </c>
      <c r="G32" s="136">
        <v>1110981</v>
      </c>
      <c r="H32" s="191">
        <v>0</v>
      </c>
      <c r="I32" s="150">
        <v>46538</v>
      </c>
      <c r="J32" s="146">
        <f t="shared" si="0"/>
        <v>894.33970499999998</v>
      </c>
      <c r="K32" s="146">
        <f t="shared" si="1"/>
        <v>17</v>
      </c>
      <c r="L32" s="192">
        <f t="shared" si="2"/>
        <v>0.97931873479318732</v>
      </c>
      <c r="M32" s="147">
        <f>IF(I32="",EDATE($C$3,Scenarios!$F$7),IF(I32&lt;$C$3,EDATE($C$3,Scenarios!$F$6),EDATE(I32,Scenarios!$F$5)))</f>
        <v>46538</v>
      </c>
      <c r="N32" s="146">
        <f t="shared" si="3"/>
        <v>8</v>
      </c>
      <c r="O32" s="178">
        <f>MIN(Scenarios!$F$14,(100-H32)/N32)</f>
        <v>8</v>
      </c>
      <c r="P32" s="146">
        <f>J32*(1-Scenarios!$F$8)+K32*G32/1000000*Scenarios!$F$9*(1+Scenarios!$F$10)</f>
        <v>905.6717112</v>
      </c>
      <c r="Q32" s="146">
        <f>J32*(IF(H32&gt;=100,1,Scenarios!$F$11+(1-Scenarios!$F$11-Scenarios!$F$12)*H32/100)*MIN(1,H32/100))*(1-Scenarios!$F$13)</f>
        <v>0</v>
      </c>
      <c r="R32" s="146">
        <f t="shared" si="4"/>
        <v>117.01278508704003</v>
      </c>
      <c r="S32" s="146">
        <f t="shared" si="5"/>
        <v>860.38812564</v>
      </c>
      <c r="T32" s="146">
        <f t="shared" si="6"/>
        <v>860.38812564</v>
      </c>
      <c r="U32" s="193">
        <f>J32*IF(H32&gt;=100,1,Scenarios!$F$11+(1-Scenarios!$F$11-Scenarios!$F$12)*H32/100)</f>
        <v>89.433970500000001</v>
      </c>
      <c r="V32" s="201">
        <f>MAX(0,$P32*(IF(MIN(100,$H32+$O32*V$6)&gt;=100,1,Scenarios!$F$11+(1-Scenarios!$F$11-Scenarios!$F$12)*MIN(100,$H32+$O32*V$6)/100)*MIN(1,MIN(100,$H32+$O32*V$6)/100))*(1-Scenarios!$F$13)-$Q32)</f>
        <v>10.186995407577601</v>
      </c>
      <c r="W32" s="146">
        <f>MAX(0,$P32*(IF(MIN(100,$H32+$O32*W$6)&gt;=100,1,Scenarios!$F$11+(1-Scenarios!$F$11-Scenarios!$F$12)*MIN(100,$H32+$O32*W$6)/100)*MIN(1,MIN(100,$H32+$O32*W$6)/100))*(1-Scenarios!$F$13)-$Q32)</f>
        <v>26.981771620070397</v>
      </c>
      <c r="X32" s="146">
        <f>MAX(0,$P32*(IF(MIN(100,$H32+$O32*X$6)&gt;=100,1,Scenarios!$F$11+(1-Scenarios!$F$11-Scenarios!$F$12)*MIN(100,$H32+$O32*X$6)/100)*MIN(1,MIN(100,$H32+$O32*X$6)/100))*(1-Scenarios!$F$13)-$Q32)</f>
        <v>50.384328637478397</v>
      </c>
      <c r="Y32" s="146">
        <f>MAX(0,$P32*(IF(MIN(100,$H32+$O32*Y$6)&gt;=100,1,Scenarios!$F$11+(1-Scenarios!$F$11-Scenarios!$F$12)*MIN(100,$H32+$O32*Y$6)/100)*MIN(1,MIN(100,$H32+$O32*Y$6)/100))*(1-Scenarios!$F$13)-$Q32)</f>
        <v>80.394666459801599</v>
      </c>
      <c r="Z32" s="146">
        <f>MAX(0,$P32*(IF(MIN(100,$H32+$O32*Z$6)&gt;=100,1,Scenarios!$F$11+(1-Scenarios!$F$11-Scenarios!$F$12)*MIN(100,$H32+$O32*Z$6)/100)*MIN(1,MIN(100,$H32+$O32*Z$6)/100))*(1-Scenarios!$F$13)-$Q32)</f>
        <v>117.01278508704003</v>
      </c>
      <c r="AA32" s="146">
        <f>MAX(0,$P32*(IF(MIN(100,$H32+$O32*AA$6)&gt;=100,1,Scenarios!$F$11+(1-Scenarios!$F$11-Scenarios!$F$12)*MIN(100,$H32+$O32*AA$6)/100)*MIN(1,MIN(100,$H32+$O32*AA$6)/100))*(1-Scenarios!$F$13)-$Q32)</f>
        <v>160.23868451919358</v>
      </c>
      <c r="AB32" s="146">
        <f>MAX(0,$P32*(IF(MIN(100,$H32+$O32*AB$6)&gt;=100,1,Scenarios!$F$11+(1-Scenarios!$F$11-Scenarios!$F$12)*MIN(100,$H32+$O32*AB$6)/100)*MIN(1,MIN(100,$H32+$O32*AB$6)/100))*(1-Scenarios!$F$13)-$Q32)</f>
        <v>210.07236475626243</v>
      </c>
      <c r="AC32" s="146">
        <f>MAX(0,$P32*(IF(MIN(100,$H32+$O32*AC$6)&gt;=100,1,Scenarios!$F$11+(1-Scenarios!$F$11-Scenarios!$F$12)*MIN(100,$H32+$O32*AC$6)/100)*MIN(1,MIN(100,$H32+$O32*AC$6)/100))*(1-Scenarios!$F$13)-$Q32)</f>
        <v>266.51382579824644</v>
      </c>
      <c r="AD32" s="146">
        <f>MAX(0,$P32*(IF(MIN(100,$H32+$O32*AD$6)&gt;=100,1,Scenarios!$F$11+(1-Scenarios!$F$11-Scenarios!$F$12)*MIN(100,$H32+$O32*AD$6)/100)*MIN(1,MIN(100,$H32+$O32*AD$6)/100))*(1-Scenarios!$F$13)-$Q32)</f>
        <v>329.56306764514557</v>
      </c>
      <c r="AE32" s="146">
        <f>MAX(0,$P32*(IF(MIN(100,$H32+$O32*AE$6)&gt;=100,1,Scenarios!$F$11+(1-Scenarios!$F$11-Scenarios!$F$12)*MIN(100,$H32+$O32*AE$6)/100)*MIN(1,MIN(100,$H32+$O32*AE$6)/100))*(1-Scenarios!$F$13)-$Q32)</f>
        <v>399.22009029696005</v>
      </c>
      <c r="AF32" s="146">
        <f>MAX(0,$P32*(IF(MIN(100,$H32+$O32*AF$6)&gt;=100,1,Scenarios!$F$11+(1-Scenarios!$F$11-Scenarios!$F$12)*MIN(100,$H32+$O32*AF$6)/100)*MIN(1,MIN(100,$H32+$O32*AF$6)/100))*(1-Scenarios!$F$13)-$Q32)</f>
        <v>475.48489375368973</v>
      </c>
      <c r="AG32" s="146">
        <f>MAX(0,$P32*(IF(MIN(100,$H32+$O32*AG$6)&gt;=100,1,Scenarios!$F$11+(1-Scenarios!$F$11-Scenarios!$F$12)*MIN(100,$H32+$O32*AG$6)/100)*MIN(1,MIN(100,$H32+$O32*AG$6)/100))*(1-Scenarios!$F$13)-$Q32)</f>
        <v>558.35747801533444</v>
      </c>
      <c r="AH32" s="146">
        <f>MAX(0,$P32*(IF(MIN(100,$H32+$O32*AH$6)&gt;=100,1,Scenarios!$F$11+(1-Scenarios!$F$11-Scenarios!$F$12)*MIN(100,$H32+$O32*AH$6)/100)*MIN(1,MIN(100,$H32+$O32*AH$6)/100))*(1-Scenarios!$F$13)-$Q32)</f>
        <v>860.38812564</v>
      </c>
      <c r="AI32" s="146">
        <f>MAX(0,$P32*(IF(MIN(100,$H32+$O32*AI$6)&gt;=100,1,Scenarios!$F$11+(1-Scenarios!$F$11-Scenarios!$F$12)*MIN(100,$H32+$O32*AI$6)/100)*MIN(1,MIN(100,$H32+$O32*AI$6)/100))*(1-Scenarios!$F$13)-$Q32)</f>
        <v>860.38812564</v>
      </c>
      <c r="AJ32" s="146">
        <f>MAX(0,$P32*(IF(MIN(100,$H32+$O32*AJ$6)&gt;=100,1,Scenarios!$F$11+(1-Scenarios!$F$11-Scenarios!$F$12)*MIN(100,$H32+$O32*AJ$6)/100)*MIN(1,MIN(100,$H32+$O32*AJ$6)/100))*(1-Scenarios!$F$13)-$Q32)</f>
        <v>860.38812564</v>
      </c>
      <c r="AK32" s="146">
        <f>MAX(0,$P32*(IF(MIN(100,$H32+$O32*AK$6)&gt;=100,1,Scenarios!$F$11+(1-Scenarios!$F$11-Scenarios!$F$12)*MIN(100,$H32+$O32*AK$6)/100)*MIN(1,MIN(100,$H32+$O32*AK$6)/100))*(1-Scenarios!$F$13)-$Q32)</f>
        <v>860.38812564</v>
      </c>
      <c r="AL32" s="146">
        <f>MAX(0,$P32*(IF(MIN(100,$H32+$O32*AL$6)&gt;=100,1,Scenarios!$F$11+(1-Scenarios!$F$11-Scenarios!$F$12)*MIN(100,$H32+$O32*AL$6)/100)*MIN(1,MIN(100,$H32+$O32*AL$6)/100))*(1-Scenarios!$F$13)-$Q32)</f>
        <v>860.38812564</v>
      </c>
      <c r="AM32" s="146">
        <f>MAX(0,$P32*(IF(MIN(100,$H32+$O32*AM$6)&gt;=100,1,Scenarios!$F$11+(1-Scenarios!$F$11-Scenarios!$F$12)*MIN(100,$H32+$O32*AM$6)/100)*MIN(1,MIN(100,$H32+$O32*AM$6)/100))*(1-Scenarios!$F$13)-$Q32)</f>
        <v>860.38812564</v>
      </c>
      <c r="AN32" s="146">
        <f>MAX(0,$P32*(IF(MIN(100,$H32+$O32*AN$6)&gt;=100,1,Scenarios!$F$11+(1-Scenarios!$F$11-Scenarios!$F$12)*MIN(100,$H32+$O32*AN$6)/100)*MIN(1,MIN(100,$H32+$O32*AN$6)/100))*(1-Scenarios!$F$13)-$Q32)</f>
        <v>860.38812564</v>
      </c>
      <c r="AO32" s="146">
        <f>MAX(0,$P32*(IF(MIN(100,$H32+$O32*AO$6)&gt;=100,1,Scenarios!$F$11+(1-Scenarios!$F$11-Scenarios!$F$12)*MIN(100,$H32+$O32*AO$6)/100)*MIN(1,MIN(100,$H32+$O32*AO$6)/100))*(1-Scenarios!$F$13)-$Q32)</f>
        <v>860.38812564</v>
      </c>
      <c r="AP32" s="146">
        <f>MAX(0,$P32*(IF(MIN(100,$H32+$O32*AP$6)&gt;=100,1,Scenarios!$F$11+(1-Scenarios!$F$11-Scenarios!$F$12)*MIN(100,$H32+$O32*AP$6)/100)*MIN(1,MIN(100,$H32+$O32*AP$6)/100))*(1-Scenarios!$F$13)-$Q32)</f>
        <v>860.38812564</v>
      </c>
      <c r="AQ32" s="146">
        <f>MAX(0,$P32*(IF(MIN(100,$H32+$O32*AQ$6)&gt;=100,1,Scenarios!$F$11+(1-Scenarios!$F$11-Scenarios!$F$12)*MIN(100,$H32+$O32*AQ$6)/100)*MIN(1,MIN(100,$H32+$O32*AQ$6)/100))*(1-Scenarios!$F$13)-$Q32)</f>
        <v>860.38812564</v>
      </c>
      <c r="AR32" s="146">
        <f>MAX(0,$P32*(IF(MIN(100,$H32+$O32*AR$6)&gt;=100,1,Scenarios!$F$11+(1-Scenarios!$F$11-Scenarios!$F$12)*MIN(100,$H32+$O32*AR$6)/100)*MIN(1,MIN(100,$H32+$O32*AR$6)/100))*(1-Scenarios!$F$13)-$Q32)</f>
        <v>860.38812564</v>
      </c>
      <c r="AS32" s="146">
        <f>MAX(0,$P32*(IF(MIN(100,$H32+$O32*AS$6)&gt;=100,1,Scenarios!$F$11+(1-Scenarios!$F$11-Scenarios!$F$12)*MIN(100,$H32+$O32*AS$6)/100)*MIN(1,MIN(100,$H32+$O32*AS$6)/100))*(1-Scenarios!$F$13)-$Q32)</f>
        <v>860.38812564</v>
      </c>
      <c r="AT32" s="146">
        <f>MAX(0,$P32*(IF(MIN(100,$H32+$O32*AT$6)&gt;=100,1,Scenarios!$F$11+(1-Scenarios!$F$11-Scenarios!$F$12)*MIN(100,$H32+$O32*AT$6)/100)*MIN(1,MIN(100,$H32+$O32*AT$6)/100))*(1-Scenarios!$F$13)-$Q32)</f>
        <v>860.38812564</v>
      </c>
      <c r="AU32" s="146">
        <f>MAX(0,$P32*(IF(MIN(100,$H32+$O32*AU$6)&gt;=100,1,Scenarios!$F$11+(1-Scenarios!$F$11-Scenarios!$F$12)*MIN(100,$H32+$O32*AU$6)/100)*MIN(1,MIN(100,$H32+$O32*AU$6)/100))*(1-Scenarios!$F$13)-$Q32)</f>
        <v>860.38812564</v>
      </c>
      <c r="AV32" s="146">
        <f>MAX(0,$P32*(IF(MIN(100,$H32+$O32*AV$6)&gt;=100,1,Scenarios!$F$11+(1-Scenarios!$F$11-Scenarios!$F$12)*MIN(100,$H32+$O32*AV$6)/100)*MIN(1,MIN(100,$H32+$O32*AV$6)/100))*(1-Scenarios!$F$13)-$Q32)</f>
        <v>860.38812564</v>
      </c>
      <c r="AW32" s="193">
        <f>MAX(0,$P32*(IF(MIN(100,$H32+$O32*AW$6)&gt;=100,1,Scenarios!$F$11+(1-Scenarios!$F$11-Scenarios!$F$12)*MIN(100,$H32+$O32*AW$6)/100)*MIN(1,MIN(100,$H32+$O32*AW$6)/100))*(1-Scenarios!$F$13)-$Q32)</f>
        <v>860.38812564</v>
      </c>
      <c r="AX32" s="2"/>
      <c r="AY32" s="201">
        <f>MAX(1,(YEAR(IF(I32="",EDATE($C$3,Scenarios!$B$7),IF(I32&lt;$C$3,EDATE($C$3,Scenarios!$B$6),EDATE(I32,Scenarios!$B$5))))-YEAR($C$3))*12+MONTH(IF(I32="",EDATE($C$3,Scenarios!$B$7),IF(I32&lt;$C$3,EDATE($C$3,Scenarios!$B$6),EDATE(I32,Scenarios!$B$5))))-MONTH($C$3))</f>
        <v>8</v>
      </c>
      <c r="AZ32" s="178">
        <f>MIN(Scenarios!$B$14,(100-H32)/AY32)</f>
        <v>8</v>
      </c>
      <c r="BA32" s="146">
        <f>J32*(1-Scenarios!$B$8)+K32*G32/1000000*Scenarios!$B$9*(1+Scenarios!$B$10)</f>
        <v>905.6717112</v>
      </c>
      <c r="BB32" s="146">
        <f>J32*(IF(H32&gt;=100,1,Scenarios!$B$11+(1-Scenarios!$B$11-Scenarios!$B$12)*H32/100)*MIN(1,H32/100))*(1-Scenarios!$B$13)</f>
        <v>0</v>
      </c>
      <c r="BC32" s="146">
        <f>MAX(0,BA32*(IF(MIN(100,$H32+AZ32*5)&gt;=100,1,Scenarios!$B$11+(1-Scenarios!$B$11-Scenarios!$B$12)*MIN(100,$H32+AZ32*5)/100)*MIN(1,MIN(100,$H32+AZ32*5)/100))*(1-Scenarios!$B$13)-BB32)</f>
        <v>117.01278508704003</v>
      </c>
      <c r="BD32" s="146">
        <f>MAX(0,BA32*(IF(MIN(100,$H32+AZ32*15)&gt;=100,1,Scenarios!$B$11+(1-Scenarios!$B$11-Scenarios!$B$12)*MIN(100,$H32+AZ32*15)/100)*MIN(1,MIN(100,$H32+AZ32*15)/100))*(1-Scenarios!$B$13)-BB32)</f>
        <v>860.38812564</v>
      </c>
      <c r="BE32" s="146">
        <f>MAX(0,BA32*(IF(MIN(100,$H32+AZ32*27)&gt;=100,1,Scenarios!$B$11+(1-Scenarios!$B$11-Scenarios!$B$12)*MIN(100,$H32+AZ32*27)/100)*MIN(1,MIN(100,$H32+AZ32*27)/100))*(1-Scenarios!$B$13)-BB32)</f>
        <v>860.38812564</v>
      </c>
      <c r="BF32" s="146">
        <f>MAX(1,(YEAR(IF(I32="",EDATE($C$3,Scenarios!$C$7),IF(I32&lt;$C$3,EDATE($C$3,Scenarios!$C$6),EDATE(I32,Scenarios!$C$5))))-YEAR($C$3))*12+MONTH(IF(I32="",EDATE($C$3,Scenarios!$C$7),IF(I32&lt;$C$3,EDATE($C$3,Scenarios!$C$6),EDATE(I32,Scenarios!$C$5))))-MONTH($C$3))</f>
        <v>14</v>
      </c>
      <c r="BG32" s="178">
        <f>MIN(Scenarios!$C$14,(100-H32)/BF32)</f>
        <v>6</v>
      </c>
      <c r="BH32" s="146">
        <f>J32*(1-Scenarios!$C$8)+K32*G32/1000000*Scenarios!$C$9*(1+Scenarios!$C$10)</f>
        <v>901.89437580000003</v>
      </c>
      <c r="BI32" s="146">
        <f>J32*(IF(H32&gt;=100,1,Scenarios!$C$11+(1-Scenarios!$C$11-Scenarios!$C$12)*H32/100)*MIN(1,H32/100))*(1-Scenarios!$C$13)</f>
        <v>0</v>
      </c>
      <c r="BJ32" s="146">
        <f>MAX(0,BH32*(IF(MIN(100,$H32+BG32*5)&gt;=100,1,Scenarios!$C$11+(1-Scenarios!$C$11-Scenarios!$C$12)*MIN(100,$H32+BG32*5)/100)*MIN(1,MIN(100,$H32+BG32*5)/100))*(1-Scenarios!$C$13)-BI32)</f>
        <v>71.971171188840003</v>
      </c>
      <c r="BK32" s="146">
        <f>MAX(0,BH32*(IF(MIN(100,$H32+BG32*15)&gt;=100,1,Scenarios!$C$11+(1-Scenarios!$C$11-Scenarios!$C$12)*MIN(100,$H32+BG32*15)/100)*MIN(1,MIN(100,$H32+BG32*15)/100))*(1-Scenarios!$C$13)-BI32)</f>
        <v>493.51660243776007</v>
      </c>
      <c r="BL32" s="146">
        <f>MAX(0,BH32*(IF(MIN(100,$H32+BG32*27)&gt;=100,1,Scenarios!$C$11+(1-Scenarios!$C$11-Scenarios!$C$12)*MIN(100,$H32+BG32*27)/100)*MIN(1,MIN(100,$H32+BG32*27)/100))*(1-Scenarios!$C$13)-BI32)</f>
        <v>856.79965701000003</v>
      </c>
      <c r="BM32" s="146">
        <f>MAX(1,(YEAR(IF(I32="",EDATE($C$3,Scenarios!$D$7),IF(I32&lt;$C$3,EDATE($C$3,Scenarios!$D$6),EDATE(I32,Scenarios!$D$5))))-YEAR($C$3))*12+MONTH(IF(I32="",EDATE($C$3,Scenarios!$D$7),IF(I32&lt;$C$3,EDATE($C$3,Scenarios!$D$6),EDATE(I32,Scenarios!$D$5))))-MONTH($C$3))</f>
        <v>8</v>
      </c>
      <c r="BN32" s="178">
        <f>MIN(Scenarios!$D$14,(100-H32)/BM32)</f>
        <v>8</v>
      </c>
      <c r="BO32" s="146">
        <f>J32*(1-Scenarios!$D$8)+K32*G32/1000000*Scenarios!$D$9*(1+Scenarios!$D$10)</f>
        <v>767.74342005000005</v>
      </c>
      <c r="BP32" s="146">
        <f>J32*(IF(H32&gt;=100,1,Scenarios!$D$11+(1-Scenarios!$D$11-Scenarios!$D$12)*H32/100)*MIN(1,H32/100))*(1-Scenarios!$D$13)</f>
        <v>0</v>
      </c>
      <c r="BQ32" s="146">
        <f>MAX(0,BO32*(IF(MIN(100,$H32+BN32*5)&gt;=100,1,Scenarios!$D$11+(1-Scenarios!$D$11-Scenarios!$D$12)*MIN(100,$H32+BN32*5)/100)*MIN(1,MIN(100,$H32+BN32*5)/100))*(1-Scenarios!$D$13)-BP32)</f>
        <v>99.192449870460024</v>
      </c>
      <c r="BR32" s="146">
        <f>MAX(0,BO32*(IF(MIN(100,$H32+BN32*15)&gt;=100,1,Scenarios!$D$11+(1-Scenarios!$D$11-Scenarios!$D$12)*MIN(100,$H32+BN32*15)/100)*MIN(1,MIN(100,$H32+BN32*15)/100))*(1-Scenarios!$D$13)-BP32)</f>
        <v>729.3562490475</v>
      </c>
      <c r="BS32" s="146">
        <f>MAX(0,BO32*(IF(MIN(100,$H32+BN32*27)&gt;=100,1,Scenarios!$D$11+(1-Scenarios!$D$11-Scenarios!$D$12)*MIN(100,$H32+BN32*27)/100)*MIN(1,MIN(100,$H32+BN32*27)/100))*(1-Scenarios!$D$13)-BP32)</f>
        <v>729.3562490475</v>
      </c>
      <c r="BT32" s="146">
        <f>MAX(1,(YEAR(IF(I32="",EDATE($C$3,Scenarios!$E$7),IF(I32&lt;$C$3,EDATE($C$3,Scenarios!$E$6),EDATE(I32,Scenarios!$E$5))))-YEAR($C$3))*12+MONTH(IF(I32="",EDATE($C$3,Scenarios!$E$7),IF(I32&lt;$C$3,EDATE($C$3,Scenarios!$E$6),EDATE(I32,Scenarios!$E$5))))-MONTH($C$3))</f>
        <v>8</v>
      </c>
      <c r="BU32" s="178">
        <f>MIN(Scenarios!$E$14,(100-H32)/BT32)</f>
        <v>8</v>
      </c>
      <c r="BV32" s="146">
        <f>J32*(1-Scenarios!$E$8)+K32*G32/1000000*Scenarios!$E$9*(1+Scenarios!$E$10)</f>
        <v>859.25492501999997</v>
      </c>
      <c r="BW32" s="146">
        <f>J32*(IF(H32&gt;=100,1,Scenarios!$E$11+(1-Scenarios!$E$11-Scenarios!$E$12)*H32/100)*MIN(1,H32/100))*(1-Scenarios!$E$13)</f>
        <v>0</v>
      </c>
      <c r="BX32" s="146">
        <f>MAX(0,BV32*(IF(MIN(100,$H32+BU32*5)&gt;=100,1,Scenarios!$E$11+(1-Scenarios!$E$11-Scenarios!$E$12)*MIN(100,$H32+BU32*5)/100)*MIN(1,MIN(100,$H32+BU32*5)/100))*(1-Scenarios!$E$13)-BW32)</f>
        <v>111.01573631258402</v>
      </c>
      <c r="BY32" s="146">
        <f>MAX(0,BV32*(IF(MIN(100,$H32+BU32*15)&gt;=100,1,Scenarios!$E$11+(1-Scenarios!$E$11-Scenarios!$E$12)*MIN(100,$H32+BU32*15)/100)*MIN(1,MIN(100,$H32+BU32*15)/100))*(1-Scenarios!$E$13)-BW32)</f>
        <v>816.29217876899997</v>
      </c>
      <c r="BZ32" s="146">
        <f>MAX(0,BV32*(IF(MIN(100,$H32+BU32*27)&gt;=100,1,Scenarios!$E$11+(1-Scenarios!$E$11-Scenarios!$E$12)*MIN(100,$H32+BU32*27)/100)*MIN(1,MIN(100,$H32+BU32*27)/100))*(1-Scenarios!$E$13)-BW32)</f>
        <v>816.29217876899997</v>
      </c>
      <c r="CA32" s="206">
        <f t="shared" si="7"/>
        <v>117.01281708704003</v>
      </c>
    </row>
    <row r="33" spans="1:79" ht="17.25" customHeight="1" x14ac:dyDescent="0.2">
      <c r="A33" s="135" t="s">
        <v>169</v>
      </c>
      <c r="B33" s="145" t="s">
        <v>170</v>
      </c>
      <c r="C33" s="145" t="s">
        <v>168</v>
      </c>
      <c r="D33" s="147">
        <v>46188</v>
      </c>
      <c r="E33" s="136">
        <v>612</v>
      </c>
      <c r="F33" s="136">
        <v>562</v>
      </c>
      <c r="G33" s="136">
        <v>1342190</v>
      </c>
      <c r="H33" s="191">
        <v>0</v>
      </c>
      <c r="I33" s="150">
        <v>46553</v>
      </c>
      <c r="J33" s="146">
        <f t="shared" si="0"/>
        <v>754.31078000000002</v>
      </c>
      <c r="K33" s="146">
        <f t="shared" si="1"/>
        <v>50</v>
      </c>
      <c r="L33" s="192">
        <f t="shared" si="2"/>
        <v>0.9183006535947712</v>
      </c>
      <c r="M33" s="147">
        <f>IF(I33="",EDATE($C$3,Scenarios!$F$7),IF(I33&lt;$C$3,EDATE($C$3,Scenarios!$F$6),EDATE(I33,Scenarios!$F$5)))</f>
        <v>46553</v>
      </c>
      <c r="N33" s="146">
        <f t="shared" si="3"/>
        <v>9</v>
      </c>
      <c r="O33" s="178">
        <f>MIN(Scenarios!$F$14,(100-H33)/N33)</f>
        <v>8</v>
      </c>
      <c r="P33" s="146">
        <f>J33*(1-Scenarios!$F$8)+K33*G33/1000000*Scenarios!$F$9*(1+Scenarios!$F$10)</f>
        <v>794.57648000000006</v>
      </c>
      <c r="Q33" s="146">
        <f>J33*(IF(H33&gt;=100,1,Scenarios!$F$11+(1-Scenarios!$F$11-Scenarios!$F$12)*H33/100)*MIN(1,H33/100))*(1-Scenarios!$F$13)</f>
        <v>0</v>
      </c>
      <c r="R33" s="146">
        <f t="shared" si="4"/>
        <v>102.65928121600002</v>
      </c>
      <c r="S33" s="146">
        <f t="shared" si="5"/>
        <v>754.84765600000003</v>
      </c>
      <c r="T33" s="146">
        <f t="shared" si="6"/>
        <v>754.84765600000003</v>
      </c>
      <c r="U33" s="193">
        <f>J33*IF(H33&gt;=100,1,Scenarios!$F$11+(1-Scenarios!$F$11-Scenarios!$F$12)*H33/100)</f>
        <v>75.431077999999999</v>
      </c>
      <c r="V33" s="201">
        <f>MAX(0,$P33*(IF(MIN(100,$H33+$O33*V$6)&gt;=100,1,Scenarios!$F$11+(1-Scenarios!$F$11-Scenarios!$F$12)*MIN(100,$H33+$O33*V$6)/100)*MIN(1,MIN(100,$H33+$O33*V$6)/100))*(1-Scenarios!$F$13)-$Q33)</f>
        <v>8.9373962470400006</v>
      </c>
      <c r="W33" s="146">
        <f>MAX(0,$P33*(IF(MIN(100,$H33+$O33*W$6)&gt;=100,1,Scenarios!$F$11+(1-Scenarios!$F$11-Scenarios!$F$12)*MIN(100,$H33+$O33*W$6)/100)*MIN(1,MIN(100,$H33+$O33*W$6)/100))*(1-Scenarios!$F$13)-$Q33)</f>
        <v>23.67202249216</v>
      </c>
      <c r="X33" s="146">
        <f>MAX(0,$P33*(IF(MIN(100,$H33+$O33*X$6)&gt;=100,1,Scenarios!$F$11+(1-Scenarios!$F$11-Scenarios!$F$12)*MIN(100,$H33+$O33*X$6)/100)*MIN(1,MIN(100,$H33+$O33*X$6)/100))*(1-Scenarios!$F$13)-$Q33)</f>
        <v>44.20387873536</v>
      </c>
      <c r="Y33" s="146">
        <f>MAX(0,$P33*(IF(MIN(100,$H33+$O33*Y$6)&gt;=100,1,Scenarios!$F$11+(1-Scenarios!$F$11-Scenarios!$F$12)*MIN(100,$H33+$O33*Y$6)/100)*MIN(1,MIN(100,$H33+$O33*Y$6)/100))*(1-Scenarios!$F$13)-$Q33)</f>
        <v>70.532964976640002</v>
      </c>
      <c r="Z33" s="146">
        <f>MAX(0,$P33*(IF(MIN(100,$H33+$O33*Z$6)&gt;=100,1,Scenarios!$F$11+(1-Scenarios!$F$11-Scenarios!$F$12)*MIN(100,$H33+$O33*Z$6)/100)*MIN(1,MIN(100,$H33+$O33*Z$6)/100))*(1-Scenarios!$F$13)-$Q33)</f>
        <v>102.65928121600002</v>
      </c>
      <c r="AA33" s="146">
        <f>MAX(0,$P33*(IF(MIN(100,$H33+$O33*AA$6)&gt;=100,1,Scenarios!$F$11+(1-Scenarios!$F$11-Scenarios!$F$12)*MIN(100,$H33+$O33*AA$6)/100)*MIN(1,MIN(100,$H33+$O33*AA$6)/100))*(1-Scenarios!$F$13)-$Q33)</f>
        <v>140.58282745343999</v>
      </c>
      <c r="AB33" s="146">
        <f>MAX(0,$P33*(IF(MIN(100,$H33+$O33*AB$6)&gt;=100,1,Scenarios!$F$11+(1-Scenarios!$F$11-Scenarios!$F$12)*MIN(100,$H33+$O33*AB$6)/100)*MIN(1,MIN(100,$H33+$O33*AB$6)/100))*(1-Scenarios!$F$13)-$Q33)</f>
        <v>184.30360368896004</v>
      </c>
      <c r="AC33" s="146">
        <f>MAX(0,$P33*(IF(MIN(100,$H33+$O33*AC$6)&gt;=100,1,Scenarios!$F$11+(1-Scenarios!$F$11-Scenarios!$F$12)*MIN(100,$H33+$O33*AC$6)/100)*MIN(1,MIN(100,$H33+$O33*AC$6)/100))*(1-Scenarios!$F$13)-$Q33)</f>
        <v>233.82160992256007</v>
      </c>
      <c r="AD33" s="146">
        <f>MAX(0,$P33*(IF(MIN(100,$H33+$O33*AD$6)&gt;=100,1,Scenarios!$F$11+(1-Scenarios!$F$11-Scenarios!$F$12)*MIN(100,$H33+$O33*AD$6)/100)*MIN(1,MIN(100,$H33+$O33*AD$6)/100))*(1-Scenarios!$F$13)-$Q33)</f>
        <v>289.13684615424</v>
      </c>
      <c r="AE33" s="146">
        <f>MAX(0,$P33*(IF(MIN(100,$H33+$O33*AE$6)&gt;=100,1,Scenarios!$F$11+(1-Scenarios!$F$11-Scenarios!$F$12)*MIN(100,$H33+$O33*AE$6)/100)*MIN(1,MIN(100,$H33+$O33*AE$6)/100))*(1-Scenarios!$F$13)-$Q33)</f>
        <v>350.24931238400006</v>
      </c>
      <c r="AF33" s="146">
        <f>MAX(0,$P33*(IF(MIN(100,$H33+$O33*AF$6)&gt;=100,1,Scenarios!$F$11+(1-Scenarios!$F$11-Scenarios!$F$12)*MIN(100,$H33+$O33*AF$6)/100)*MIN(1,MIN(100,$H33+$O33*AF$6)/100))*(1-Scenarios!$F$13)-$Q33)</f>
        <v>417.15900861184008</v>
      </c>
      <c r="AG33" s="146">
        <f>MAX(0,$P33*(IF(MIN(100,$H33+$O33*AG$6)&gt;=100,1,Scenarios!$F$11+(1-Scenarios!$F$11-Scenarios!$F$12)*MIN(100,$H33+$O33*AG$6)/100)*MIN(1,MIN(100,$H33+$O33*AG$6)/100))*(1-Scenarios!$F$13)-$Q33)</f>
        <v>489.86593483775994</v>
      </c>
      <c r="AH33" s="146">
        <f>MAX(0,$P33*(IF(MIN(100,$H33+$O33*AH$6)&gt;=100,1,Scenarios!$F$11+(1-Scenarios!$F$11-Scenarios!$F$12)*MIN(100,$H33+$O33*AH$6)/100)*MIN(1,MIN(100,$H33+$O33*AH$6)/100))*(1-Scenarios!$F$13)-$Q33)</f>
        <v>754.84765600000003</v>
      </c>
      <c r="AI33" s="146">
        <f>MAX(0,$P33*(IF(MIN(100,$H33+$O33*AI$6)&gt;=100,1,Scenarios!$F$11+(1-Scenarios!$F$11-Scenarios!$F$12)*MIN(100,$H33+$O33*AI$6)/100)*MIN(1,MIN(100,$H33+$O33*AI$6)/100))*(1-Scenarios!$F$13)-$Q33)</f>
        <v>754.84765600000003</v>
      </c>
      <c r="AJ33" s="146">
        <f>MAX(0,$P33*(IF(MIN(100,$H33+$O33*AJ$6)&gt;=100,1,Scenarios!$F$11+(1-Scenarios!$F$11-Scenarios!$F$12)*MIN(100,$H33+$O33*AJ$6)/100)*MIN(1,MIN(100,$H33+$O33*AJ$6)/100))*(1-Scenarios!$F$13)-$Q33)</f>
        <v>754.84765600000003</v>
      </c>
      <c r="AK33" s="146">
        <f>MAX(0,$P33*(IF(MIN(100,$H33+$O33*AK$6)&gt;=100,1,Scenarios!$F$11+(1-Scenarios!$F$11-Scenarios!$F$12)*MIN(100,$H33+$O33*AK$6)/100)*MIN(1,MIN(100,$H33+$O33*AK$6)/100))*(1-Scenarios!$F$13)-$Q33)</f>
        <v>754.84765600000003</v>
      </c>
      <c r="AL33" s="146">
        <f>MAX(0,$P33*(IF(MIN(100,$H33+$O33*AL$6)&gt;=100,1,Scenarios!$F$11+(1-Scenarios!$F$11-Scenarios!$F$12)*MIN(100,$H33+$O33*AL$6)/100)*MIN(1,MIN(100,$H33+$O33*AL$6)/100))*(1-Scenarios!$F$13)-$Q33)</f>
        <v>754.84765600000003</v>
      </c>
      <c r="AM33" s="146">
        <f>MAX(0,$P33*(IF(MIN(100,$H33+$O33*AM$6)&gt;=100,1,Scenarios!$F$11+(1-Scenarios!$F$11-Scenarios!$F$12)*MIN(100,$H33+$O33*AM$6)/100)*MIN(1,MIN(100,$H33+$O33*AM$6)/100))*(1-Scenarios!$F$13)-$Q33)</f>
        <v>754.84765600000003</v>
      </c>
      <c r="AN33" s="146">
        <f>MAX(0,$P33*(IF(MIN(100,$H33+$O33*AN$6)&gt;=100,1,Scenarios!$F$11+(1-Scenarios!$F$11-Scenarios!$F$12)*MIN(100,$H33+$O33*AN$6)/100)*MIN(1,MIN(100,$H33+$O33*AN$6)/100))*(1-Scenarios!$F$13)-$Q33)</f>
        <v>754.84765600000003</v>
      </c>
      <c r="AO33" s="146">
        <f>MAX(0,$P33*(IF(MIN(100,$H33+$O33*AO$6)&gt;=100,1,Scenarios!$F$11+(1-Scenarios!$F$11-Scenarios!$F$12)*MIN(100,$H33+$O33*AO$6)/100)*MIN(1,MIN(100,$H33+$O33*AO$6)/100))*(1-Scenarios!$F$13)-$Q33)</f>
        <v>754.84765600000003</v>
      </c>
      <c r="AP33" s="146">
        <f>MAX(0,$P33*(IF(MIN(100,$H33+$O33*AP$6)&gt;=100,1,Scenarios!$F$11+(1-Scenarios!$F$11-Scenarios!$F$12)*MIN(100,$H33+$O33*AP$6)/100)*MIN(1,MIN(100,$H33+$O33*AP$6)/100))*(1-Scenarios!$F$13)-$Q33)</f>
        <v>754.84765600000003</v>
      </c>
      <c r="AQ33" s="146">
        <f>MAX(0,$P33*(IF(MIN(100,$H33+$O33*AQ$6)&gt;=100,1,Scenarios!$F$11+(1-Scenarios!$F$11-Scenarios!$F$12)*MIN(100,$H33+$O33*AQ$6)/100)*MIN(1,MIN(100,$H33+$O33*AQ$6)/100))*(1-Scenarios!$F$13)-$Q33)</f>
        <v>754.84765600000003</v>
      </c>
      <c r="AR33" s="146">
        <f>MAX(0,$P33*(IF(MIN(100,$H33+$O33*AR$6)&gt;=100,1,Scenarios!$F$11+(1-Scenarios!$F$11-Scenarios!$F$12)*MIN(100,$H33+$O33*AR$6)/100)*MIN(1,MIN(100,$H33+$O33*AR$6)/100))*(1-Scenarios!$F$13)-$Q33)</f>
        <v>754.84765600000003</v>
      </c>
      <c r="AS33" s="146">
        <f>MAX(0,$P33*(IF(MIN(100,$H33+$O33*AS$6)&gt;=100,1,Scenarios!$F$11+(1-Scenarios!$F$11-Scenarios!$F$12)*MIN(100,$H33+$O33*AS$6)/100)*MIN(1,MIN(100,$H33+$O33*AS$6)/100))*(1-Scenarios!$F$13)-$Q33)</f>
        <v>754.84765600000003</v>
      </c>
      <c r="AT33" s="146">
        <f>MAX(0,$P33*(IF(MIN(100,$H33+$O33*AT$6)&gt;=100,1,Scenarios!$F$11+(1-Scenarios!$F$11-Scenarios!$F$12)*MIN(100,$H33+$O33*AT$6)/100)*MIN(1,MIN(100,$H33+$O33*AT$6)/100))*(1-Scenarios!$F$13)-$Q33)</f>
        <v>754.84765600000003</v>
      </c>
      <c r="AU33" s="146">
        <f>MAX(0,$P33*(IF(MIN(100,$H33+$O33*AU$6)&gt;=100,1,Scenarios!$F$11+(1-Scenarios!$F$11-Scenarios!$F$12)*MIN(100,$H33+$O33*AU$6)/100)*MIN(1,MIN(100,$H33+$O33*AU$6)/100))*(1-Scenarios!$F$13)-$Q33)</f>
        <v>754.84765600000003</v>
      </c>
      <c r="AV33" s="146">
        <f>MAX(0,$P33*(IF(MIN(100,$H33+$O33*AV$6)&gt;=100,1,Scenarios!$F$11+(1-Scenarios!$F$11-Scenarios!$F$12)*MIN(100,$H33+$O33*AV$6)/100)*MIN(1,MIN(100,$H33+$O33*AV$6)/100))*(1-Scenarios!$F$13)-$Q33)</f>
        <v>754.84765600000003</v>
      </c>
      <c r="AW33" s="193">
        <f>MAX(0,$P33*(IF(MIN(100,$H33+$O33*AW$6)&gt;=100,1,Scenarios!$F$11+(1-Scenarios!$F$11-Scenarios!$F$12)*MIN(100,$H33+$O33*AW$6)/100)*MIN(1,MIN(100,$H33+$O33*AW$6)/100))*(1-Scenarios!$F$13)-$Q33)</f>
        <v>754.84765600000003</v>
      </c>
      <c r="AX33" s="2"/>
      <c r="AY33" s="201">
        <f>MAX(1,(YEAR(IF(I33="",EDATE($C$3,Scenarios!$B$7),IF(I33&lt;$C$3,EDATE($C$3,Scenarios!$B$6),EDATE(I33,Scenarios!$B$5))))-YEAR($C$3))*12+MONTH(IF(I33="",EDATE($C$3,Scenarios!$B$7),IF(I33&lt;$C$3,EDATE($C$3,Scenarios!$B$6),EDATE(I33,Scenarios!$B$5))))-MONTH($C$3))</f>
        <v>9</v>
      </c>
      <c r="AZ33" s="178">
        <f>MIN(Scenarios!$B$14,(100-H33)/AY33)</f>
        <v>8</v>
      </c>
      <c r="BA33" s="146">
        <f>J33*(1-Scenarios!$B$8)+K33*G33/1000000*Scenarios!$B$9*(1+Scenarios!$B$10)</f>
        <v>794.57648000000006</v>
      </c>
      <c r="BB33" s="146">
        <f>J33*(IF(H33&gt;=100,1,Scenarios!$B$11+(1-Scenarios!$B$11-Scenarios!$B$12)*H33/100)*MIN(1,H33/100))*(1-Scenarios!$B$13)</f>
        <v>0</v>
      </c>
      <c r="BC33" s="146">
        <f>MAX(0,BA33*(IF(MIN(100,$H33+AZ33*5)&gt;=100,1,Scenarios!$B$11+(1-Scenarios!$B$11-Scenarios!$B$12)*MIN(100,$H33+AZ33*5)/100)*MIN(1,MIN(100,$H33+AZ33*5)/100))*(1-Scenarios!$B$13)-BB33)</f>
        <v>102.65928121600002</v>
      </c>
      <c r="BD33" s="146">
        <f>MAX(0,BA33*(IF(MIN(100,$H33+AZ33*15)&gt;=100,1,Scenarios!$B$11+(1-Scenarios!$B$11-Scenarios!$B$12)*MIN(100,$H33+AZ33*15)/100)*MIN(1,MIN(100,$H33+AZ33*15)/100))*(1-Scenarios!$B$13)-BB33)</f>
        <v>754.84765600000003</v>
      </c>
      <c r="BE33" s="146">
        <f>MAX(0,BA33*(IF(MIN(100,$H33+AZ33*27)&gt;=100,1,Scenarios!$B$11+(1-Scenarios!$B$11-Scenarios!$B$12)*MIN(100,$H33+AZ33*27)/100)*MIN(1,MIN(100,$H33+AZ33*27)/100))*(1-Scenarios!$B$13)-BB33)</f>
        <v>754.84765600000003</v>
      </c>
      <c r="BF33" s="146">
        <f>MAX(1,(YEAR(IF(I33="",EDATE($C$3,Scenarios!$C$7),IF(I33&lt;$C$3,EDATE($C$3,Scenarios!$C$6),EDATE(I33,Scenarios!$C$5))))-YEAR($C$3))*12+MONTH(IF(I33="",EDATE($C$3,Scenarios!$C$7),IF(I33&lt;$C$3,EDATE($C$3,Scenarios!$C$6),EDATE(I33,Scenarios!$C$5))))-MONTH($C$3))</f>
        <v>15</v>
      </c>
      <c r="BG33" s="178">
        <f>MIN(Scenarios!$C$14,(100-H33)/BF33)</f>
        <v>6</v>
      </c>
      <c r="BH33" s="146">
        <f>J33*(1-Scenarios!$C$8)+K33*G33/1000000*Scenarios!$C$9*(1+Scenarios!$C$10)</f>
        <v>781.15458000000001</v>
      </c>
      <c r="BI33" s="146">
        <f>J33*(IF(H33&gt;=100,1,Scenarios!$C$11+(1-Scenarios!$C$11-Scenarios!$C$12)*H33/100)*MIN(1,H33/100))*(1-Scenarios!$C$13)</f>
        <v>0</v>
      </c>
      <c r="BJ33" s="146">
        <f>MAX(0,BH33*(IF(MIN(100,$H33+BG33*5)&gt;=100,1,Scenarios!$C$11+(1-Scenarios!$C$11-Scenarios!$C$12)*MIN(100,$H33+BG33*5)/100)*MIN(1,MIN(100,$H33+BG33*5)/100))*(1-Scenarios!$C$13)-BI33)</f>
        <v>62.336135484000003</v>
      </c>
      <c r="BK33" s="146">
        <f>MAX(0,BH33*(IF(MIN(100,$H33+BG33*15)&gt;=100,1,Scenarios!$C$11+(1-Scenarios!$C$11-Scenarios!$C$12)*MIN(100,$H33+BG33*15)/100)*MIN(1,MIN(100,$H33+BG33*15)/100))*(1-Scenarios!$C$13)-BI33)</f>
        <v>427.44778617600002</v>
      </c>
      <c r="BL33" s="146">
        <f>MAX(0,BH33*(IF(MIN(100,$H33+BG33*27)&gt;=100,1,Scenarios!$C$11+(1-Scenarios!$C$11-Scenarios!$C$12)*MIN(100,$H33+BG33*27)/100)*MIN(1,MIN(100,$H33+BG33*27)/100))*(1-Scenarios!$C$13)-BI33)</f>
        <v>742.09685100000002</v>
      </c>
      <c r="BM33" s="146">
        <f>MAX(1,(YEAR(IF(I33="",EDATE($C$3,Scenarios!$D$7),IF(I33&lt;$C$3,EDATE($C$3,Scenarios!$D$6),EDATE(I33,Scenarios!$D$5))))-YEAR($C$3))*12+MONTH(IF(I33="",EDATE($C$3,Scenarios!$D$7),IF(I33&lt;$C$3,EDATE($C$3,Scenarios!$D$6),EDATE(I33,Scenarios!$D$5))))-MONTH($C$3))</f>
        <v>9</v>
      </c>
      <c r="BN33" s="178">
        <f>MIN(Scenarios!$D$14,(100-H33)/BM33)</f>
        <v>8</v>
      </c>
      <c r="BO33" s="146">
        <f>J33*(1-Scenarios!$D$8)+K33*G33/1000000*Scenarios!$D$9*(1+Scenarios!$D$10)</f>
        <v>668.00796300000002</v>
      </c>
      <c r="BP33" s="146">
        <f>J33*(IF(H33&gt;=100,1,Scenarios!$D$11+(1-Scenarios!$D$11-Scenarios!$D$12)*H33/100)*MIN(1,H33/100))*(1-Scenarios!$D$13)</f>
        <v>0</v>
      </c>
      <c r="BQ33" s="146">
        <f>MAX(0,BO33*(IF(MIN(100,$H33+BN33*5)&gt;=100,1,Scenarios!$D$11+(1-Scenarios!$D$11-Scenarios!$D$12)*MIN(100,$H33+BN33*5)/100)*MIN(1,MIN(100,$H33+BN33*5)/100))*(1-Scenarios!$D$13)-BP33)</f>
        <v>86.306628819600022</v>
      </c>
      <c r="BR33" s="146">
        <f>MAX(0,BO33*(IF(MIN(100,$H33+BN33*15)&gt;=100,1,Scenarios!$D$11+(1-Scenarios!$D$11-Scenarios!$D$12)*MIN(100,$H33+BN33*15)/100)*MIN(1,MIN(100,$H33+BN33*15)/100))*(1-Scenarios!$D$13)-BP33)</f>
        <v>634.60756485000002</v>
      </c>
      <c r="BS33" s="146">
        <f>MAX(0,BO33*(IF(MIN(100,$H33+BN33*27)&gt;=100,1,Scenarios!$D$11+(1-Scenarios!$D$11-Scenarios!$D$12)*MIN(100,$H33+BN33*27)/100)*MIN(1,MIN(100,$H33+BN33*27)/100))*(1-Scenarios!$D$13)-BP33)</f>
        <v>634.60756485000002</v>
      </c>
      <c r="BT33" s="146">
        <f>MAX(1,(YEAR(IF(I33="",EDATE($C$3,Scenarios!$E$7),IF(I33&lt;$C$3,EDATE($C$3,Scenarios!$E$6),EDATE(I33,Scenarios!$E$5))))-YEAR($C$3))*12+MONTH(IF(I33="",EDATE($C$3,Scenarios!$E$7),IF(I33&lt;$C$3,EDATE($C$3,Scenarios!$E$6),EDATE(I33,Scenarios!$E$5))))-MONTH($C$3))</f>
        <v>9</v>
      </c>
      <c r="BU33" s="178">
        <f>MIN(Scenarios!$E$14,(100-H33)/BT33)</f>
        <v>8</v>
      </c>
      <c r="BV33" s="146">
        <f>J33*(1-Scenarios!$E$8)+K33*G33/1000000*Scenarios!$E$9*(1+Scenarios!$E$10)</f>
        <v>750.82108599999992</v>
      </c>
      <c r="BW33" s="146">
        <f>J33*(IF(H33&gt;=100,1,Scenarios!$E$11+(1-Scenarios!$E$11-Scenarios!$E$12)*H33/100)*MIN(1,H33/100))*(1-Scenarios!$E$13)</f>
        <v>0</v>
      </c>
      <c r="BX33" s="146">
        <f>MAX(0,BV33*(IF(MIN(100,$H33+BU33*5)&gt;=100,1,Scenarios!$E$11+(1-Scenarios!$E$11-Scenarios!$E$12)*MIN(100,$H33+BU33*5)/100)*MIN(1,MIN(100,$H33+BU33*5)/100))*(1-Scenarios!$E$13)-BW33)</f>
        <v>97.006084311200013</v>
      </c>
      <c r="BY33" s="146">
        <f>MAX(0,BV33*(IF(MIN(100,$H33+BU33*15)&gt;=100,1,Scenarios!$E$11+(1-Scenarios!$E$11-Scenarios!$E$12)*MIN(100,$H33+BU33*15)/100)*MIN(1,MIN(100,$H33+BU33*15)/100))*(1-Scenarios!$E$13)-BW33)</f>
        <v>713.28003169999988</v>
      </c>
      <c r="BZ33" s="146">
        <f>MAX(0,BV33*(IF(MIN(100,$H33+BU33*27)&gt;=100,1,Scenarios!$E$11+(1-Scenarios!$E$11-Scenarios!$E$12)*MIN(100,$H33+BU33*27)/100)*MIN(1,MIN(100,$H33+BU33*27)/100))*(1-Scenarios!$E$13)-BW33)</f>
        <v>713.28003169999988</v>
      </c>
      <c r="CA33" s="206">
        <f t="shared" si="7"/>
        <v>102.65931421600003</v>
      </c>
    </row>
    <row r="34" spans="1:79" ht="17.25" customHeight="1" x14ac:dyDescent="0.2">
      <c r="A34" s="135" t="s">
        <v>171</v>
      </c>
      <c r="B34" s="145" t="s">
        <v>172</v>
      </c>
      <c r="C34" s="145" t="s">
        <v>168</v>
      </c>
      <c r="D34" s="147">
        <v>46188</v>
      </c>
      <c r="E34" s="136">
        <v>844</v>
      </c>
      <c r="F34" s="136">
        <v>795</v>
      </c>
      <c r="G34" s="136">
        <v>1308334</v>
      </c>
      <c r="H34" s="191">
        <v>0</v>
      </c>
      <c r="I34" s="150">
        <v>46582</v>
      </c>
      <c r="J34" s="146">
        <f t="shared" si="0"/>
        <v>1040.12553</v>
      </c>
      <c r="K34" s="146">
        <f t="shared" si="1"/>
        <v>49</v>
      </c>
      <c r="L34" s="192">
        <f t="shared" si="2"/>
        <v>0.94194312796208535</v>
      </c>
      <c r="M34" s="147">
        <f>IF(I34="",EDATE($C$3,Scenarios!$F$7),IF(I34&lt;$C$3,EDATE($C$3,Scenarios!$F$6),EDATE(I34,Scenarios!$F$5)))</f>
        <v>46582</v>
      </c>
      <c r="N34" s="146">
        <f t="shared" si="3"/>
        <v>10</v>
      </c>
      <c r="O34" s="178">
        <f>MIN(Scenarios!$F$14,(100-H34)/N34)</f>
        <v>8</v>
      </c>
      <c r="P34" s="146">
        <f>J34*(1-Scenarios!$F$8)+K34*G34/1000000*Scenarios!$F$9*(1+Scenarios!$F$10)</f>
        <v>1078.5905496</v>
      </c>
      <c r="Q34" s="146">
        <f>J34*(IF(H34&gt;=100,1,Scenarios!$F$11+(1-Scenarios!$F$11-Scenarios!$F$12)*H34/100)*MIN(1,H34/100))*(1-Scenarios!$F$13)</f>
        <v>0</v>
      </c>
      <c r="R34" s="146">
        <f t="shared" si="4"/>
        <v>139.35389900832004</v>
      </c>
      <c r="S34" s="146">
        <f t="shared" si="5"/>
        <v>1024.6610221199999</v>
      </c>
      <c r="T34" s="146">
        <f t="shared" si="6"/>
        <v>1024.6610221199999</v>
      </c>
      <c r="U34" s="193">
        <f>J34*IF(H34&gt;=100,1,Scenarios!$F$11+(1-Scenarios!$F$11-Scenarios!$F$12)*H34/100)</f>
        <v>104.01255300000001</v>
      </c>
      <c r="V34" s="201">
        <f>MAX(0,$P34*(IF(MIN(100,$H34+$O34*V$6)&gt;=100,1,Scenarios!$F$11+(1-Scenarios!$F$11-Scenarios!$F$12)*MIN(100,$H34+$O34*V$6)/100)*MIN(1,MIN(100,$H34+$O34*V$6)/100))*(1-Scenarios!$F$13)-$Q34)</f>
        <v>12.131986501900801</v>
      </c>
      <c r="W34" s="146">
        <f>MAX(0,$P34*(IF(MIN(100,$H34+$O34*W$6)&gt;=100,1,Scenarios!$F$11+(1-Scenarios!$F$11-Scenarios!$F$12)*MIN(100,$H34+$O34*W$6)/100)*MIN(1,MIN(100,$H34+$O34*W$6)/100))*(1-Scenarios!$F$13)-$Q34)</f>
        <v>32.133369653683197</v>
      </c>
      <c r="X34" s="146">
        <f>MAX(0,$P34*(IF(MIN(100,$H34+$O34*X$6)&gt;=100,1,Scenarios!$F$11+(1-Scenarios!$F$11-Scenarios!$F$12)*MIN(100,$H34+$O34*X$6)/100)*MIN(1,MIN(100,$H34+$O34*X$6)/100))*(1-Scenarios!$F$13)-$Q34)</f>
        <v>60.004149455347203</v>
      </c>
      <c r="Y34" s="146">
        <f>MAX(0,$P34*(IF(MIN(100,$H34+$O34*Y$6)&gt;=100,1,Scenarios!$F$11+(1-Scenarios!$F$11-Scenarios!$F$12)*MIN(100,$H34+$O34*Y$6)/100)*MIN(1,MIN(100,$H34+$O34*Y$6)/100))*(1-Scenarios!$F$13)-$Q34)</f>
        <v>95.744325906892811</v>
      </c>
      <c r="Z34" s="146">
        <f>MAX(0,$P34*(IF(MIN(100,$H34+$O34*Z$6)&gt;=100,1,Scenarios!$F$11+(1-Scenarios!$F$11-Scenarios!$F$12)*MIN(100,$H34+$O34*Z$6)/100)*MIN(1,MIN(100,$H34+$O34*Z$6)/100))*(1-Scenarios!$F$13)-$Q34)</f>
        <v>139.35389900832004</v>
      </c>
      <c r="AA34" s="146">
        <f>MAX(0,$P34*(IF(MIN(100,$H34+$O34*AA$6)&gt;=100,1,Scenarios!$F$11+(1-Scenarios!$F$11-Scenarios!$F$12)*MIN(100,$H34+$O34*AA$6)/100)*MIN(1,MIN(100,$H34+$O34*AA$6)/100))*(1-Scenarios!$F$13)-$Q34)</f>
        <v>190.83286875962878</v>
      </c>
      <c r="AB34" s="146">
        <f>MAX(0,$P34*(IF(MIN(100,$H34+$O34*AB$6)&gt;=100,1,Scenarios!$F$11+(1-Scenarios!$F$11-Scenarios!$F$12)*MIN(100,$H34+$O34*AB$6)/100)*MIN(1,MIN(100,$H34+$O34*AB$6)/100))*(1-Scenarios!$F$13)-$Q34)</f>
        <v>250.18123516081923</v>
      </c>
      <c r="AC34" s="146">
        <f>MAX(0,$P34*(IF(MIN(100,$H34+$O34*AC$6)&gt;=100,1,Scenarios!$F$11+(1-Scenarios!$F$11-Scenarios!$F$12)*MIN(100,$H34+$O34*AC$6)/100)*MIN(1,MIN(100,$H34+$O34*AC$6)/100))*(1-Scenarios!$F$13)-$Q34)</f>
        <v>317.3989982118913</v>
      </c>
      <c r="AD34" s="146">
        <f>MAX(0,$P34*(IF(MIN(100,$H34+$O34*AD$6)&gt;=100,1,Scenarios!$F$11+(1-Scenarios!$F$11-Scenarios!$F$12)*MIN(100,$H34+$O34*AD$6)/100)*MIN(1,MIN(100,$H34+$O34*AD$6)/100))*(1-Scenarios!$F$13)-$Q34)</f>
        <v>392.48615791284476</v>
      </c>
      <c r="AE34" s="146">
        <f>MAX(0,$P34*(IF(MIN(100,$H34+$O34*AE$6)&gt;=100,1,Scenarios!$F$11+(1-Scenarios!$F$11-Scenarios!$F$12)*MIN(100,$H34+$O34*AE$6)/100)*MIN(1,MIN(100,$H34+$O34*AE$6)/100))*(1-Scenarios!$F$13)-$Q34)</f>
        <v>475.4427142636801</v>
      </c>
      <c r="AF34" s="146">
        <f>MAX(0,$P34*(IF(MIN(100,$H34+$O34*AF$6)&gt;=100,1,Scenarios!$F$11+(1-Scenarios!$F$11-Scenarios!$F$12)*MIN(100,$H34+$O34*AF$6)/100)*MIN(1,MIN(100,$H34+$O34*AF$6)/100))*(1-Scenarios!$F$13)-$Q34)</f>
        <v>566.26866726439698</v>
      </c>
      <c r="AG34" s="146">
        <f>MAX(0,$P34*(IF(MIN(100,$H34+$O34*AG$6)&gt;=100,1,Scenarios!$F$11+(1-Scenarios!$F$11-Scenarios!$F$12)*MIN(100,$H34+$O34*AG$6)/100)*MIN(1,MIN(100,$H34+$O34*AG$6)/100))*(1-Scenarios!$F$13)-$Q34)</f>
        <v>664.96401691499511</v>
      </c>
      <c r="AH34" s="146">
        <f>MAX(0,$P34*(IF(MIN(100,$H34+$O34*AH$6)&gt;=100,1,Scenarios!$F$11+(1-Scenarios!$F$11-Scenarios!$F$12)*MIN(100,$H34+$O34*AH$6)/100)*MIN(1,MIN(100,$H34+$O34*AH$6)/100))*(1-Scenarios!$F$13)-$Q34)</f>
        <v>1024.6610221199999</v>
      </c>
      <c r="AI34" s="146">
        <f>MAX(0,$P34*(IF(MIN(100,$H34+$O34*AI$6)&gt;=100,1,Scenarios!$F$11+(1-Scenarios!$F$11-Scenarios!$F$12)*MIN(100,$H34+$O34*AI$6)/100)*MIN(1,MIN(100,$H34+$O34*AI$6)/100))*(1-Scenarios!$F$13)-$Q34)</f>
        <v>1024.6610221199999</v>
      </c>
      <c r="AJ34" s="146">
        <f>MAX(0,$P34*(IF(MIN(100,$H34+$O34*AJ$6)&gt;=100,1,Scenarios!$F$11+(1-Scenarios!$F$11-Scenarios!$F$12)*MIN(100,$H34+$O34*AJ$6)/100)*MIN(1,MIN(100,$H34+$O34*AJ$6)/100))*(1-Scenarios!$F$13)-$Q34)</f>
        <v>1024.6610221199999</v>
      </c>
      <c r="AK34" s="146">
        <f>MAX(0,$P34*(IF(MIN(100,$H34+$O34*AK$6)&gt;=100,1,Scenarios!$F$11+(1-Scenarios!$F$11-Scenarios!$F$12)*MIN(100,$H34+$O34*AK$6)/100)*MIN(1,MIN(100,$H34+$O34*AK$6)/100))*(1-Scenarios!$F$13)-$Q34)</f>
        <v>1024.6610221199999</v>
      </c>
      <c r="AL34" s="146">
        <f>MAX(0,$P34*(IF(MIN(100,$H34+$O34*AL$6)&gt;=100,1,Scenarios!$F$11+(1-Scenarios!$F$11-Scenarios!$F$12)*MIN(100,$H34+$O34*AL$6)/100)*MIN(1,MIN(100,$H34+$O34*AL$6)/100))*(1-Scenarios!$F$13)-$Q34)</f>
        <v>1024.6610221199999</v>
      </c>
      <c r="AM34" s="146">
        <f>MAX(0,$P34*(IF(MIN(100,$H34+$O34*AM$6)&gt;=100,1,Scenarios!$F$11+(1-Scenarios!$F$11-Scenarios!$F$12)*MIN(100,$H34+$O34*AM$6)/100)*MIN(1,MIN(100,$H34+$O34*AM$6)/100))*(1-Scenarios!$F$13)-$Q34)</f>
        <v>1024.6610221199999</v>
      </c>
      <c r="AN34" s="146">
        <f>MAX(0,$P34*(IF(MIN(100,$H34+$O34*AN$6)&gt;=100,1,Scenarios!$F$11+(1-Scenarios!$F$11-Scenarios!$F$12)*MIN(100,$H34+$O34*AN$6)/100)*MIN(1,MIN(100,$H34+$O34*AN$6)/100))*(1-Scenarios!$F$13)-$Q34)</f>
        <v>1024.6610221199999</v>
      </c>
      <c r="AO34" s="146">
        <f>MAX(0,$P34*(IF(MIN(100,$H34+$O34*AO$6)&gt;=100,1,Scenarios!$F$11+(1-Scenarios!$F$11-Scenarios!$F$12)*MIN(100,$H34+$O34*AO$6)/100)*MIN(1,MIN(100,$H34+$O34*AO$6)/100))*(1-Scenarios!$F$13)-$Q34)</f>
        <v>1024.6610221199999</v>
      </c>
      <c r="AP34" s="146">
        <f>MAX(0,$P34*(IF(MIN(100,$H34+$O34*AP$6)&gt;=100,1,Scenarios!$F$11+(1-Scenarios!$F$11-Scenarios!$F$12)*MIN(100,$H34+$O34*AP$6)/100)*MIN(1,MIN(100,$H34+$O34*AP$6)/100))*(1-Scenarios!$F$13)-$Q34)</f>
        <v>1024.6610221199999</v>
      </c>
      <c r="AQ34" s="146">
        <f>MAX(0,$P34*(IF(MIN(100,$H34+$O34*AQ$6)&gt;=100,1,Scenarios!$F$11+(1-Scenarios!$F$11-Scenarios!$F$12)*MIN(100,$H34+$O34*AQ$6)/100)*MIN(1,MIN(100,$H34+$O34*AQ$6)/100))*(1-Scenarios!$F$13)-$Q34)</f>
        <v>1024.6610221199999</v>
      </c>
      <c r="AR34" s="146">
        <f>MAX(0,$P34*(IF(MIN(100,$H34+$O34*AR$6)&gt;=100,1,Scenarios!$F$11+(1-Scenarios!$F$11-Scenarios!$F$12)*MIN(100,$H34+$O34*AR$6)/100)*MIN(1,MIN(100,$H34+$O34*AR$6)/100))*(1-Scenarios!$F$13)-$Q34)</f>
        <v>1024.6610221199999</v>
      </c>
      <c r="AS34" s="146">
        <f>MAX(0,$P34*(IF(MIN(100,$H34+$O34*AS$6)&gt;=100,1,Scenarios!$F$11+(1-Scenarios!$F$11-Scenarios!$F$12)*MIN(100,$H34+$O34*AS$6)/100)*MIN(1,MIN(100,$H34+$O34*AS$6)/100))*(1-Scenarios!$F$13)-$Q34)</f>
        <v>1024.6610221199999</v>
      </c>
      <c r="AT34" s="146">
        <f>MAX(0,$P34*(IF(MIN(100,$H34+$O34*AT$6)&gt;=100,1,Scenarios!$F$11+(1-Scenarios!$F$11-Scenarios!$F$12)*MIN(100,$H34+$O34*AT$6)/100)*MIN(1,MIN(100,$H34+$O34*AT$6)/100))*(1-Scenarios!$F$13)-$Q34)</f>
        <v>1024.6610221199999</v>
      </c>
      <c r="AU34" s="146">
        <f>MAX(0,$P34*(IF(MIN(100,$H34+$O34*AU$6)&gt;=100,1,Scenarios!$F$11+(1-Scenarios!$F$11-Scenarios!$F$12)*MIN(100,$H34+$O34*AU$6)/100)*MIN(1,MIN(100,$H34+$O34*AU$6)/100))*(1-Scenarios!$F$13)-$Q34)</f>
        <v>1024.6610221199999</v>
      </c>
      <c r="AV34" s="146">
        <f>MAX(0,$P34*(IF(MIN(100,$H34+$O34*AV$6)&gt;=100,1,Scenarios!$F$11+(1-Scenarios!$F$11-Scenarios!$F$12)*MIN(100,$H34+$O34*AV$6)/100)*MIN(1,MIN(100,$H34+$O34*AV$6)/100))*(1-Scenarios!$F$13)-$Q34)</f>
        <v>1024.6610221199999</v>
      </c>
      <c r="AW34" s="193">
        <f>MAX(0,$P34*(IF(MIN(100,$H34+$O34*AW$6)&gt;=100,1,Scenarios!$F$11+(1-Scenarios!$F$11-Scenarios!$F$12)*MIN(100,$H34+$O34*AW$6)/100)*MIN(1,MIN(100,$H34+$O34*AW$6)/100))*(1-Scenarios!$F$13)-$Q34)</f>
        <v>1024.6610221199999</v>
      </c>
      <c r="AX34" s="2"/>
      <c r="AY34" s="201">
        <f>MAX(1,(YEAR(IF(I34="",EDATE($C$3,Scenarios!$B$7),IF(I34&lt;$C$3,EDATE($C$3,Scenarios!$B$6),EDATE(I34,Scenarios!$B$5))))-YEAR($C$3))*12+MONTH(IF(I34="",EDATE($C$3,Scenarios!$B$7),IF(I34&lt;$C$3,EDATE($C$3,Scenarios!$B$6),EDATE(I34,Scenarios!$B$5))))-MONTH($C$3))</f>
        <v>10</v>
      </c>
      <c r="AZ34" s="178">
        <f>MIN(Scenarios!$B$14,(100-H34)/AY34)</f>
        <v>8</v>
      </c>
      <c r="BA34" s="146">
        <f>J34*(1-Scenarios!$B$8)+K34*G34/1000000*Scenarios!$B$9*(1+Scenarios!$B$10)</f>
        <v>1078.5905496</v>
      </c>
      <c r="BB34" s="146">
        <f>J34*(IF(H34&gt;=100,1,Scenarios!$B$11+(1-Scenarios!$B$11-Scenarios!$B$12)*H34/100)*MIN(1,H34/100))*(1-Scenarios!$B$13)</f>
        <v>0</v>
      </c>
      <c r="BC34" s="146">
        <f>MAX(0,BA34*(IF(MIN(100,$H34+AZ34*5)&gt;=100,1,Scenarios!$B$11+(1-Scenarios!$B$11-Scenarios!$B$12)*MIN(100,$H34+AZ34*5)/100)*MIN(1,MIN(100,$H34+AZ34*5)/100))*(1-Scenarios!$B$13)-BB34)</f>
        <v>139.35389900832004</v>
      </c>
      <c r="BD34" s="146">
        <f>MAX(0,BA34*(IF(MIN(100,$H34+AZ34*15)&gt;=100,1,Scenarios!$B$11+(1-Scenarios!$B$11-Scenarios!$B$12)*MIN(100,$H34+AZ34*15)/100)*MIN(1,MIN(100,$H34+AZ34*15)/100))*(1-Scenarios!$B$13)-BB34)</f>
        <v>1024.6610221199999</v>
      </c>
      <c r="BE34" s="146">
        <f>MAX(0,BA34*(IF(MIN(100,$H34+AZ34*27)&gt;=100,1,Scenarios!$B$11+(1-Scenarios!$B$11-Scenarios!$B$12)*MIN(100,$H34+AZ34*27)/100)*MIN(1,MIN(100,$H34+AZ34*27)/100))*(1-Scenarios!$B$13)-BB34)</f>
        <v>1024.6610221199999</v>
      </c>
      <c r="BF34" s="146">
        <f>MAX(1,(YEAR(IF(I34="",EDATE($C$3,Scenarios!$C$7),IF(I34&lt;$C$3,EDATE($C$3,Scenarios!$C$6),EDATE(I34,Scenarios!$C$5))))-YEAR($C$3))*12+MONTH(IF(I34="",EDATE($C$3,Scenarios!$C$7),IF(I34&lt;$C$3,EDATE($C$3,Scenarios!$C$6),EDATE(I34,Scenarios!$C$5))))-MONTH($C$3))</f>
        <v>16</v>
      </c>
      <c r="BG34" s="178">
        <f>MIN(Scenarios!$C$14,(100-H34)/BF34)</f>
        <v>6</v>
      </c>
      <c r="BH34" s="146">
        <f>J34*(1-Scenarios!$C$8)+K34*G34/1000000*Scenarios!$C$9*(1+Scenarios!$C$10)</f>
        <v>1065.7688764</v>
      </c>
      <c r="BI34" s="146">
        <f>J34*(IF(H34&gt;=100,1,Scenarios!$C$11+(1-Scenarios!$C$11-Scenarios!$C$12)*H34/100)*MIN(1,H34/100))*(1-Scenarios!$C$13)</f>
        <v>0</v>
      </c>
      <c r="BJ34" s="146">
        <f>MAX(0,BH34*(IF(MIN(100,$H34+BG34*5)&gt;=100,1,Scenarios!$C$11+(1-Scenarios!$C$11-Scenarios!$C$12)*MIN(100,$H34+BG34*5)/100)*MIN(1,MIN(100,$H34+BG34*5)/100))*(1-Scenarios!$C$13)-BI34)</f>
        <v>85.048356336719991</v>
      </c>
      <c r="BK34" s="146">
        <f>MAX(0,BH34*(IF(MIN(100,$H34+BG34*15)&gt;=100,1,Scenarios!$C$11+(1-Scenarios!$C$11-Scenarios!$C$12)*MIN(100,$H34+BG34*15)/100)*MIN(1,MIN(100,$H34+BG34*15)/100))*(1-Scenarios!$C$13)-BI34)</f>
        <v>583.18872916608007</v>
      </c>
      <c r="BL34" s="146">
        <f>MAX(0,BH34*(IF(MIN(100,$H34+BG34*27)&gt;=100,1,Scenarios!$C$11+(1-Scenarios!$C$11-Scenarios!$C$12)*MIN(100,$H34+BG34*27)/100)*MIN(1,MIN(100,$H34+BG34*27)/100))*(1-Scenarios!$C$13)-BI34)</f>
        <v>1012.48043258</v>
      </c>
      <c r="BM34" s="146">
        <f>MAX(1,(YEAR(IF(I34="",EDATE($C$3,Scenarios!$D$7),IF(I34&lt;$C$3,EDATE($C$3,Scenarios!$D$6),EDATE(I34,Scenarios!$D$5))))-YEAR($C$3))*12+MONTH(IF(I34="",EDATE($C$3,Scenarios!$D$7),IF(I34&lt;$C$3,EDATE($C$3,Scenarios!$D$6),EDATE(I34,Scenarios!$D$5))))-MONTH($C$3))</f>
        <v>10</v>
      </c>
      <c r="BN34" s="178">
        <f>MIN(Scenarios!$D$14,(100-H34)/BM34)</f>
        <v>8</v>
      </c>
      <c r="BO34" s="146">
        <f>J34*(1-Scenarios!$D$8)+K34*G34/1000000*Scenarios!$D$9*(1+Scenarios!$D$10)</f>
        <v>909.75004690000003</v>
      </c>
      <c r="BP34" s="146">
        <f>J34*(IF(H34&gt;=100,1,Scenarios!$D$11+(1-Scenarios!$D$11-Scenarios!$D$12)*H34/100)*MIN(1,H34/100))*(1-Scenarios!$D$13)</f>
        <v>0</v>
      </c>
      <c r="BQ34" s="146">
        <f>MAX(0,BO34*(IF(MIN(100,$H34+BN34*5)&gt;=100,1,Scenarios!$D$11+(1-Scenarios!$D$11-Scenarios!$D$12)*MIN(100,$H34+BN34*5)/100)*MIN(1,MIN(100,$H34+BN34*5)/100))*(1-Scenarios!$D$13)-BP34)</f>
        <v>117.53970605948004</v>
      </c>
      <c r="BR34" s="146">
        <f>MAX(0,BO34*(IF(MIN(100,$H34+BN34*15)&gt;=100,1,Scenarios!$D$11+(1-Scenarios!$D$11-Scenarios!$D$12)*MIN(100,$H34+BN34*15)/100)*MIN(1,MIN(100,$H34+BN34*15)/100))*(1-Scenarios!$D$13)-BP34)</f>
        <v>864.26254455499998</v>
      </c>
      <c r="BS34" s="146">
        <f>MAX(0,BO34*(IF(MIN(100,$H34+BN34*27)&gt;=100,1,Scenarios!$D$11+(1-Scenarios!$D$11-Scenarios!$D$12)*MIN(100,$H34+BN34*27)/100)*MIN(1,MIN(100,$H34+BN34*27)/100))*(1-Scenarios!$D$13)-BP34)</f>
        <v>864.26254455499998</v>
      </c>
      <c r="BT34" s="146">
        <f>MAX(1,(YEAR(IF(I34="",EDATE($C$3,Scenarios!$E$7),IF(I34&lt;$C$3,EDATE($C$3,Scenarios!$E$6),EDATE(I34,Scenarios!$E$5))))-YEAR($C$3))*12+MONTH(IF(I34="",EDATE($C$3,Scenarios!$E$7),IF(I34&lt;$C$3,EDATE($C$3,Scenarios!$E$6),EDATE(I34,Scenarios!$E$5))))-MONTH($C$3))</f>
        <v>10</v>
      </c>
      <c r="BU34" s="178">
        <f>MIN(Scenarios!$E$14,(100-H34)/BT34)</f>
        <v>8</v>
      </c>
      <c r="BV34" s="146">
        <f>J34*(1-Scenarios!$E$8)+K34*G34/1000000*Scenarios!$E$9*(1+Scenarios!$E$10)</f>
        <v>1020.81452016</v>
      </c>
      <c r="BW34" s="146">
        <f>J34*(IF(H34&gt;=100,1,Scenarios!$E$11+(1-Scenarios!$E$11-Scenarios!$E$12)*H34/100)*MIN(1,H34/100))*(1-Scenarios!$E$13)</f>
        <v>0</v>
      </c>
      <c r="BX34" s="146">
        <f>MAX(0,BV34*(IF(MIN(100,$H34+BU34*5)&gt;=100,1,Scenarios!$E$11+(1-Scenarios!$E$11-Scenarios!$E$12)*MIN(100,$H34+BU34*5)/100)*MIN(1,MIN(100,$H34+BU34*5)/100))*(1-Scenarios!$E$13)-BW34)</f>
        <v>131.88923600467206</v>
      </c>
      <c r="BY34" s="146">
        <f>MAX(0,BV34*(IF(MIN(100,$H34+BU34*15)&gt;=100,1,Scenarios!$E$11+(1-Scenarios!$E$11-Scenarios!$E$12)*MIN(100,$H34+BU34*15)/100)*MIN(1,MIN(100,$H34+BU34*15)/100))*(1-Scenarios!$E$13)-BW34)</f>
        <v>969.77379415199994</v>
      </c>
      <c r="BZ34" s="146">
        <f>MAX(0,BV34*(IF(MIN(100,$H34+BU34*27)&gt;=100,1,Scenarios!$E$11+(1-Scenarios!$E$11-Scenarios!$E$12)*MIN(100,$H34+BU34*27)/100)*MIN(1,MIN(100,$H34+BU34*27)/100))*(1-Scenarios!$E$13)-BW34)</f>
        <v>969.77379415199994</v>
      </c>
      <c r="CA34" s="206">
        <f t="shared" si="7"/>
        <v>139.35393300832004</v>
      </c>
    </row>
    <row r="35" spans="1:79" ht="17.25" customHeight="1" x14ac:dyDescent="0.2">
      <c r="A35" s="135" t="s">
        <v>173</v>
      </c>
      <c r="B35" s="145" t="s">
        <v>174</v>
      </c>
      <c r="C35" s="145" t="s">
        <v>62</v>
      </c>
      <c r="D35" s="147">
        <v>46188</v>
      </c>
      <c r="E35" s="136">
        <v>621</v>
      </c>
      <c r="F35" s="136">
        <v>558</v>
      </c>
      <c r="G35" s="136">
        <v>2888944</v>
      </c>
      <c r="H35" s="191">
        <v>6.02</v>
      </c>
      <c r="I35" s="150">
        <v>46721</v>
      </c>
      <c r="J35" s="146">
        <f t="shared" si="0"/>
        <v>1612.0307519999999</v>
      </c>
      <c r="K35" s="146">
        <f t="shared" si="1"/>
        <v>63</v>
      </c>
      <c r="L35" s="192">
        <f t="shared" si="2"/>
        <v>0.89855072463768115</v>
      </c>
      <c r="M35" s="147">
        <f>IF(I35="",EDATE($C$3,Scenarios!$F$7),IF(I35&lt;$C$3,EDATE($C$3,Scenarios!$F$6),EDATE(I35,Scenarios!$F$5)))</f>
        <v>46721</v>
      </c>
      <c r="N35" s="146">
        <f t="shared" si="3"/>
        <v>14</v>
      </c>
      <c r="O35" s="178">
        <f>MIN(Scenarios!$F$14,(100-H35)/N35)</f>
        <v>6.7128571428571435</v>
      </c>
      <c r="P35" s="146">
        <f>J35*(1-Scenarios!$F$8)+K35*G35/1000000*Scenarios!$F$9*(1+Scenarios!$F$10)</f>
        <v>1721.2328352</v>
      </c>
      <c r="Q35" s="146">
        <f>J35*(IF(H35&gt;=100,1,Scenarios!$F$11+(1-Scenarios!$F$11-Scenarios!$F$12)*H35/100)*MIN(1,H35/100))*(1-Scenarios!$F$13)</f>
        <v>12.549180308780505</v>
      </c>
      <c r="R35" s="146">
        <f t="shared" si="4"/>
        <v>205.90842591274983</v>
      </c>
      <c r="S35" s="146">
        <f t="shared" si="5"/>
        <v>1622.6220131312193</v>
      </c>
      <c r="T35" s="146">
        <f t="shared" si="6"/>
        <v>1622.6220131312193</v>
      </c>
      <c r="U35" s="193">
        <f>J35*IF(H35&gt;=100,1,Scenarios!$F$11+(1-Scenarios!$F$11-Scenarios!$F$12)*H35/100)</f>
        <v>219.42962596224001</v>
      </c>
      <c r="V35" s="201">
        <f>MAX(0,$P35*(IF(MIN(100,$H35+$O35*V$6)&gt;=100,1,Scenarios!$F$11+(1-Scenarios!$F$11-Scenarios!$F$12)*MIN(100,$H35+$O35*V$6)/100)*MIN(1,MIN(100,$H35+$O35*V$6)/100))*(1-Scenarios!$F$13)-$Q35)</f>
        <v>24.177412557382901</v>
      </c>
      <c r="W35" s="146">
        <f>MAX(0,$P35*(IF(MIN(100,$H35+$O35*W$6)&gt;=100,1,Scenarios!$F$11+(1-Scenarios!$F$11-Scenarios!$F$12)*MIN(100,$H35+$O35*W$6)/100)*MIN(1,MIN(100,$H35+$O35*W$6)/100))*(1-Scenarios!$F$13)-$Q35)</f>
        <v>56.346897969637638</v>
      </c>
      <c r="X35" s="146">
        <f>MAX(0,$P35*(IF(MIN(100,$H35+$O35*X$6)&gt;=100,1,Scenarios!$F$11+(1-Scenarios!$F$11-Scenarios!$F$12)*MIN(100,$H35+$O35*X$6)/100)*MIN(1,MIN(100,$H35+$O35*X$6)/100))*(1-Scenarios!$F$13)-$Q35)</f>
        <v>97.358561999617038</v>
      </c>
      <c r="Y35" s="146">
        <f>MAX(0,$P35*(IF(MIN(100,$H35+$O35*Y$6)&gt;=100,1,Scenarios!$F$11+(1-Scenarios!$F$11-Scenarios!$F$12)*MIN(100,$H35+$O35*Y$6)/100)*MIN(1,MIN(100,$H35+$O35*Y$6)/100))*(1-Scenarios!$F$13)-$Q35)</f>
        <v>147.21240464732114</v>
      </c>
      <c r="Z35" s="146">
        <f>MAX(0,$P35*(IF(MIN(100,$H35+$O35*Z$6)&gt;=100,1,Scenarios!$F$11+(1-Scenarios!$F$11-Scenarios!$F$12)*MIN(100,$H35+$O35*Z$6)/100)*MIN(1,MIN(100,$H35+$O35*Z$6)/100))*(1-Scenarios!$F$13)-$Q35)</f>
        <v>205.90842591274983</v>
      </c>
      <c r="AA35" s="146">
        <f>MAX(0,$P35*(IF(MIN(100,$H35+$O35*AA$6)&gt;=100,1,Scenarios!$F$11+(1-Scenarios!$F$11-Scenarios!$F$12)*MIN(100,$H35+$O35*AA$6)/100)*MIN(1,MIN(100,$H35+$O35*AA$6)/100))*(1-Scenarios!$F$13)-$Q35)</f>
        <v>273.44662579590334</v>
      </c>
      <c r="AB35" s="146">
        <f>MAX(0,$P35*(IF(MIN(100,$H35+$O35*AB$6)&gt;=100,1,Scenarios!$F$11+(1-Scenarios!$F$11-Scenarios!$F$12)*MIN(100,$H35+$O35*AB$6)/100)*MIN(1,MIN(100,$H35+$O35*AB$6)/100))*(1-Scenarios!$F$13)-$Q35)</f>
        <v>349.82700429678152</v>
      </c>
      <c r="AC35" s="146">
        <f>MAX(0,$P35*(IF(MIN(100,$H35+$O35*AC$6)&gt;=100,1,Scenarios!$F$11+(1-Scenarios!$F$11-Scenarios!$F$12)*MIN(100,$H35+$O35*AC$6)/100)*MIN(1,MIN(100,$H35+$O35*AC$6)/100))*(1-Scenarios!$F$13)-$Q35)</f>
        <v>435.0495614153844</v>
      </c>
      <c r="AD35" s="146">
        <f>MAX(0,$P35*(IF(MIN(100,$H35+$O35*AD$6)&gt;=100,1,Scenarios!$F$11+(1-Scenarios!$F$11-Scenarios!$F$12)*MIN(100,$H35+$O35*AD$6)/100)*MIN(1,MIN(100,$H35+$O35*AD$6)/100))*(1-Scenarios!$F$13)-$Q35)</f>
        <v>529.11429715171187</v>
      </c>
      <c r="AE35" s="146">
        <f>MAX(0,$P35*(IF(MIN(100,$H35+$O35*AE$6)&gt;=100,1,Scenarios!$F$11+(1-Scenarios!$F$11-Scenarios!$F$12)*MIN(100,$H35+$O35*AE$6)/100)*MIN(1,MIN(100,$H35+$O35*AE$6)/100))*(1-Scenarios!$F$13)-$Q35)</f>
        <v>632.02121150576409</v>
      </c>
      <c r="AF35" s="146">
        <f>MAX(0,$P35*(IF(MIN(100,$H35+$O35*AF$6)&gt;=100,1,Scenarios!$F$11+(1-Scenarios!$F$11-Scenarios!$F$12)*MIN(100,$H35+$O35*AF$6)/100)*MIN(1,MIN(100,$H35+$O35*AF$6)/100))*(1-Scenarios!$F$13)-$Q35)</f>
        <v>743.770304477541</v>
      </c>
      <c r="AG35" s="146">
        <f>MAX(0,$P35*(IF(MIN(100,$H35+$O35*AG$6)&gt;=100,1,Scenarios!$F$11+(1-Scenarios!$F$11-Scenarios!$F$12)*MIN(100,$H35+$O35*AG$6)/100)*MIN(1,MIN(100,$H35+$O35*AG$6)/100))*(1-Scenarios!$F$13)-$Q35)</f>
        <v>864.36157606704262</v>
      </c>
      <c r="AH35" s="146">
        <f>MAX(0,$P35*(IF(MIN(100,$H35+$O35*AH$6)&gt;=100,1,Scenarios!$F$11+(1-Scenarios!$F$11-Scenarios!$F$12)*MIN(100,$H35+$O35*AH$6)/100)*MIN(1,MIN(100,$H35+$O35*AH$6)/100))*(1-Scenarios!$F$13)-$Q35)</f>
        <v>993.79502627426893</v>
      </c>
      <c r="AI35" s="146">
        <f>MAX(0,$P35*(IF(MIN(100,$H35+$O35*AI$6)&gt;=100,1,Scenarios!$F$11+(1-Scenarios!$F$11-Scenarios!$F$12)*MIN(100,$H35+$O35*AI$6)/100)*MIN(1,MIN(100,$H35+$O35*AI$6)/100))*(1-Scenarios!$F$13)-$Q35)</f>
        <v>1622.6220131312193</v>
      </c>
      <c r="AJ35" s="146">
        <f>MAX(0,$P35*(IF(MIN(100,$H35+$O35*AJ$6)&gt;=100,1,Scenarios!$F$11+(1-Scenarios!$F$11-Scenarios!$F$12)*MIN(100,$H35+$O35*AJ$6)/100)*MIN(1,MIN(100,$H35+$O35*AJ$6)/100))*(1-Scenarios!$F$13)-$Q35)</f>
        <v>1622.6220131312193</v>
      </c>
      <c r="AK35" s="146">
        <f>MAX(0,$P35*(IF(MIN(100,$H35+$O35*AK$6)&gt;=100,1,Scenarios!$F$11+(1-Scenarios!$F$11-Scenarios!$F$12)*MIN(100,$H35+$O35*AK$6)/100)*MIN(1,MIN(100,$H35+$O35*AK$6)/100))*(1-Scenarios!$F$13)-$Q35)</f>
        <v>1622.6220131312193</v>
      </c>
      <c r="AL35" s="146">
        <f>MAX(0,$P35*(IF(MIN(100,$H35+$O35*AL$6)&gt;=100,1,Scenarios!$F$11+(1-Scenarios!$F$11-Scenarios!$F$12)*MIN(100,$H35+$O35*AL$6)/100)*MIN(1,MIN(100,$H35+$O35*AL$6)/100))*(1-Scenarios!$F$13)-$Q35)</f>
        <v>1622.6220131312193</v>
      </c>
      <c r="AM35" s="146">
        <f>MAX(0,$P35*(IF(MIN(100,$H35+$O35*AM$6)&gt;=100,1,Scenarios!$F$11+(1-Scenarios!$F$11-Scenarios!$F$12)*MIN(100,$H35+$O35*AM$6)/100)*MIN(1,MIN(100,$H35+$O35*AM$6)/100))*(1-Scenarios!$F$13)-$Q35)</f>
        <v>1622.6220131312193</v>
      </c>
      <c r="AN35" s="146">
        <f>MAX(0,$P35*(IF(MIN(100,$H35+$O35*AN$6)&gt;=100,1,Scenarios!$F$11+(1-Scenarios!$F$11-Scenarios!$F$12)*MIN(100,$H35+$O35*AN$6)/100)*MIN(1,MIN(100,$H35+$O35*AN$6)/100))*(1-Scenarios!$F$13)-$Q35)</f>
        <v>1622.6220131312193</v>
      </c>
      <c r="AO35" s="146">
        <f>MAX(0,$P35*(IF(MIN(100,$H35+$O35*AO$6)&gt;=100,1,Scenarios!$F$11+(1-Scenarios!$F$11-Scenarios!$F$12)*MIN(100,$H35+$O35*AO$6)/100)*MIN(1,MIN(100,$H35+$O35*AO$6)/100))*(1-Scenarios!$F$13)-$Q35)</f>
        <v>1622.6220131312193</v>
      </c>
      <c r="AP35" s="146">
        <f>MAX(0,$P35*(IF(MIN(100,$H35+$O35*AP$6)&gt;=100,1,Scenarios!$F$11+(1-Scenarios!$F$11-Scenarios!$F$12)*MIN(100,$H35+$O35*AP$6)/100)*MIN(1,MIN(100,$H35+$O35*AP$6)/100))*(1-Scenarios!$F$13)-$Q35)</f>
        <v>1622.6220131312193</v>
      </c>
      <c r="AQ35" s="146">
        <f>MAX(0,$P35*(IF(MIN(100,$H35+$O35*AQ$6)&gt;=100,1,Scenarios!$F$11+(1-Scenarios!$F$11-Scenarios!$F$12)*MIN(100,$H35+$O35*AQ$6)/100)*MIN(1,MIN(100,$H35+$O35*AQ$6)/100))*(1-Scenarios!$F$13)-$Q35)</f>
        <v>1622.6220131312193</v>
      </c>
      <c r="AR35" s="146">
        <f>MAX(0,$P35*(IF(MIN(100,$H35+$O35*AR$6)&gt;=100,1,Scenarios!$F$11+(1-Scenarios!$F$11-Scenarios!$F$12)*MIN(100,$H35+$O35*AR$6)/100)*MIN(1,MIN(100,$H35+$O35*AR$6)/100))*(1-Scenarios!$F$13)-$Q35)</f>
        <v>1622.6220131312193</v>
      </c>
      <c r="AS35" s="146">
        <f>MAX(0,$P35*(IF(MIN(100,$H35+$O35*AS$6)&gt;=100,1,Scenarios!$F$11+(1-Scenarios!$F$11-Scenarios!$F$12)*MIN(100,$H35+$O35*AS$6)/100)*MIN(1,MIN(100,$H35+$O35*AS$6)/100))*(1-Scenarios!$F$13)-$Q35)</f>
        <v>1622.6220131312193</v>
      </c>
      <c r="AT35" s="146">
        <f>MAX(0,$P35*(IF(MIN(100,$H35+$O35*AT$6)&gt;=100,1,Scenarios!$F$11+(1-Scenarios!$F$11-Scenarios!$F$12)*MIN(100,$H35+$O35*AT$6)/100)*MIN(1,MIN(100,$H35+$O35*AT$6)/100))*(1-Scenarios!$F$13)-$Q35)</f>
        <v>1622.6220131312193</v>
      </c>
      <c r="AU35" s="146">
        <f>MAX(0,$P35*(IF(MIN(100,$H35+$O35*AU$6)&gt;=100,1,Scenarios!$F$11+(1-Scenarios!$F$11-Scenarios!$F$12)*MIN(100,$H35+$O35*AU$6)/100)*MIN(1,MIN(100,$H35+$O35*AU$6)/100))*(1-Scenarios!$F$13)-$Q35)</f>
        <v>1622.6220131312193</v>
      </c>
      <c r="AV35" s="146">
        <f>MAX(0,$P35*(IF(MIN(100,$H35+$O35*AV$6)&gt;=100,1,Scenarios!$F$11+(1-Scenarios!$F$11-Scenarios!$F$12)*MIN(100,$H35+$O35*AV$6)/100)*MIN(1,MIN(100,$H35+$O35*AV$6)/100))*(1-Scenarios!$F$13)-$Q35)</f>
        <v>1622.6220131312193</v>
      </c>
      <c r="AW35" s="193">
        <f>MAX(0,$P35*(IF(MIN(100,$H35+$O35*AW$6)&gt;=100,1,Scenarios!$F$11+(1-Scenarios!$F$11-Scenarios!$F$12)*MIN(100,$H35+$O35*AW$6)/100)*MIN(1,MIN(100,$H35+$O35*AW$6)/100))*(1-Scenarios!$F$13)-$Q35)</f>
        <v>1622.6220131312193</v>
      </c>
      <c r="AX35" s="2"/>
      <c r="AY35" s="201">
        <f>MAX(1,(YEAR(IF(I35="",EDATE($C$3,Scenarios!$B$7),IF(I35&lt;$C$3,EDATE($C$3,Scenarios!$B$6),EDATE(I35,Scenarios!$B$5))))-YEAR($C$3))*12+MONTH(IF(I35="",EDATE($C$3,Scenarios!$B$7),IF(I35&lt;$C$3,EDATE($C$3,Scenarios!$B$6),EDATE(I35,Scenarios!$B$5))))-MONTH($C$3))</f>
        <v>14</v>
      </c>
      <c r="AZ35" s="178">
        <f>MIN(Scenarios!$B$14,(100-H35)/AY35)</f>
        <v>6.7128571428571435</v>
      </c>
      <c r="BA35" s="146">
        <f>J35*(1-Scenarios!$B$8)+K35*G35/1000000*Scenarios!$B$9*(1+Scenarios!$B$10)</f>
        <v>1721.2328352</v>
      </c>
      <c r="BB35" s="146">
        <f>J35*(IF(H35&gt;=100,1,Scenarios!$B$11+(1-Scenarios!$B$11-Scenarios!$B$12)*H35/100)*MIN(1,H35/100))*(1-Scenarios!$B$13)</f>
        <v>12.549180308780505</v>
      </c>
      <c r="BC35" s="146">
        <f>MAX(0,BA35*(IF(MIN(100,$H35+AZ35*5)&gt;=100,1,Scenarios!$B$11+(1-Scenarios!$B$11-Scenarios!$B$12)*MIN(100,$H35+AZ35*5)/100)*MIN(1,MIN(100,$H35+AZ35*5)/100))*(1-Scenarios!$B$13)-BB35)</f>
        <v>205.90842591274983</v>
      </c>
      <c r="BD35" s="146">
        <f>MAX(0,BA35*(IF(MIN(100,$H35+AZ35*15)&gt;=100,1,Scenarios!$B$11+(1-Scenarios!$B$11-Scenarios!$B$12)*MIN(100,$H35+AZ35*15)/100)*MIN(1,MIN(100,$H35+AZ35*15)/100))*(1-Scenarios!$B$13)-BB35)</f>
        <v>1622.6220131312193</v>
      </c>
      <c r="BE35" s="146">
        <f>MAX(0,BA35*(IF(MIN(100,$H35+AZ35*27)&gt;=100,1,Scenarios!$B$11+(1-Scenarios!$B$11-Scenarios!$B$12)*MIN(100,$H35+AZ35*27)/100)*MIN(1,MIN(100,$H35+AZ35*27)/100))*(1-Scenarios!$B$13)-BB35)</f>
        <v>1622.6220131312193</v>
      </c>
      <c r="BF35" s="146">
        <f>MAX(1,(YEAR(IF(I35="",EDATE($C$3,Scenarios!$C$7),IF(I35&lt;$C$3,EDATE($C$3,Scenarios!$C$6),EDATE(I35,Scenarios!$C$5))))-YEAR($C$3))*12+MONTH(IF(I35="",EDATE($C$3,Scenarios!$C$7),IF(I35&lt;$C$3,EDATE($C$3,Scenarios!$C$6),EDATE(I35,Scenarios!$C$5))))-MONTH($C$3))</f>
        <v>20</v>
      </c>
      <c r="BG35" s="178">
        <f>MIN(Scenarios!$C$14,(100-H35)/BF35)</f>
        <v>4.6989999999999998</v>
      </c>
      <c r="BH35" s="146">
        <f>J35*(1-Scenarios!$C$8)+K35*G35/1000000*Scenarios!$C$9*(1+Scenarios!$C$10)</f>
        <v>1684.8321407999999</v>
      </c>
      <c r="BI35" s="146">
        <f>J35*(IF(H35&gt;=100,1,Scenarios!$C$11+(1-Scenarios!$C$11-Scenarios!$C$12)*H35/100)*MIN(1,H35/100))*(1-Scenarios!$C$13)</f>
        <v>12.549180308780505</v>
      </c>
      <c r="BJ35" s="146">
        <f>MAX(0,BH35*(IF(MIN(100,$H35+BG35*5)&gt;=100,1,Scenarios!$C$11+(1-Scenarios!$C$11-Scenarios!$C$12)*MIN(100,$H35+BG35*5)/100)*MIN(1,MIN(100,$H35+BG35*5)/100))*(1-Scenarios!$C$13)-BI35)</f>
        <v>118.35209698073913</v>
      </c>
      <c r="BK35" s="146">
        <f>MAX(0,BH35*(IF(MIN(100,$H35+BG35*15)&gt;=100,1,Scenarios!$C$11+(1-Scenarios!$C$11-Scenarios!$C$12)*MIN(100,$H35+BG35*15)/100)*MIN(1,MIN(100,$H35+BG35*15)/100))*(1-Scenarios!$C$13)-BI35)</f>
        <v>672.00082505473131</v>
      </c>
      <c r="BL35" s="146">
        <f>MAX(0,BH35*(IF(MIN(100,$H35+BG35*27)&gt;=100,1,Scenarios!$C$11+(1-Scenarios!$C$11-Scenarios!$C$12)*MIN(100,$H35+BG35*27)/100)*MIN(1,MIN(100,$H35+BG35*27)/100))*(1-Scenarios!$C$13)-BI35)</f>
        <v>1588.0413534512195</v>
      </c>
      <c r="BM35" s="146">
        <f>MAX(1,(YEAR(IF(I35="",EDATE($C$3,Scenarios!$D$7),IF(I35&lt;$C$3,EDATE($C$3,Scenarios!$D$6),EDATE(I35,Scenarios!$D$5))))-YEAR($C$3))*12+MONTH(IF(I35="",EDATE($C$3,Scenarios!$D$7),IF(I35&lt;$C$3,EDATE($C$3,Scenarios!$D$6),EDATE(I35,Scenarios!$D$5))))-MONTH($C$3))</f>
        <v>14</v>
      </c>
      <c r="BN35" s="178">
        <f>MIN(Scenarios!$D$14,(100-H35)/BM35)</f>
        <v>6.7128571428571435</v>
      </c>
      <c r="BO35" s="146">
        <f>J35*(1-Scenarios!$D$8)+K35*G35/1000000*Scenarios!$D$9*(1+Scenarios!$D$10)</f>
        <v>1443.0275279999998</v>
      </c>
      <c r="BP35" s="146">
        <f>J35*(IF(H35&gt;=100,1,Scenarios!$D$11+(1-Scenarios!$D$11-Scenarios!$D$12)*H35/100)*MIN(1,H35/100))*(1-Scenarios!$D$13)</f>
        <v>12.549180308780505</v>
      </c>
      <c r="BQ35" s="146">
        <f>MAX(0,BO35*(IF(MIN(100,$H35+BN35*5)&gt;=100,1,Scenarios!$D$11+(1-Scenarios!$D$11-Scenarios!$D$12)*MIN(100,$H35+BN35*5)/100)*MIN(1,MIN(100,$H35+BN35*5)/100))*(1-Scenarios!$D$13)-BP35)</f>
        <v>170.59881282256288</v>
      </c>
      <c r="BR35" s="146">
        <f>MAX(0,BO35*(IF(MIN(100,$H35+BN35*15)&gt;=100,1,Scenarios!$D$11+(1-Scenarios!$D$11-Scenarios!$D$12)*MIN(100,$H35+BN35*15)/100)*MIN(1,MIN(100,$H35+BN35*15)/100))*(1-Scenarios!$D$13)-BP35)</f>
        <v>1358.3269712912193</v>
      </c>
      <c r="BS35" s="146">
        <f>MAX(0,BO35*(IF(MIN(100,$H35+BN35*27)&gt;=100,1,Scenarios!$D$11+(1-Scenarios!$D$11-Scenarios!$D$12)*MIN(100,$H35+BN35*27)/100)*MIN(1,MIN(100,$H35+BN35*27)/100))*(1-Scenarios!$D$13)-BP35)</f>
        <v>1358.3269712912193</v>
      </c>
      <c r="BT35" s="146">
        <f>MAX(1,(YEAR(IF(I35="",EDATE($C$3,Scenarios!$E$7),IF(I35&lt;$C$3,EDATE($C$3,Scenarios!$E$6),EDATE(I35,Scenarios!$E$5))))-YEAR($C$3))*12+MONTH(IF(I35="",EDATE($C$3,Scenarios!$E$7),IF(I35&lt;$C$3,EDATE($C$3,Scenarios!$E$6),EDATE(I35,Scenarios!$E$5))))-MONTH($C$3))</f>
        <v>14</v>
      </c>
      <c r="BU35" s="178">
        <f>MIN(Scenarios!$E$14,(100-H35)/BT35)</f>
        <v>6.7128571428571435</v>
      </c>
      <c r="BV35" s="146">
        <f>J35*(1-Scenarios!$E$8)+K35*G35/1000000*Scenarios!$E$9*(1+Scenarios!$E$10)</f>
        <v>1624.2509851199998</v>
      </c>
      <c r="BW35" s="146">
        <f>J35*(IF(H35&gt;=100,1,Scenarios!$E$11+(1-Scenarios!$E$11-Scenarios!$E$12)*H35/100)*MIN(1,H35/100))*(1-Scenarios!$E$13)</f>
        <v>12.549180308780505</v>
      </c>
      <c r="BX35" s="146">
        <f>MAX(0,BV35*(IF(MIN(100,$H35+BU35*5)&gt;=100,1,Scenarios!$E$11+(1-Scenarios!$E$11-Scenarios!$E$12)*MIN(100,$H35+BU35*5)/100)*MIN(1,MIN(100,$H35+BU35*5)/100))*(1-Scenarios!$E$13)-BW35)</f>
        <v>193.59956078878744</v>
      </c>
      <c r="BY35" s="146">
        <f>MAX(0,BV35*(IF(MIN(100,$H35+BU35*15)&gt;=100,1,Scenarios!$E$11+(1-Scenarios!$E$11-Scenarios!$E$12)*MIN(100,$H35+BU35*15)/100)*MIN(1,MIN(100,$H35+BU35*15)/100))*(1-Scenarios!$E$13)-BW35)</f>
        <v>1530.4892555552192</v>
      </c>
      <c r="BZ35" s="146">
        <f>MAX(0,BV35*(IF(MIN(100,$H35+BU35*27)&gt;=100,1,Scenarios!$E$11+(1-Scenarios!$E$11-Scenarios!$E$12)*MIN(100,$H35+BU35*27)/100)*MIN(1,MIN(100,$H35+BU35*27)/100))*(1-Scenarios!$E$13)-BW35)</f>
        <v>1530.4892555552192</v>
      </c>
      <c r="CA35" s="206">
        <f t="shared" si="7"/>
        <v>205.90846091274983</v>
      </c>
    </row>
    <row r="36" spans="1:79" ht="17.25" customHeight="1" x14ac:dyDescent="0.2">
      <c r="A36" s="135" t="s">
        <v>175</v>
      </c>
      <c r="B36" s="145" t="s">
        <v>176</v>
      </c>
      <c r="C36" s="145" t="s">
        <v>62</v>
      </c>
      <c r="D36" s="147">
        <v>46188</v>
      </c>
      <c r="E36" s="136">
        <v>1687</v>
      </c>
      <c r="F36" s="136">
        <v>1687</v>
      </c>
      <c r="G36" s="136">
        <v>1277495</v>
      </c>
      <c r="H36" s="191">
        <v>25.03</v>
      </c>
      <c r="I36" s="150"/>
      <c r="J36" s="146">
        <f t="shared" si="0"/>
        <v>2155.1340650000002</v>
      </c>
      <c r="K36" s="146">
        <f t="shared" si="1"/>
        <v>0</v>
      </c>
      <c r="L36" s="192">
        <f t="shared" si="2"/>
        <v>1</v>
      </c>
      <c r="M36" s="147">
        <f>IF(I36="",EDATE($C$3,Scenarios!$F$7),IF(I36&lt;$C$3,EDATE($C$3,Scenarios!$F$6),EDATE(I36,Scenarios!$F$5)))</f>
        <v>47006</v>
      </c>
      <c r="N36" s="146">
        <f t="shared" si="3"/>
        <v>24</v>
      </c>
      <c r="O36" s="178">
        <f>MIN(Scenarios!$F$14,(100-H36)/N36)</f>
        <v>3.1237499999999998</v>
      </c>
      <c r="P36" s="146">
        <f>J36*(1-Scenarios!$F$8)+K36*G36/1000000*Scenarios!$F$9*(1+Scenarios!$F$10)</f>
        <v>2155.1340650000002</v>
      </c>
      <c r="Q36" s="146">
        <f>J36*(IF(H36&gt;=100,1,Scenarios!$F$11+(1-Scenarios!$F$11-Scenarios!$F$12)*H36/100)*MIN(1,H36/100))*(1-Scenarios!$F$13)</f>
        <v>128.20688095116259</v>
      </c>
      <c r="R36" s="146">
        <f t="shared" si="4"/>
        <v>157.99191100353147</v>
      </c>
      <c r="S36" s="146">
        <f t="shared" si="5"/>
        <v>653.777081516149</v>
      </c>
      <c r="T36" s="146">
        <f t="shared" si="6"/>
        <v>1919.1704807988376</v>
      </c>
      <c r="U36" s="193">
        <f>J36*IF(H36&gt;=100,1,Scenarios!$F$11+(1-Scenarios!$F$11-Scenarios!$F$12)*H36/100)</f>
        <v>539.17144038170022</v>
      </c>
      <c r="V36" s="201">
        <f>MAX(0,$P36*(IF(MIN(100,$H36+$O36*V$6)&gt;=100,1,Scenarios!$F$11+(1-Scenarios!$F$11-Scenarios!$F$12)*MIN(100,$H36+$O36*V$6)/100)*MIN(1,MIN(100,$H36+$O36*V$6)/100))*(1-Scenarios!$F$13)-$Q36)</f>
        <v>26.803679573891486</v>
      </c>
      <c r="W36" s="146">
        <f>MAX(0,$P36*(IF(MIN(100,$H36+$O36*W$6)&gt;=100,1,Scenarios!$F$11+(1-Scenarios!$F$11-Scenarios!$F$12)*MIN(100,$H36+$O36*W$6)/100)*MIN(1,MIN(100,$H36+$O36*W$6)/100))*(1-Scenarios!$F$13)-$Q36)</f>
        <v>56.004710461190427</v>
      </c>
      <c r="X36" s="146">
        <f>MAX(0,$P36*(IF(MIN(100,$H36+$O36*X$6)&gt;=100,1,Scenarios!$F$11+(1-Scenarios!$F$11-Scenarios!$F$12)*MIN(100,$H36+$O36*X$6)/100)*MIN(1,MIN(100,$H36+$O36*X$6)/100))*(1-Scenarios!$F$13)-$Q36)</f>
        <v>87.603092661896738</v>
      </c>
      <c r="Y36" s="146">
        <f>MAX(0,$P36*(IF(MIN(100,$H36+$O36*Y$6)&gt;=100,1,Scenarios!$F$11+(1-Scenarios!$F$11-Scenarios!$F$12)*MIN(100,$H36+$O36*Y$6)/100)*MIN(1,MIN(100,$H36+$O36*Y$6)/100))*(1-Scenarios!$F$13)-$Q36)</f>
        <v>121.59882617601039</v>
      </c>
      <c r="Z36" s="146">
        <f>MAX(0,$P36*(IF(MIN(100,$H36+$O36*Z$6)&gt;=100,1,Scenarios!$F$11+(1-Scenarios!$F$11-Scenarios!$F$12)*MIN(100,$H36+$O36*Z$6)/100)*MIN(1,MIN(100,$H36+$O36*Z$6)/100))*(1-Scenarios!$F$13)-$Q36)</f>
        <v>157.99191100353147</v>
      </c>
      <c r="AA36" s="146">
        <f>MAX(0,$P36*(IF(MIN(100,$H36+$O36*AA$6)&gt;=100,1,Scenarios!$F$11+(1-Scenarios!$F$11-Scenarios!$F$12)*MIN(100,$H36+$O36*AA$6)/100)*MIN(1,MIN(100,$H36+$O36*AA$6)/100))*(1-Scenarios!$F$13)-$Q36)</f>
        <v>196.78234714446</v>
      </c>
      <c r="AB36" s="146">
        <f>MAX(0,$P36*(IF(MIN(100,$H36+$O36*AB$6)&gt;=100,1,Scenarios!$F$11+(1-Scenarios!$F$11-Scenarios!$F$12)*MIN(100,$H36+$O36*AB$6)/100)*MIN(1,MIN(100,$H36+$O36*AB$6)/100))*(1-Scenarios!$F$13)-$Q36)</f>
        <v>237.97013459879582</v>
      </c>
      <c r="AC36" s="146">
        <f>MAX(0,$P36*(IF(MIN(100,$H36+$O36*AC$6)&gt;=100,1,Scenarios!$F$11+(1-Scenarios!$F$11-Scenarios!$F$12)*MIN(100,$H36+$O36*AC$6)/100)*MIN(1,MIN(100,$H36+$O36*AC$6)/100))*(1-Scenarios!$F$13)-$Q36)</f>
        <v>281.5552733665391</v>
      </c>
      <c r="AD36" s="146">
        <f>MAX(0,$P36*(IF(MIN(100,$H36+$O36*AD$6)&gt;=100,1,Scenarios!$F$11+(1-Scenarios!$F$11-Scenarios!$F$12)*MIN(100,$H36+$O36*AD$6)/100)*MIN(1,MIN(100,$H36+$O36*AD$6)/100))*(1-Scenarios!$F$13)-$Q36)</f>
        <v>327.53776344768983</v>
      </c>
      <c r="AE36" s="146">
        <f>MAX(0,$P36*(IF(MIN(100,$H36+$O36*AE$6)&gt;=100,1,Scenarios!$F$11+(1-Scenarios!$F$11-Scenarios!$F$12)*MIN(100,$H36+$O36*AE$6)/100)*MIN(1,MIN(100,$H36+$O36*AE$6)/100))*(1-Scenarios!$F$13)-$Q36)</f>
        <v>375.91760484224807</v>
      </c>
      <c r="AF36" s="146">
        <f>MAX(0,$P36*(IF(MIN(100,$H36+$O36*AF$6)&gt;=100,1,Scenarios!$F$11+(1-Scenarios!$F$11-Scenarios!$F$12)*MIN(100,$H36+$O36*AF$6)/100)*MIN(1,MIN(100,$H36+$O36*AF$6)/100))*(1-Scenarios!$F$13)-$Q36)</f>
        <v>426.69479755021337</v>
      </c>
      <c r="AG36" s="146">
        <f>MAX(0,$P36*(IF(MIN(100,$H36+$O36*AG$6)&gt;=100,1,Scenarios!$F$11+(1-Scenarios!$F$11-Scenarios!$F$12)*MIN(100,$H36+$O36*AG$6)/100)*MIN(1,MIN(100,$H36+$O36*AG$6)/100))*(1-Scenarios!$F$13)-$Q36)</f>
        <v>479.86934157158623</v>
      </c>
      <c r="AH36" s="146">
        <f>MAX(0,$P36*(IF(MIN(100,$H36+$O36*AH$6)&gt;=100,1,Scenarios!$F$11+(1-Scenarios!$F$11-Scenarios!$F$12)*MIN(100,$H36+$O36*AH$6)/100)*MIN(1,MIN(100,$H36+$O36*AH$6)/100))*(1-Scenarios!$F$13)-$Q36)</f>
        <v>535.4412369063665</v>
      </c>
      <c r="AI36" s="146">
        <f>MAX(0,$P36*(IF(MIN(100,$H36+$O36*AI$6)&gt;=100,1,Scenarios!$F$11+(1-Scenarios!$F$11-Scenarios!$F$12)*MIN(100,$H36+$O36*AI$6)/100)*MIN(1,MIN(100,$H36+$O36*AI$6)/100))*(1-Scenarios!$F$13)-$Q36)</f>
        <v>593.41048355455405</v>
      </c>
      <c r="AJ36" s="146">
        <f>MAX(0,$P36*(IF(MIN(100,$H36+$O36*AJ$6)&gt;=100,1,Scenarios!$F$11+(1-Scenarios!$F$11-Scenarios!$F$12)*MIN(100,$H36+$O36*AJ$6)/100)*MIN(1,MIN(100,$H36+$O36*AJ$6)/100))*(1-Scenarios!$F$13)-$Q36)</f>
        <v>653.777081516149</v>
      </c>
      <c r="AK36" s="146">
        <f>MAX(0,$P36*(IF(MIN(100,$H36+$O36*AK$6)&gt;=100,1,Scenarios!$F$11+(1-Scenarios!$F$11-Scenarios!$F$12)*MIN(100,$H36+$O36*AK$6)/100)*MIN(1,MIN(100,$H36+$O36*AK$6)/100))*(1-Scenarios!$F$13)-$Q36)</f>
        <v>716.54103079115146</v>
      </c>
      <c r="AL36" s="146">
        <f>MAX(0,$P36*(IF(MIN(100,$H36+$O36*AL$6)&gt;=100,1,Scenarios!$F$11+(1-Scenarios!$F$11-Scenarios!$F$12)*MIN(100,$H36+$O36*AL$6)/100)*MIN(1,MIN(100,$H36+$O36*AL$6)/100))*(1-Scenarios!$F$13)-$Q36)</f>
        <v>781.70233137956131</v>
      </c>
      <c r="AM36" s="146">
        <f>MAX(0,$P36*(IF(MIN(100,$H36+$O36*AM$6)&gt;=100,1,Scenarios!$F$11+(1-Scenarios!$F$11-Scenarios!$F$12)*MIN(100,$H36+$O36*AM$6)/100)*MIN(1,MIN(100,$H36+$O36*AM$6)/100))*(1-Scenarios!$F$13)-$Q36)</f>
        <v>849.26098328137869</v>
      </c>
      <c r="AN36" s="146">
        <f>MAX(0,$P36*(IF(MIN(100,$H36+$O36*AN$6)&gt;=100,1,Scenarios!$F$11+(1-Scenarios!$F$11-Scenarios!$F$12)*MIN(100,$H36+$O36*AN$6)/100)*MIN(1,MIN(100,$H36+$O36*AN$6)/100))*(1-Scenarios!$F$13)-$Q36)</f>
        <v>919.21698649660323</v>
      </c>
      <c r="AO36" s="146">
        <f>MAX(0,$P36*(IF(MIN(100,$H36+$O36*AO$6)&gt;=100,1,Scenarios!$F$11+(1-Scenarios!$F$11-Scenarios!$F$12)*MIN(100,$H36+$O36*AO$6)/100)*MIN(1,MIN(100,$H36+$O36*AO$6)/100))*(1-Scenarios!$F$13)-$Q36)</f>
        <v>991.57034102523551</v>
      </c>
      <c r="AP36" s="146">
        <f>MAX(0,$P36*(IF(MIN(100,$H36+$O36*AP$6)&gt;=100,1,Scenarios!$F$11+(1-Scenarios!$F$11-Scenarios!$F$12)*MIN(100,$H36+$O36*AP$6)/100)*MIN(1,MIN(100,$H36+$O36*AP$6)/100))*(1-Scenarios!$F$13)-$Q36)</f>
        <v>1066.3210468672751</v>
      </c>
      <c r="AQ36" s="146">
        <f>MAX(0,$P36*(IF(MIN(100,$H36+$O36*AQ$6)&gt;=100,1,Scenarios!$F$11+(1-Scenarios!$F$11-Scenarios!$F$12)*MIN(100,$H36+$O36*AQ$6)/100)*MIN(1,MIN(100,$H36+$O36*AQ$6)/100))*(1-Scenarios!$F$13)-$Q36)</f>
        <v>1143.4691040227217</v>
      </c>
      <c r="AR36" s="146">
        <f>MAX(0,$P36*(IF(MIN(100,$H36+$O36*AR$6)&gt;=100,1,Scenarios!$F$11+(1-Scenarios!$F$11-Scenarios!$F$12)*MIN(100,$H36+$O36*AR$6)/100)*MIN(1,MIN(100,$H36+$O36*AR$6)/100))*(1-Scenarios!$F$13)-$Q36)</f>
        <v>1223.0145124915762</v>
      </c>
      <c r="AS36" s="146">
        <f>MAX(0,$P36*(IF(MIN(100,$H36+$O36*AS$6)&gt;=100,1,Scenarios!$F$11+(1-Scenarios!$F$11-Scenarios!$F$12)*MIN(100,$H36+$O36*AS$6)/100)*MIN(1,MIN(100,$H36+$O36*AS$6)/100))*(1-Scenarios!$F$13)-$Q36)</f>
        <v>1919.1704807988376</v>
      </c>
      <c r="AT36" s="146">
        <f>MAX(0,$P36*(IF(MIN(100,$H36+$O36*AT$6)&gt;=100,1,Scenarios!$F$11+(1-Scenarios!$F$11-Scenarios!$F$12)*MIN(100,$H36+$O36*AT$6)/100)*MIN(1,MIN(100,$H36+$O36*AT$6)/100))*(1-Scenarios!$F$13)-$Q36)</f>
        <v>1919.1704807988376</v>
      </c>
      <c r="AU36" s="146">
        <f>MAX(0,$P36*(IF(MIN(100,$H36+$O36*AU$6)&gt;=100,1,Scenarios!$F$11+(1-Scenarios!$F$11-Scenarios!$F$12)*MIN(100,$H36+$O36*AU$6)/100)*MIN(1,MIN(100,$H36+$O36*AU$6)/100))*(1-Scenarios!$F$13)-$Q36)</f>
        <v>1919.1704807988376</v>
      </c>
      <c r="AV36" s="146">
        <f>MAX(0,$P36*(IF(MIN(100,$H36+$O36*AV$6)&gt;=100,1,Scenarios!$F$11+(1-Scenarios!$F$11-Scenarios!$F$12)*MIN(100,$H36+$O36*AV$6)/100)*MIN(1,MIN(100,$H36+$O36*AV$6)/100))*(1-Scenarios!$F$13)-$Q36)</f>
        <v>1919.1704807988376</v>
      </c>
      <c r="AW36" s="193">
        <f>MAX(0,$P36*(IF(MIN(100,$H36+$O36*AW$6)&gt;=100,1,Scenarios!$F$11+(1-Scenarios!$F$11-Scenarios!$F$12)*MIN(100,$H36+$O36*AW$6)/100)*MIN(1,MIN(100,$H36+$O36*AW$6)/100))*(1-Scenarios!$F$13)-$Q36)</f>
        <v>1919.1704807988376</v>
      </c>
      <c r="AX36" s="2"/>
      <c r="AY36" s="201">
        <f>MAX(1,(YEAR(IF(I36="",EDATE($C$3,Scenarios!$B$7),IF(I36&lt;$C$3,EDATE($C$3,Scenarios!$B$6),EDATE(I36,Scenarios!$B$5))))-YEAR($C$3))*12+MONTH(IF(I36="",EDATE($C$3,Scenarios!$B$7),IF(I36&lt;$C$3,EDATE($C$3,Scenarios!$B$6),EDATE(I36,Scenarios!$B$5))))-MONTH($C$3))</f>
        <v>24</v>
      </c>
      <c r="AZ36" s="178">
        <f>MIN(Scenarios!$B$14,(100-H36)/AY36)</f>
        <v>3.1237499999999998</v>
      </c>
      <c r="BA36" s="146">
        <f>J36*(1-Scenarios!$B$8)+K36*G36/1000000*Scenarios!$B$9*(1+Scenarios!$B$10)</f>
        <v>2155.1340650000002</v>
      </c>
      <c r="BB36" s="146">
        <f>J36*(IF(H36&gt;=100,1,Scenarios!$B$11+(1-Scenarios!$B$11-Scenarios!$B$12)*H36/100)*MIN(1,H36/100))*(1-Scenarios!$B$13)</f>
        <v>128.20688095116259</v>
      </c>
      <c r="BC36" s="146">
        <f>MAX(0,BA36*(IF(MIN(100,$H36+AZ36*5)&gt;=100,1,Scenarios!$B$11+(1-Scenarios!$B$11-Scenarios!$B$12)*MIN(100,$H36+AZ36*5)/100)*MIN(1,MIN(100,$H36+AZ36*5)/100))*(1-Scenarios!$B$13)-BB36)</f>
        <v>157.99191100353147</v>
      </c>
      <c r="BD36" s="146">
        <f>MAX(0,BA36*(IF(MIN(100,$H36+AZ36*15)&gt;=100,1,Scenarios!$B$11+(1-Scenarios!$B$11-Scenarios!$B$12)*MIN(100,$H36+AZ36*15)/100)*MIN(1,MIN(100,$H36+AZ36*15)/100))*(1-Scenarios!$B$13)-BB36)</f>
        <v>653.777081516149</v>
      </c>
      <c r="BE36" s="146">
        <f>MAX(0,BA36*(IF(MIN(100,$H36+AZ36*27)&gt;=100,1,Scenarios!$B$11+(1-Scenarios!$B$11-Scenarios!$B$12)*MIN(100,$H36+AZ36*27)/100)*MIN(1,MIN(100,$H36+AZ36*27)/100))*(1-Scenarios!$B$13)-BB36)</f>
        <v>1919.1704807988376</v>
      </c>
      <c r="BF36" s="146">
        <f>MAX(1,(YEAR(IF(I36="",EDATE($C$3,Scenarios!$C$7),IF(I36&lt;$C$3,EDATE($C$3,Scenarios!$C$6),EDATE(I36,Scenarios!$C$5))))-YEAR($C$3))*12+MONTH(IF(I36="",EDATE($C$3,Scenarios!$C$7),IF(I36&lt;$C$3,EDATE($C$3,Scenarios!$C$6),EDATE(I36,Scenarios!$C$5))))-MONTH($C$3))</f>
        <v>30</v>
      </c>
      <c r="BG36" s="178">
        <f>MIN(Scenarios!$C$14,(100-H36)/BF36)</f>
        <v>2.4990000000000001</v>
      </c>
      <c r="BH36" s="146">
        <f>J36*(1-Scenarios!$C$8)+K36*G36/1000000*Scenarios!$C$9*(1+Scenarios!$C$10)</f>
        <v>2155.1340650000002</v>
      </c>
      <c r="BI36" s="146">
        <f>J36*(IF(H36&gt;=100,1,Scenarios!$C$11+(1-Scenarios!$C$11-Scenarios!$C$12)*H36/100)*MIN(1,H36/100))*(1-Scenarios!$C$13)</f>
        <v>128.20688095116259</v>
      </c>
      <c r="BJ36" s="146">
        <f>MAX(0,BH36*(IF(MIN(100,$H36+BG36*5)&gt;=100,1,Scenarios!$C$11+(1-Scenarios!$C$11-Scenarios!$C$12)*MIN(100,$H36+BG36*5)/100)*MIN(1,MIN(100,$H36+BG36*5)/100))*(1-Scenarios!$C$13)-BI36)</f>
        <v>121.59882617601045</v>
      </c>
      <c r="BK36" s="146">
        <f>MAX(0,BH36*(IF(MIN(100,$H36+BG36*15)&gt;=100,1,Scenarios!$C$11+(1-Scenarios!$C$11-Scenarios!$C$12)*MIN(100,$H36+BG36*15)/100)*MIN(1,MIN(100,$H36+BG36*15)/100))*(1-Scenarios!$C$13)-BI36)</f>
        <v>479.86934157158623</v>
      </c>
      <c r="BL36" s="146">
        <f>MAX(0,BH36*(IF(MIN(100,$H36+BG36*27)&gt;=100,1,Scenarios!$C$11+(1-Scenarios!$C$11-Scenarios!$C$12)*MIN(100,$H36+BG36*27)/100)*MIN(1,MIN(100,$H36+BG36*27)/100))*(1-Scenarios!$C$13)-BI36)</f>
        <v>1112.3221990029342</v>
      </c>
      <c r="BM36" s="146">
        <f>MAX(1,(YEAR(IF(I36="",EDATE($C$3,Scenarios!$D$7),IF(I36&lt;$C$3,EDATE($C$3,Scenarios!$D$6),EDATE(I36,Scenarios!$D$5))))-YEAR($C$3))*12+MONTH(IF(I36="",EDATE($C$3,Scenarios!$D$7),IF(I36&lt;$C$3,EDATE($C$3,Scenarios!$D$6),EDATE(I36,Scenarios!$D$5))))-MONTH($C$3))</f>
        <v>24</v>
      </c>
      <c r="BN36" s="178">
        <f>MIN(Scenarios!$D$14,(100-H36)/BM36)</f>
        <v>3.1237499999999998</v>
      </c>
      <c r="BO36" s="146">
        <f>J36*(1-Scenarios!$D$8)+K36*G36/1000000*Scenarios!$D$9*(1+Scenarios!$D$10)</f>
        <v>1831.8639552500001</v>
      </c>
      <c r="BP36" s="146">
        <f>J36*(IF(H36&gt;=100,1,Scenarios!$D$11+(1-Scenarios!$D$11-Scenarios!$D$12)*H36/100)*MIN(1,H36/100))*(1-Scenarios!$D$13)</f>
        <v>128.20688095116259</v>
      </c>
      <c r="BQ36" s="146">
        <f>MAX(0,BO36*(IF(MIN(100,$H36+BN36*5)&gt;=100,1,Scenarios!$D$11+(1-Scenarios!$D$11-Scenarios!$D$12)*MIN(100,$H36+BN36*5)/100)*MIN(1,MIN(100,$H36+BN36*5)/100))*(1-Scenarios!$D$13)-BP36)</f>
        <v>115.06209221032736</v>
      </c>
      <c r="BR36" s="146">
        <f>MAX(0,BO36*(IF(MIN(100,$H36+BN36*15)&gt;=100,1,Scenarios!$D$11+(1-Scenarios!$D$11-Scenarios!$D$12)*MIN(100,$H36+BN36*15)/100)*MIN(1,MIN(100,$H36+BN36*15)/100))*(1-Scenarios!$D$13)-BP36)</f>
        <v>536.47948714605218</v>
      </c>
      <c r="BS36" s="146">
        <f>MAX(0,BO36*(IF(MIN(100,$H36+BN36*27)&gt;=100,1,Scenarios!$D$11+(1-Scenarios!$D$11-Scenarios!$D$12)*MIN(100,$H36+BN36*27)/100)*MIN(1,MIN(100,$H36+BN36*27)/100))*(1-Scenarios!$D$13)-BP36)</f>
        <v>1612.0638765363374</v>
      </c>
      <c r="BT36" s="146">
        <f>MAX(1,(YEAR(IF(I36="",EDATE($C$3,Scenarios!$E$7),IF(I36&lt;$C$3,EDATE($C$3,Scenarios!$E$6),EDATE(I36,Scenarios!$E$5))))-YEAR($C$3))*12+MONTH(IF(I36="",EDATE($C$3,Scenarios!$E$7),IF(I36&lt;$C$3,EDATE($C$3,Scenarios!$E$6),EDATE(I36,Scenarios!$E$5))))-MONTH($C$3))</f>
        <v>24</v>
      </c>
      <c r="BU36" s="178">
        <f>MIN(Scenarios!$E$14,(100-H36)/BT36)</f>
        <v>3.1237499999999998</v>
      </c>
      <c r="BV36" s="146">
        <f>J36*(1-Scenarios!$E$8)+K36*G36/1000000*Scenarios!$E$9*(1+Scenarios!$E$10)</f>
        <v>2047.3773617500001</v>
      </c>
      <c r="BW36" s="146">
        <f>J36*(IF(H36&gt;=100,1,Scenarios!$E$11+(1-Scenarios!$E$11-Scenarios!$E$12)*H36/100)*MIN(1,H36/100))*(1-Scenarios!$E$13)</f>
        <v>128.20688095116259</v>
      </c>
      <c r="BX36" s="146">
        <f>MAX(0,BV36*(IF(MIN(100,$H36+BU36*5)&gt;=100,1,Scenarios!$E$11+(1-Scenarios!$E$11-Scenarios!$E$12)*MIN(100,$H36+BU36*5)/100)*MIN(1,MIN(100,$H36+BU36*5)/100))*(1-Scenarios!$E$13)-BW36)</f>
        <v>143.68197140579673</v>
      </c>
      <c r="BY36" s="146">
        <f>MAX(0,BV36*(IF(MIN(100,$H36+BU36*15)&gt;=100,1,Scenarios!$E$11+(1-Scenarios!$E$11-Scenarios!$E$12)*MIN(100,$H36+BU36*15)/100)*MIN(1,MIN(100,$H36+BU36*15)/100))*(1-Scenarios!$E$13)-BW36)</f>
        <v>614.67788339278343</v>
      </c>
      <c r="BZ36" s="146">
        <f>MAX(0,BV36*(IF(MIN(100,$H36+BU36*27)&gt;=100,1,Scenarios!$E$11+(1-Scenarios!$E$11-Scenarios!$E$12)*MIN(100,$H36+BU36*27)/100)*MIN(1,MIN(100,$H36+BU36*27)/100))*(1-Scenarios!$E$13)-BW36)</f>
        <v>1816.8016127113374</v>
      </c>
      <c r="CA36" s="206">
        <f t="shared" si="7"/>
        <v>157.99194700353146</v>
      </c>
    </row>
    <row r="37" spans="1:79" ht="17.25" customHeight="1" x14ac:dyDescent="0.2">
      <c r="A37" s="135" t="s">
        <v>177</v>
      </c>
      <c r="B37" s="145" t="s">
        <v>178</v>
      </c>
      <c r="C37" s="145" t="s">
        <v>62</v>
      </c>
      <c r="D37" s="147">
        <v>46188</v>
      </c>
      <c r="E37" s="136">
        <v>369</v>
      </c>
      <c r="F37" s="136">
        <v>369</v>
      </c>
      <c r="G37" s="136">
        <v>1424982</v>
      </c>
      <c r="H37" s="191">
        <v>33.200000000000003</v>
      </c>
      <c r="I37" s="150"/>
      <c r="J37" s="146">
        <f t="shared" si="0"/>
        <v>525.81835799999999</v>
      </c>
      <c r="K37" s="146">
        <f t="shared" si="1"/>
        <v>0</v>
      </c>
      <c r="L37" s="192">
        <f t="shared" si="2"/>
        <v>1</v>
      </c>
      <c r="M37" s="147">
        <f>IF(I37="",EDATE($C$3,Scenarios!$F$7),IF(I37&lt;$C$3,EDATE($C$3,Scenarios!$F$6),EDATE(I37,Scenarios!$F$5)))</f>
        <v>47006</v>
      </c>
      <c r="N37" s="146">
        <f t="shared" si="3"/>
        <v>24</v>
      </c>
      <c r="O37" s="178">
        <f>MIN(Scenarios!$F$14,(100-H37)/N37)</f>
        <v>2.7833333333333332</v>
      </c>
      <c r="P37" s="146">
        <f>J37*(1-Scenarios!$F$8)+K37*G37/1000000*Scenarios!$F$9*(1+Scenarios!$F$10)</f>
        <v>525.81835799999999</v>
      </c>
      <c r="Q37" s="146">
        <f>J37*(IF(H37&gt;=100,1,Scenarios!$F$11+(1-Scenarios!$F$11-Scenarios!$F$12)*H37/100)*MIN(1,H37/100))*(1-Scenarios!$F$13)</f>
        <v>49.620258545869447</v>
      </c>
      <c r="R37" s="146">
        <f t="shared" si="4"/>
        <v>40.452273254024774</v>
      </c>
      <c r="S37" s="146">
        <f t="shared" si="5"/>
        <v>156.1851217044466</v>
      </c>
      <c r="T37" s="146">
        <f t="shared" si="6"/>
        <v>449.90718155413055</v>
      </c>
      <c r="U37" s="193">
        <f>J37*IF(H37&gt;=100,1,Scenarios!$F$11+(1-Scenarios!$F$11-Scenarios!$F$12)*H37/100)</f>
        <v>157.3248527136</v>
      </c>
      <c r="V37" s="201">
        <f>MAX(0,$P37*(IF(MIN(100,$H37+$O37*V$6)&gt;=100,1,Scenarios!$F$11+(1-Scenarios!$F$11-Scenarios!$F$12)*MIN(100,$H37+$O37*V$6)/100)*MIN(1,MIN(100,$H37+$O37*V$6)/100))*(1-Scenarios!$F$13)-$Q37)</f>
        <v>7.1616999323416977</v>
      </c>
      <c r="W37" s="146">
        <f>MAX(0,$P37*(IF(MIN(100,$H37+$O37*W$6)&gt;=100,1,Scenarios!$F$11+(1-Scenarios!$F$11-Scenarios!$F$12)*MIN(100,$H37+$O37*W$6)/100)*MIN(1,MIN(100,$H37+$O37*W$6)/100))*(1-Scenarios!$F$13)-$Q37)</f>
        <v>14.787777223915</v>
      </c>
      <c r="X37" s="146">
        <f>MAX(0,$P37*(IF(MIN(100,$H37+$O37*X$6)&gt;=100,1,Scenarios!$F$11+(1-Scenarios!$F$11-Scenarios!$F$12)*MIN(100,$H37+$O37*X$6)/100)*MIN(1,MIN(100,$H37+$O37*X$6)/100))*(1-Scenarios!$F$13)-$Q37)</f>
        <v>22.878231874719987</v>
      </c>
      <c r="Y37" s="146">
        <f>MAX(0,$P37*(IF(MIN(100,$H37+$O37*Y$6)&gt;=100,1,Scenarios!$F$11+(1-Scenarios!$F$11-Scenarios!$F$12)*MIN(100,$H37+$O37*Y$6)/100)*MIN(1,MIN(100,$H37+$O37*Y$6)/100))*(1-Scenarios!$F$13)-$Q37)</f>
        <v>31.433063884756564</v>
      </c>
      <c r="Z37" s="146">
        <f>MAX(0,$P37*(IF(MIN(100,$H37+$O37*Z$6)&gt;=100,1,Scenarios!$F$11+(1-Scenarios!$F$11-Scenarios!$F$12)*MIN(100,$H37+$O37*Z$6)/100)*MIN(1,MIN(100,$H37+$O37*Z$6)/100))*(1-Scenarios!$F$13)-$Q37)</f>
        <v>40.452273254024774</v>
      </c>
      <c r="AA37" s="146">
        <f>MAX(0,$P37*(IF(MIN(100,$H37+$O37*AA$6)&gt;=100,1,Scenarios!$F$11+(1-Scenarios!$F$11-Scenarios!$F$12)*MIN(100,$H37+$O37*AA$6)/100)*MIN(1,MIN(100,$H37+$O37*AA$6)/100))*(1-Scenarios!$F$13)-$Q37)</f>
        <v>49.935859982524647</v>
      </c>
      <c r="AB37" s="146">
        <f>MAX(0,$P37*(IF(MIN(100,$H37+$O37*AB$6)&gt;=100,1,Scenarios!$F$11+(1-Scenarios!$F$11-Scenarios!$F$12)*MIN(100,$H37+$O37*AB$6)/100)*MIN(1,MIN(100,$H37+$O37*AB$6)/100))*(1-Scenarios!$F$13)-$Q37)</f>
        <v>59.883824070256097</v>
      </c>
      <c r="AC37" s="146">
        <f>MAX(0,$P37*(IF(MIN(100,$H37+$O37*AC$6)&gt;=100,1,Scenarios!$F$11+(1-Scenarios!$F$11-Scenarios!$F$12)*MIN(100,$H37+$O37*AC$6)/100)*MIN(1,MIN(100,$H37+$O37*AC$6)/100))*(1-Scenarios!$F$13)-$Q37)</f>
        <v>70.296165517219194</v>
      </c>
      <c r="AD37" s="146">
        <f>MAX(0,$P37*(IF(MIN(100,$H37+$O37*AD$6)&gt;=100,1,Scenarios!$F$11+(1-Scenarios!$F$11-Scenarios!$F$12)*MIN(100,$H37+$O37*AD$6)/100)*MIN(1,MIN(100,$H37+$O37*AD$6)/100))*(1-Scenarios!$F$13)-$Q37)</f>
        <v>81.172884323413925</v>
      </c>
      <c r="AE37" s="146">
        <f>MAX(0,$P37*(IF(MIN(100,$H37+$O37*AE$6)&gt;=100,1,Scenarios!$F$11+(1-Scenarios!$F$11-Scenarios!$F$12)*MIN(100,$H37+$O37*AE$6)/100)*MIN(1,MIN(100,$H37+$O37*AE$6)/100))*(1-Scenarios!$F$13)-$Q37)</f>
        <v>92.513980488840289</v>
      </c>
      <c r="AF37" s="146">
        <f>MAX(0,$P37*(IF(MIN(100,$H37+$O37*AF$6)&gt;=100,1,Scenarios!$F$11+(1-Scenarios!$F$11-Scenarios!$F$12)*MIN(100,$H37+$O37*AF$6)/100)*MIN(1,MIN(100,$H37+$O37*AF$6)/100))*(1-Scenarios!$F$13)-$Q37)</f>
        <v>104.31945401349832</v>
      </c>
      <c r="AG37" s="146">
        <f>MAX(0,$P37*(IF(MIN(100,$H37+$O37*AG$6)&gt;=100,1,Scenarios!$F$11+(1-Scenarios!$F$11-Scenarios!$F$12)*MIN(100,$H37+$O37*AG$6)/100)*MIN(1,MIN(100,$H37+$O37*AG$6)/100))*(1-Scenarios!$F$13)-$Q37)</f>
        <v>116.58930489738792</v>
      </c>
      <c r="AH37" s="146">
        <f>MAX(0,$P37*(IF(MIN(100,$H37+$O37*AH$6)&gt;=100,1,Scenarios!$F$11+(1-Scenarios!$F$11-Scenarios!$F$12)*MIN(100,$H37+$O37*AH$6)/100)*MIN(1,MIN(100,$H37+$O37*AH$6)/100))*(1-Scenarios!$F$13)-$Q37)</f>
        <v>129.32353314050914</v>
      </c>
      <c r="AI37" s="146">
        <f>MAX(0,$P37*(IF(MIN(100,$H37+$O37*AI$6)&gt;=100,1,Scenarios!$F$11+(1-Scenarios!$F$11-Scenarios!$F$12)*MIN(100,$H37+$O37*AI$6)/100)*MIN(1,MIN(100,$H37+$O37*AI$6)/100))*(1-Scenarios!$F$13)-$Q37)</f>
        <v>142.52213874286207</v>
      </c>
      <c r="AJ37" s="146">
        <f>MAX(0,$P37*(IF(MIN(100,$H37+$O37*AJ$6)&gt;=100,1,Scenarios!$F$11+(1-Scenarios!$F$11-Scenarios!$F$12)*MIN(100,$H37+$O37*AJ$6)/100)*MIN(1,MIN(100,$H37+$O37*AJ$6)/100))*(1-Scenarios!$F$13)-$Q37)</f>
        <v>156.1851217044466</v>
      </c>
      <c r="AK37" s="146">
        <f>MAX(0,$P37*(IF(MIN(100,$H37+$O37*AK$6)&gt;=100,1,Scenarios!$F$11+(1-Scenarios!$F$11-Scenarios!$F$12)*MIN(100,$H37+$O37*AK$6)/100)*MIN(1,MIN(100,$H37+$O37*AK$6)/100))*(1-Scenarios!$F$13)-$Q37)</f>
        <v>170.31248202526274</v>
      </c>
      <c r="AL37" s="146">
        <f>MAX(0,$P37*(IF(MIN(100,$H37+$O37*AL$6)&gt;=100,1,Scenarios!$F$11+(1-Scenarios!$F$11-Scenarios!$F$12)*MIN(100,$H37+$O37*AL$6)/100)*MIN(1,MIN(100,$H37+$O37*AL$6)/100))*(1-Scenarios!$F$13)-$Q37)</f>
        <v>184.90421970531048</v>
      </c>
      <c r="AM37" s="146">
        <f>MAX(0,$P37*(IF(MIN(100,$H37+$O37*AM$6)&gt;=100,1,Scenarios!$F$11+(1-Scenarios!$F$11-Scenarios!$F$12)*MIN(100,$H37+$O37*AM$6)/100)*MIN(1,MIN(100,$H37+$O37*AM$6)/100))*(1-Scenarios!$F$13)-$Q37)</f>
        <v>199.96033474458983</v>
      </c>
      <c r="AN37" s="146">
        <f>MAX(0,$P37*(IF(MIN(100,$H37+$O37*AN$6)&gt;=100,1,Scenarios!$F$11+(1-Scenarios!$F$11-Scenarios!$F$12)*MIN(100,$H37+$O37*AN$6)/100)*MIN(1,MIN(100,$H37+$O37*AN$6)/100))*(1-Scenarios!$F$13)-$Q37)</f>
        <v>215.48082714310101</v>
      </c>
      <c r="AO37" s="146">
        <f>MAX(0,$P37*(IF(MIN(100,$H37+$O37*AO$6)&gt;=100,1,Scenarios!$F$11+(1-Scenarios!$F$11-Scenarios!$F$12)*MIN(100,$H37+$O37*AO$6)/100)*MIN(1,MIN(100,$H37+$O37*AO$6)/100))*(1-Scenarios!$F$13)-$Q37)</f>
        <v>231.46569690084368</v>
      </c>
      <c r="AP37" s="146">
        <f>MAX(0,$P37*(IF(MIN(100,$H37+$O37*AP$6)&gt;=100,1,Scenarios!$F$11+(1-Scenarios!$F$11-Scenarios!$F$12)*MIN(100,$H37+$O37*AP$6)/100)*MIN(1,MIN(100,$H37+$O37*AP$6)/100))*(1-Scenarios!$F$13)-$Q37)</f>
        <v>247.9149440178179</v>
      </c>
      <c r="AQ37" s="146">
        <f>MAX(0,$P37*(IF(MIN(100,$H37+$O37*AQ$6)&gt;=100,1,Scenarios!$F$11+(1-Scenarios!$F$11-Scenarios!$F$12)*MIN(100,$H37+$O37*AQ$6)/100)*MIN(1,MIN(100,$H37+$O37*AQ$6)/100))*(1-Scenarios!$F$13)-$Q37)</f>
        <v>264.82856849402384</v>
      </c>
      <c r="AR37" s="146">
        <f>MAX(0,$P37*(IF(MIN(100,$H37+$O37*AR$6)&gt;=100,1,Scenarios!$F$11+(1-Scenarios!$F$11-Scenarios!$F$12)*MIN(100,$H37+$O37*AR$6)/100)*MIN(1,MIN(100,$H37+$O37*AR$6)/100))*(1-Scenarios!$F$13)-$Q37)</f>
        <v>282.20657032946144</v>
      </c>
      <c r="AS37" s="146">
        <f>MAX(0,$P37*(IF(MIN(100,$H37+$O37*AS$6)&gt;=100,1,Scenarios!$F$11+(1-Scenarios!$F$11-Scenarios!$F$12)*MIN(100,$H37+$O37*AS$6)/100)*MIN(1,MIN(100,$H37+$O37*AS$6)/100))*(1-Scenarios!$F$13)-$Q37)</f>
        <v>449.90718155413055</v>
      </c>
      <c r="AT37" s="146">
        <f>MAX(0,$P37*(IF(MIN(100,$H37+$O37*AT$6)&gt;=100,1,Scenarios!$F$11+(1-Scenarios!$F$11-Scenarios!$F$12)*MIN(100,$H37+$O37*AT$6)/100)*MIN(1,MIN(100,$H37+$O37*AT$6)/100))*(1-Scenarios!$F$13)-$Q37)</f>
        <v>449.90718155413055</v>
      </c>
      <c r="AU37" s="146">
        <f>MAX(0,$P37*(IF(MIN(100,$H37+$O37*AU$6)&gt;=100,1,Scenarios!$F$11+(1-Scenarios!$F$11-Scenarios!$F$12)*MIN(100,$H37+$O37*AU$6)/100)*MIN(1,MIN(100,$H37+$O37*AU$6)/100))*(1-Scenarios!$F$13)-$Q37)</f>
        <v>449.90718155413055</v>
      </c>
      <c r="AV37" s="146">
        <f>MAX(0,$P37*(IF(MIN(100,$H37+$O37*AV$6)&gt;=100,1,Scenarios!$F$11+(1-Scenarios!$F$11-Scenarios!$F$12)*MIN(100,$H37+$O37*AV$6)/100)*MIN(1,MIN(100,$H37+$O37*AV$6)/100))*(1-Scenarios!$F$13)-$Q37)</f>
        <v>449.90718155413055</v>
      </c>
      <c r="AW37" s="193">
        <f>MAX(0,$P37*(IF(MIN(100,$H37+$O37*AW$6)&gt;=100,1,Scenarios!$F$11+(1-Scenarios!$F$11-Scenarios!$F$12)*MIN(100,$H37+$O37*AW$6)/100)*MIN(1,MIN(100,$H37+$O37*AW$6)/100))*(1-Scenarios!$F$13)-$Q37)</f>
        <v>449.90718155413055</v>
      </c>
      <c r="AX37" s="2"/>
      <c r="AY37" s="201">
        <f>MAX(1,(YEAR(IF(I37="",EDATE($C$3,Scenarios!$B$7),IF(I37&lt;$C$3,EDATE($C$3,Scenarios!$B$6),EDATE(I37,Scenarios!$B$5))))-YEAR($C$3))*12+MONTH(IF(I37="",EDATE($C$3,Scenarios!$B$7),IF(I37&lt;$C$3,EDATE($C$3,Scenarios!$B$6),EDATE(I37,Scenarios!$B$5))))-MONTH($C$3))</f>
        <v>24</v>
      </c>
      <c r="AZ37" s="178">
        <f>MIN(Scenarios!$B$14,(100-H37)/AY37)</f>
        <v>2.7833333333333332</v>
      </c>
      <c r="BA37" s="146">
        <f>J37*(1-Scenarios!$B$8)+K37*G37/1000000*Scenarios!$B$9*(1+Scenarios!$B$10)</f>
        <v>525.81835799999999</v>
      </c>
      <c r="BB37" s="146">
        <f>J37*(IF(H37&gt;=100,1,Scenarios!$B$11+(1-Scenarios!$B$11-Scenarios!$B$12)*H37/100)*MIN(1,H37/100))*(1-Scenarios!$B$13)</f>
        <v>49.620258545869447</v>
      </c>
      <c r="BC37" s="146">
        <f>MAX(0,BA37*(IF(MIN(100,$H37+AZ37*5)&gt;=100,1,Scenarios!$B$11+(1-Scenarios!$B$11-Scenarios!$B$12)*MIN(100,$H37+AZ37*5)/100)*MIN(1,MIN(100,$H37+AZ37*5)/100))*(1-Scenarios!$B$13)-BB37)</f>
        <v>40.452273254024774</v>
      </c>
      <c r="BD37" s="146">
        <f>MAX(0,BA37*(IF(MIN(100,$H37+AZ37*15)&gt;=100,1,Scenarios!$B$11+(1-Scenarios!$B$11-Scenarios!$B$12)*MIN(100,$H37+AZ37*15)/100)*MIN(1,MIN(100,$H37+AZ37*15)/100))*(1-Scenarios!$B$13)-BB37)</f>
        <v>156.1851217044466</v>
      </c>
      <c r="BE37" s="146">
        <f>MAX(0,BA37*(IF(MIN(100,$H37+AZ37*27)&gt;=100,1,Scenarios!$B$11+(1-Scenarios!$B$11-Scenarios!$B$12)*MIN(100,$H37+AZ37*27)/100)*MIN(1,MIN(100,$H37+AZ37*27)/100))*(1-Scenarios!$B$13)-BB37)</f>
        <v>449.90718155413055</v>
      </c>
      <c r="BF37" s="146">
        <f>MAX(1,(YEAR(IF(I37="",EDATE($C$3,Scenarios!$C$7),IF(I37&lt;$C$3,EDATE($C$3,Scenarios!$C$6),EDATE(I37,Scenarios!$C$5))))-YEAR($C$3))*12+MONTH(IF(I37="",EDATE($C$3,Scenarios!$C$7),IF(I37&lt;$C$3,EDATE($C$3,Scenarios!$C$6),EDATE(I37,Scenarios!$C$5))))-MONTH($C$3))</f>
        <v>30</v>
      </c>
      <c r="BG37" s="178">
        <f>MIN(Scenarios!$C$14,(100-H37)/BF37)</f>
        <v>2.2266666666666666</v>
      </c>
      <c r="BH37" s="146">
        <f>J37*(1-Scenarios!$C$8)+K37*G37/1000000*Scenarios!$C$9*(1+Scenarios!$C$10)</f>
        <v>525.81835799999999</v>
      </c>
      <c r="BI37" s="146">
        <f>J37*(IF(H37&gt;=100,1,Scenarios!$C$11+(1-Scenarios!$C$11-Scenarios!$C$12)*H37/100)*MIN(1,H37/100))*(1-Scenarios!$C$13)</f>
        <v>49.620258545869447</v>
      </c>
      <c r="BJ37" s="146">
        <f>MAX(0,BH37*(IF(MIN(100,$H37+BG37*5)&gt;=100,1,Scenarios!$C$11+(1-Scenarios!$C$11-Scenarios!$C$12)*MIN(100,$H37+BG37*5)/100)*MIN(1,MIN(100,$H37+BG37*5)/100))*(1-Scenarios!$C$13)-BI37)</f>
        <v>31.433063884756564</v>
      </c>
      <c r="BK37" s="146">
        <f>MAX(0,BH37*(IF(MIN(100,$H37+BG37*15)&gt;=100,1,Scenarios!$C$11+(1-Scenarios!$C$11-Scenarios!$C$12)*MIN(100,$H37+BG37*15)/100)*MIN(1,MIN(100,$H37+BG37*15)/100))*(1-Scenarios!$C$13)-BI37)</f>
        <v>116.58930489738792</v>
      </c>
      <c r="BL37" s="146">
        <f>MAX(0,BH37*(IF(MIN(100,$H37+BG37*27)&gt;=100,1,Scenarios!$C$11+(1-Scenarios!$C$11-Scenarios!$C$12)*MIN(100,$H37+BG37*27)/100)*MIN(1,MIN(100,$H37+BG37*27)/100))*(1-Scenarios!$C$13)-BI37)</f>
        <v>258.00739342043363</v>
      </c>
      <c r="BM37" s="146">
        <f>MAX(1,(YEAR(IF(I37="",EDATE($C$3,Scenarios!$D$7),IF(I37&lt;$C$3,EDATE($C$3,Scenarios!$D$6),EDATE(I37,Scenarios!$D$5))))-YEAR($C$3))*12+MONTH(IF(I37="",EDATE($C$3,Scenarios!$D$7),IF(I37&lt;$C$3,EDATE($C$3,Scenarios!$D$6),EDATE(I37,Scenarios!$D$5))))-MONTH($C$3))</f>
        <v>24</v>
      </c>
      <c r="BN37" s="178">
        <f>MIN(Scenarios!$D$14,(100-H37)/BM37)</f>
        <v>2.7833333333333332</v>
      </c>
      <c r="BO37" s="146">
        <f>J37*(1-Scenarios!$D$8)+K37*G37/1000000*Scenarios!$D$9*(1+Scenarios!$D$10)</f>
        <v>446.94560429999996</v>
      </c>
      <c r="BP37" s="146">
        <f>J37*(IF(H37&gt;=100,1,Scenarios!$D$11+(1-Scenarios!$D$11-Scenarios!$D$12)*H37/100)*MIN(1,H37/100))*(1-Scenarios!$D$13)</f>
        <v>49.620258545869447</v>
      </c>
      <c r="BQ37" s="146">
        <f>MAX(0,BO37*(IF(MIN(100,$H37+BN37*5)&gt;=100,1,Scenarios!$D$11+(1-Scenarios!$D$11-Scenarios!$D$12)*MIN(100,$H37+BN37*5)/100)*MIN(1,MIN(100,$H37+BN37*5)/100))*(1-Scenarios!$D$13)-BP37)</f>
        <v>26.941393484040631</v>
      </c>
      <c r="BR37" s="146">
        <f>MAX(0,BO37*(IF(MIN(100,$H37+BN37*15)&gt;=100,1,Scenarios!$D$11+(1-Scenarios!$D$11-Scenarios!$D$12)*MIN(100,$H37+BN37*15)/100)*MIN(1,MIN(100,$H37+BN37*15)/100))*(1-Scenarios!$D$13)-BP37)</f>
        <v>125.31431466689916</v>
      </c>
      <c r="BS37" s="146">
        <f>MAX(0,BO37*(IF(MIN(100,$H37+BN37*27)&gt;=100,1,Scenarios!$D$11+(1-Scenarios!$D$11-Scenarios!$D$12)*MIN(100,$H37+BN37*27)/100)*MIN(1,MIN(100,$H37+BN37*27)/100))*(1-Scenarios!$D$13)-BP37)</f>
        <v>374.97806553913051</v>
      </c>
      <c r="BT37" s="146">
        <f>MAX(1,(YEAR(IF(I37="",EDATE($C$3,Scenarios!$E$7),IF(I37&lt;$C$3,EDATE($C$3,Scenarios!$E$6),EDATE(I37,Scenarios!$E$5))))-YEAR($C$3))*12+MONTH(IF(I37="",EDATE($C$3,Scenarios!$E$7),IF(I37&lt;$C$3,EDATE($C$3,Scenarios!$E$6),EDATE(I37,Scenarios!$E$5))))-MONTH($C$3))</f>
        <v>24</v>
      </c>
      <c r="BU37" s="178">
        <f>MIN(Scenarios!$E$14,(100-H37)/BT37)</f>
        <v>2.7833333333333332</v>
      </c>
      <c r="BV37" s="146">
        <f>J37*(1-Scenarios!$E$8)+K37*G37/1000000*Scenarios!$E$9*(1+Scenarios!$E$10)</f>
        <v>499.52744009999998</v>
      </c>
      <c r="BW37" s="146">
        <f>J37*(IF(H37&gt;=100,1,Scenarios!$E$11+(1-Scenarios!$E$11-Scenarios!$E$12)*H37/100)*MIN(1,H37/100))*(1-Scenarios!$E$13)</f>
        <v>49.620258545869447</v>
      </c>
      <c r="BX37" s="146">
        <f>MAX(0,BV37*(IF(MIN(100,$H37+BU37*5)&gt;=100,1,Scenarios!$E$11+(1-Scenarios!$E$11-Scenarios!$E$12)*MIN(100,$H37+BU37*5)/100)*MIN(1,MIN(100,$H37+BU37*5)/100))*(1-Scenarios!$E$13)-BW37)</f>
        <v>35.948646664030065</v>
      </c>
      <c r="BY37" s="146">
        <f>MAX(0,BV37*(IF(MIN(100,$H37+BU37*15)&gt;=100,1,Scenarios!$E$11+(1-Scenarios!$E$11-Scenarios!$E$12)*MIN(100,$H37+BU37*15)/100)*MIN(1,MIN(100,$H37+BU37*15)/100))*(1-Scenarios!$E$13)-BW37)</f>
        <v>145.89485269193079</v>
      </c>
      <c r="BZ37" s="146">
        <f>MAX(0,BV37*(IF(MIN(100,$H37+BU37*27)&gt;=100,1,Scenarios!$E$11+(1-Scenarios!$E$11-Scenarios!$E$12)*MIN(100,$H37+BU37*27)/100)*MIN(1,MIN(100,$H37+BU37*27)/100))*(1-Scenarios!$E$13)-BW37)</f>
        <v>424.93080954913052</v>
      </c>
      <c r="CA37" s="206">
        <f t="shared" si="7"/>
        <v>40.452310254024773</v>
      </c>
    </row>
    <row r="38" spans="1:79" ht="17.25" customHeight="1" x14ac:dyDescent="0.2">
      <c r="A38" s="135" t="s">
        <v>179</v>
      </c>
      <c r="B38" s="145" t="s">
        <v>180</v>
      </c>
      <c r="C38" s="145" t="s">
        <v>62</v>
      </c>
      <c r="D38" s="147">
        <v>46188</v>
      </c>
      <c r="E38" s="136">
        <v>464</v>
      </c>
      <c r="F38" s="136">
        <v>464</v>
      </c>
      <c r="G38" s="136">
        <v>1060765</v>
      </c>
      <c r="H38" s="191">
        <v>31.22</v>
      </c>
      <c r="I38" s="150"/>
      <c r="J38" s="146">
        <f t="shared" si="0"/>
        <v>492.19495999999998</v>
      </c>
      <c r="K38" s="146">
        <f t="shared" si="1"/>
        <v>0</v>
      </c>
      <c r="L38" s="192">
        <f t="shared" si="2"/>
        <v>1</v>
      </c>
      <c r="M38" s="147">
        <f>IF(I38="",EDATE($C$3,Scenarios!$F$7),IF(I38&lt;$C$3,EDATE($C$3,Scenarios!$F$6),EDATE(I38,Scenarios!$F$5)))</f>
        <v>47006</v>
      </c>
      <c r="N38" s="146">
        <f t="shared" si="3"/>
        <v>24</v>
      </c>
      <c r="O38" s="178">
        <f>MIN(Scenarios!$F$14,(100-H38)/N38)</f>
        <v>2.8658333333333332</v>
      </c>
      <c r="P38" s="146">
        <f>J38*(1-Scenarios!$F$8)+K38*G38/1000000*Scenarios!$F$9*(1+Scenarios!$F$10)</f>
        <v>492.19495999999998</v>
      </c>
      <c r="Q38" s="146">
        <f>J38*(IF(H38&gt;=100,1,Scenarios!$F$11+(1-Scenarios!$F$11-Scenarios!$F$12)*H38/100)*MIN(1,H38/100))*(1-Scenarios!$F$13)</f>
        <v>41.943003247516444</v>
      </c>
      <c r="R38" s="146">
        <f t="shared" si="4"/>
        <v>37.561801682820075</v>
      </c>
      <c r="S38" s="146">
        <f t="shared" si="5"/>
        <v>147.24790408627177</v>
      </c>
      <c r="T38" s="146">
        <f t="shared" si="6"/>
        <v>425.6422087524835</v>
      </c>
      <c r="U38" s="193">
        <f>J38*IF(H38&gt;=100,1,Scenarios!$F$11+(1-Scenarios!$F$11-Scenarios!$F$12)*H38/100)</f>
        <v>141.41745590720001</v>
      </c>
      <c r="V38" s="201">
        <f>MAX(0,$P38*(IF(MIN(100,$H38+$O38*V$6)&gt;=100,1,Scenarios!$F$11+(1-Scenarios!$F$11-Scenarios!$F$12)*MIN(100,$H38+$O38*V$6)/100)*MIN(1,MIN(100,$H38+$O38*V$6)/100))*(1-Scenarios!$F$13)-$Q38)</f>
        <v>6.5906936955557072</v>
      </c>
      <c r="W38" s="146">
        <f>MAX(0,$P38*(IF(MIN(100,$H38+$O38*W$6)&gt;=100,1,Scenarios!$F$11+(1-Scenarios!$F$11-Scenarios!$F$12)*MIN(100,$H38+$O38*W$6)/100)*MIN(1,MIN(100,$H38+$O38*W$6)/100))*(1-Scenarios!$F$13)-$Q38)</f>
        <v>13.642220711615572</v>
      </c>
      <c r="X38" s="146">
        <f>MAX(0,$P38*(IF(MIN(100,$H38+$O38*X$6)&gt;=100,1,Scenarios!$F$11+(1-Scenarios!$F$11-Scenarios!$F$12)*MIN(100,$H38+$O38*X$6)/100)*MIN(1,MIN(100,$H38+$O38*X$6)/100))*(1-Scenarios!$F$13)-$Q38)</f>
        <v>21.15458104817958</v>
      </c>
      <c r="Y38" s="146">
        <f>MAX(0,$P38*(IF(MIN(100,$H38+$O38*Y$6)&gt;=100,1,Scenarios!$F$11+(1-Scenarios!$F$11-Scenarios!$F$12)*MIN(100,$H38+$O38*Y$6)/100)*MIN(1,MIN(100,$H38+$O38*Y$6)/100))*(1-Scenarios!$F$13)-$Q38)</f>
        <v>29.127774705247759</v>
      </c>
      <c r="Z38" s="146">
        <f>MAX(0,$P38*(IF(MIN(100,$H38+$O38*Z$6)&gt;=100,1,Scenarios!$F$11+(1-Scenarios!$F$11-Scenarios!$F$12)*MIN(100,$H38+$O38*Z$6)/100)*MIN(1,MIN(100,$H38+$O38*Z$6)/100))*(1-Scenarios!$F$13)-$Q38)</f>
        <v>37.561801682820075</v>
      </c>
      <c r="AA38" s="146">
        <f>MAX(0,$P38*(IF(MIN(100,$H38+$O38*AA$6)&gt;=100,1,Scenarios!$F$11+(1-Scenarios!$F$11-Scenarios!$F$12)*MIN(100,$H38+$O38*AA$6)/100)*MIN(1,MIN(100,$H38+$O38*AA$6)/100))*(1-Scenarios!$F$13)-$Q38)</f>
        <v>46.456661980896541</v>
      </c>
      <c r="AB38" s="146">
        <f>MAX(0,$P38*(IF(MIN(100,$H38+$O38*AB$6)&gt;=100,1,Scenarios!$F$11+(1-Scenarios!$F$11-Scenarios!$F$12)*MIN(100,$H38+$O38*AB$6)/100)*MIN(1,MIN(100,$H38+$O38*AB$6)/100))*(1-Scenarios!$F$13)-$Q38)</f>
        <v>55.812355599477186</v>
      </c>
      <c r="AC38" s="146">
        <f>MAX(0,$P38*(IF(MIN(100,$H38+$O38*AC$6)&gt;=100,1,Scenarios!$F$11+(1-Scenarios!$F$11-Scenarios!$F$12)*MIN(100,$H38+$O38*AC$6)/100)*MIN(1,MIN(100,$H38+$O38*AC$6)/100))*(1-Scenarios!$F$13)-$Q38)</f>
        <v>65.628882538561982</v>
      </c>
      <c r="AD38" s="146">
        <f>MAX(0,$P38*(IF(MIN(100,$H38+$O38*AD$6)&gt;=100,1,Scenarios!$F$11+(1-Scenarios!$F$11-Scenarios!$F$12)*MIN(100,$H38+$O38*AD$6)/100)*MIN(1,MIN(100,$H38+$O38*AD$6)/100))*(1-Scenarios!$F$13)-$Q38)</f>
        <v>75.906242798150927</v>
      </c>
      <c r="AE38" s="146">
        <f>MAX(0,$P38*(IF(MIN(100,$H38+$O38*AE$6)&gt;=100,1,Scenarios!$F$11+(1-Scenarios!$F$11-Scenarios!$F$12)*MIN(100,$H38+$O38*AE$6)/100)*MIN(1,MIN(100,$H38+$O38*AE$6)/100))*(1-Scenarios!$F$13)-$Q38)</f>
        <v>86.644436378244038</v>
      </c>
      <c r="AF38" s="146">
        <f>MAX(0,$P38*(IF(MIN(100,$H38+$O38*AF$6)&gt;=100,1,Scenarios!$F$11+(1-Scenarios!$F$11-Scenarios!$F$12)*MIN(100,$H38+$O38*AF$6)/100)*MIN(1,MIN(100,$H38+$O38*AF$6)/100))*(1-Scenarios!$F$13)-$Q38)</f>
        <v>97.84346327884127</v>
      </c>
      <c r="AG38" s="146">
        <f>MAX(0,$P38*(IF(MIN(100,$H38+$O38*AG$6)&gt;=100,1,Scenarios!$F$11+(1-Scenarios!$F$11-Scenarios!$F$12)*MIN(100,$H38+$O38*AG$6)/100)*MIN(1,MIN(100,$H38+$O38*AG$6)/100))*(1-Scenarios!$F$13)-$Q38)</f>
        <v>109.50332349994271</v>
      </c>
      <c r="AH38" s="146">
        <f>MAX(0,$P38*(IF(MIN(100,$H38+$O38*AH$6)&gt;=100,1,Scenarios!$F$11+(1-Scenarios!$F$11-Scenarios!$F$12)*MIN(100,$H38+$O38*AH$6)/100)*MIN(1,MIN(100,$H38+$O38*AH$6)/100))*(1-Scenarios!$F$13)-$Q38)</f>
        <v>121.62401704154821</v>
      </c>
      <c r="AI38" s="146">
        <f>MAX(0,$P38*(IF(MIN(100,$H38+$O38*AI$6)&gt;=100,1,Scenarios!$F$11+(1-Scenarios!$F$11-Scenarios!$F$12)*MIN(100,$H38+$O38*AI$6)/100)*MIN(1,MIN(100,$H38+$O38*AI$6)/100))*(1-Scenarios!$F$13)-$Q38)</f>
        <v>134.20554390365794</v>
      </c>
      <c r="AJ38" s="146">
        <f>MAX(0,$P38*(IF(MIN(100,$H38+$O38*AJ$6)&gt;=100,1,Scenarios!$F$11+(1-Scenarios!$F$11-Scenarios!$F$12)*MIN(100,$H38+$O38*AJ$6)/100)*MIN(1,MIN(100,$H38+$O38*AJ$6)/100))*(1-Scenarios!$F$13)-$Q38)</f>
        <v>147.24790408627177</v>
      </c>
      <c r="AK38" s="146">
        <f>MAX(0,$P38*(IF(MIN(100,$H38+$O38*AK$6)&gt;=100,1,Scenarios!$F$11+(1-Scenarios!$F$11-Scenarios!$F$12)*MIN(100,$H38+$O38*AK$6)/100)*MIN(1,MIN(100,$H38+$O38*AK$6)/100))*(1-Scenarios!$F$13)-$Q38)</f>
        <v>160.75109758938981</v>
      </c>
      <c r="AL38" s="146">
        <f>MAX(0,$P38*(IF(MIN(100,$H38+$O38*AL$6)&gt;=100,1,Scenarios!$F$11+(1-Scenarios!$F$11-Scenarios!$F$12)*MIN(100,$H38+$O38*AL$6)/100)*MIN(1,MIN(100,$H38+$O38*AL$6)/100))*(1-Scenarios!$F$13)-$Q38)</f>
        <v>174.71512441301195</v>
      </c>
      <c r="AM38" s="146">
        <f>MAX(0,$P38*(IF(MIN(100,$H38+$O38*AM$6)&gt;=100,1,Scenarios!$F$11+(1-Scenarios!$F$11-Scenarios!$F$12)*MIN(100,$H38+$O38*AM$6)/100)*MIN(1,MIN(100,$H38+$O38*AM$6)/100))*(1-Scenarios!$F$13)-$Q38)</f>
        <v>189.1399845571384</v>
      </c>
      <c r="AN38" s="146">
        <f>MAX(0,$P38*(IF(MIN(100,$H38+$O38*AN$6)&gt;=100,1,Scenarios!$F$11+(1-Scenarios!$F$11-Scenarios!$F$12)*MIN(100,$H38+$O38*AN$6)/100)*MIN(1,MIN(100,$H38+$O38*AN$6)/100))*(1-Scenarios!$F$13)-$Q38)</f>
        <v>204.02567802176873</v>
      </c>
      <c r="AO38" s="146">
        <f>MAX(0,$P38*(IF(MIN(100,$H38+$O38*AO$6)&gt;=100,1,Scenarios!$F$11+(1-Scenarios!$F$11-Scenarios!$F$12)*MIN(100,$H38+$O38*AO$6)/100)*MIN(1,MIN(100,$H38+$O38*AO$6)/100))*(1-Scenarios!$F$13)-$Q38)</f>
        <v>219.37220480690343</v>
      </c>
      <c r="AP38" s="146">
        <f>MAX(0,$P38*(IF(MIN(100,$H38+$O38*AP$6)&gt;=100,1,Scenarios!$F$11+(1-Scenarios!$F$11-Scenarios!$F$12)*MIN(100,$H38+$O38*AP$6)/100)*MIN(1,MIN(100,$H38+$O38*AP$6)/100))*(1-Scenarios!$F$13)-$Q38)</f>
        <v>235.17956491254228</v>
      </c>
      <c r="AQ38" s="146">
        <f>MAX(0,$P38*(IF(MIN(100,$H38+$O38*AQ$6)&gt;=100,1,Scenarios!$F$11+(1-Scenarios!$F$11-Scenarios!$F$12)*MIN(100,$H38+$O38*AQ$6)/100)*MIN(1,MIN(100,$H38+$O38*AQ$6)/100))*(1-Scenarios!$F$13)-$Q38)</f>
        <v>251.44775833868516</v>
      </c>
      <c r="AR38" s="146">
        <f>MAX(0,$P38*(IF(MIN(100,$H38+$O38*AR$6)&gt;=100,1,Scenarios!$F$11+(1-Scenarios!$F$11-Scenarios!$F$12)*MIN(100,$H38+$O38*AR$6)/100)*MIN(1,MIN(100,$H38+$O38*AR$6)/100))*(1-Scenarios!$F$13)-$Q38)</f>
        <v>268.1767850853322</v>
      </c>
      <c r="AS38" s="146">
        <f>MAX(0,$P38*(IF(MIN(100,$H38+$O38*AS$6)&gt;=100,1,Scenarios!$F$11+(1-Scenarios!$F$11-Scenarios!$F$12)*MIN(100,$H38+$O38*AS$6)/100)*MIN(1,MIN(100,$H38+$O38*AS$6)/100))*(1-Scenarios!$F$13)-$Q38)</f>
        <v>425.6422087524835</v>
      </c>
      <c r="AT38" s="146">
        <f>MAX(0,$P38*(IF(MIN(100,$H38+$O38*AT$6)&gt;=100,1,Scenarios!$F$11+(1-Scenarios!$F$11-Scenarios!$F$12)*MIN(100,$H38+$O38*AT$6)/100)*MIN(1,MIN(100,$H38+$O38*AT$6)/100))*(1-Scenarios!$F$13)-$Q38)</f>
        <v>425.6422087524835</v>
      </c>
      <c r="AU38" s="146">
        <f>MAX(0,$P38*(IF(MIN(100,$H38+$O38*AU$6)&gt;=100,1,Scenarios!$F$11+(1-Scenarios!$F$11-Scenarios!$F$12)*MIN(100,$H38+$O38*AU$6)/100)*MIN(1,MIN(100,$H38+$O38*AU$6)/100))*(1-Scenarios!$F$13)-$Q38)</f>
        <v>425.6422087524835</v>
      </c>
      <c r="AV38" s="146">
        <f>MAX(0,$P38*(IF(MIN(100,$H38+$O38*AV$6)&gt;=100,1,Scenarios!$F$11+(1-Scenarios!$F$11-Scenarios!$F$12)*MIN(100,$H38+$O38*AV$6)/100)*MIN(1,MIN(100,$H38+$O38*AV$6)/100))*(1-Scenarios!$F$13)-$Q38)</f>
        <v>425.6422087524835</v>
      </c>
      <c r="AW38" s="193">
        <f>MAX(0,$P38*(IF(MIN(100,$H38+$O38*AW$6)&gt;=100,1,Scenarios!$F$11+(1-Scenarios!$F$11-Scenarios!$F$12)*MIN(100,$H38+$O38*AW$6)/100)*MIN(1,MIN(100,$H38+$O38*AW$6)/100))*(1-Scenarios!$F$13)-$Q38)</f>
        <v>425.6422087524835</v>
      </c>
      <c r="AX38" s="2"/>
      <c r="AY38" s="201">
        <f>MAX(1,(YEAR(IF(I38="",EDATE($C$3,Scenarios!$B$7),IF(I38&lt;$C$3,EDATE($C$3,Scenarios!$B$6),EDATE(I38,Scenarios!$B$5))))-YEAR($C$3))*12+MONTH(IF(I38="",EDATE($C$3,Scenarios!$B$7),IF(I38&lt;$C$3,EDATE($C$3,Scenarios!$B$6),EDATE(I38,Scenarios!$B$5))))-MONTH($C$3))</f>
        <v>24</v>
      </c>
      <c r="AZ38" s="178">
        <f>MIN(Scenarios!$B$14,(100-H38)/AY38)</f>
        <v>2.8658333333333332</v>
      </c>
      <c r="BA38" s="146">
        <f>J38*(1-Scenarios!$B$8)+K38*G38/1000000*Scenarios!$B$9*(1+Scenarios!$B$10)</f>
        <v>492.19495999999998</v>
      </c>
      <c r="BB38" s="146">
        <f>J38*(IF(H38&gt;=100,1,Scenarios!$B$11+(1-Scenarios!$B$11-Scenarios!$B$12)*H38/100)*MIN(1,H38/100))*(1-Scenarios!$B$13)</f>
        <v>41.943003247516444</v>
      </c>
      <c r="BC38" s="146">
        <f>MAX(0,BA38*(IF(MIN(100,$H38+AZ38*5)&gt;=100,1,Scenarios!$B$11+(1-Scenarios!$B$11-Scenarios!$B$12)*MIN(100,$H38+AZ38*5)/100)*MIN(1,MIN(100,$H38+AZ38*5)/100))*(1-Scenarios!$B$13)-BB38)</f>
        <v>37.561801682820075</v>
      </c>
      <c r="BD38" s="146">
        <f>MAX(0,BA38*(IF(MIN(100,$H38+AZ38*15)&gt;=100,1,Scenarios!$B$11+(1-Scenarios!$B$11-Scenarios!$B$12)*MIN(100,$H38+AZ38*15)/100)*MIN(1,MIN(100,$H38+AZ38*15)/100))*(1-Scenarios!$B$13)-BB38)</f>
        <v>147.24790408627177</v>
      </c>
      <c r="BE38" s="146">
        <f>MAX(0,BA38*(IF(MIN(100,$H38+AZ38*27)&gt;=100,1,Scenarios!$B$11+(1-Scenarios!$B$11-Scenarios!$B$12)*MIN(100,$H38+AZ38*27)/100)*MIN(1,MIN(100,$H38+AZ38*27)/100))*(1-Scenarios!$B$13)-BB38)</f>
        <v>425.6422087524835</v>
      </c>
      <c r="BF38" s="146">
        <f>MAX(1,(YEAR(IF(I38="",EDATE($C$3,Scenarios!$C$7),IF(I38&lt;$C$3,EDATE($C$3,Scenarios!$C$6),EDATE(I38,Scenarios!$C$5))))-YEAR($C$3))*12+MONTH(IF(I38="",EDATE($C$3,Scenarios!$C$7),IF(I38&lt;$C$3,EDATE($C$3,Scenarios!$C$6),EDATE(I38,Scenarios!$C$5))))-MONTH($C$3))</f>
        <v>30</v>
      </c>
      <c r="BG38" s="178">
        <f>MIN(Scenarios!$C$14,(100-H38)/BF38)</f>
        <v>2.2926666666666669</v>
      </c>
      <c r="BH38" s="146">
        <f>J38*(1-Scenarios!$C$8)+K38*G38/1000000*Scenarios!$C$9*(1+Scenarios!$C$10)</f>
        <v>492.19495999999998</v>
      </c>
      <c r="BI38" s="146">
        <f>J38*(IF(H38&gt;=100,1,Scenarios!$C$11+(1-Scenarios!$C$11-Scenarios!$C$12)*H38/100)*MIN(1,H38/100))*(1-Scenarios!$C$13)</f>
        <v>41.943003247516444</v>
      </c>
      <c r="BJ38" s="146">
        <f>MAX(0,BH38*(IF(MIN(100,$H38+BG38*5)&gt;=100,1,Scenarios!$C$11+(1-Scenarios!$C$11-Scenarios!$C$12)*MIN(100,$H38+BG38*5)/100)*MIN(1,MIN(100,$H38+BG38*5)/100))*(1-Scenarios!$C$13)-BI38)</f>
        <v>29.127774705247774</v>
      </c>
      <c r="BK38" s="146">
        <f>MAX(0,BH38*(IF(MIN(100,$H38+BG38*15)&gt;=100,1,Scenarios!$C$11+(1-Scenarios!$C$11-Scenarios!$C$12)*MIN(100,$H38+BG38*15)/100)*MIN(1,MIN(100,$H38+BG38*15)/100))*(1-Scenarios!$C$13)-BI38)</f>
        <v>109.50332349994271</v>
      </c>
      <c r="BL38" s="146">
        <f>MAX(0,BH38*(IF(MIN(100,$H38+BG38*27)&gt;=100,1,Scenarios!$C$11+(1-Scenarios!$C$11-Scenarios!$C$12)*MIN(100,$H38+BG38*27)/100)*MIN(1,MIN(100,$H38+BG38*27)/100))*(1-Scenarios!$C$13)-BI38)</f>
        <v>244.88518096976765</v>
      </c>
      <c r="BM38" s="146">
        <f>MAX(1,(YEAR(IF(I38="",EDATE($C$3,Scenarios!$D$7),IF(I38&lt;$C$3,EDATE($C$3,Scenarios!$D$6),EDATE(I38,Scenarios!$D$5))))-YEAR($C$3))*12+MONTH(IF(I38="",EDATE($C$3,Scenarios!$D$7),IF(I38&lt;$C$3,EDATE($C$3,Scenarios!$D$6),EDATE(I38,Scenarios!$D$5))))-MONTH($C$3))</f>
        <v>24</v>
      </c>
      <c r="BN38" s="178">
        <f>MIN(Scenarios!$D$14,(100-H38)/BM38)</f>
        <v>2.8658333333333332</v>
      </c>
      <c r="BO38" s="146">
        <f>J38*(1-Scenarios!$D$8)+K38*G38/1000000*Scenarios!$D$9*(1+Scenarios!$D$10)</f>
        <v>418.36571599999996</v>
      </c>
      <c r="BP38" s="146">
        <f>J38*(IF(H38&gt;=100,1,Scenarios!$D$11+(1-Scenarios!$D$11-Scenarios!$D$12)*H38/100)*MIN(1,H38/100))*(1-Scenarios!$D$13)</f>
        <v>41.943003247516444</v>
      </c>
      <c r="BQ38" s="146">
        <f>MAX(0,BO38*(IF(MIN(100,$H38+BN38*5)&gt;=100,1,Scenarios!$D$11+(1-Scenarios!$D$11-Scenarios!$D$12)*MIN(100,$H38+BN38*5)/100)*MIN(1,MIN(100,$H38+BN38*5)/100))*(1-Scenarios!$D$13)-BP38)</f>
        <v>25.63608094326959</v>
      </c>
      <c r="BR38" s="146">
        <f>MAX(0,BO38*(IF(MIN(100,$H38+BN38*15)&gt;=100,1,Scenarios!$D$11+(1-Scenarios!$D$11-Scenarios!$D$12)*MIN(100,$H38+BN38*15)/100)*MIN(1,MIN(100,$H38+BN38*15)/100))*(1-Scenarios!$D$13)-BP38)</f>
        <v>118.86926798620355</v>
      </c>
      <c r="BS38" s="146">
        <f>MAX(0,BO38*(IF(MIN(100,$H38+BN38*27)&gt;=100,1,Scenarios!$D$11+(1-Scenarios!$D$11-Scenarios!$D$12)*MIN(100,$H38+BN38*27)/100)*MIN(1,MIN(100,$H38+BN38*27)/100))*(1-Scenarios!$D$13)-BP38)</f>
        <v>355.50442695248347</v>
      </c>
      <c r="BT38" s="146">
        <f>MAX(1,(YEAR(IF(I38="",EDATE($C$3,Scenarios!$E$7),IF(I38&lt;$C$3,EDATE($C$3,Scenarios!$E$6),EDATE(I38,Scenarios!$E$5))))-YEAR($C$3))*12+MONTH(IF(I38="",EDATE($C$3,Scenarios!$E$7),IF(I38&lt;$C$3,EDATE($C$3,Scenarios!$E$6),EDATE(I38,Scenarios!$E$5))))-MONTH($C$3))</f>
        <v>24</v>
      </c>
      <c r="BU38" s="178">
        <f>MIN(Scenarios!$E$14,(100-H38)/BT38)</f>
        <v>2.8658333333333332</v>
      </c>
      <c r="BV38" s="146">
        <f>J38*(1-Scenarios!$E$8)+K38*G38/1000000*Scenarios!$E$9*(1+Scenarios!$E$10)</f>
        <v>467.58521199999996</v>
      </c>
      <c r="BW38" s="146">
        <f>J38*(IF(H38&gt;=100,1,Scenarios!$E$11+(1-Scenarios!$E$11-Scenarios!$E$12)*H38/100)*MIN(1,H38/100))*(1-Scenarios!$E$13)</f>
        <v>41.943003247516444</v>
      </c>
      <c r="BX38" s="146">
        <f>MAX(0,BV38*(IF(MIN(100,$H38+BU38*5)&gt;=100,1,Scenarios!$E$11+(1-Scenarios!$E$11-Scenarios!$E$12)*MIN(100,$H38+BU38*5)/100)*MIN(1,MIN(100,$H38+BU38*5)/100))*(1-Scenarios!$E$13)-BW38)</f>
        <v>33.586561436303242</v>
      </c>
      <c r="BY38" s="146">
        <f>MAX(0,BV38*(IF(MIN(100,$H38+BU38*15)&gt;=100,1,Scenarios!$E$11+(1-Scenarios!$E$11-Scenarios!$E$12)*MIN(100,$H38+BU38*15)/100)*MIN(1,MIN(100,$H38+BU38*15)/100))*(1-Scenarios!$E$13)-BW38)</f>
        <v>137.78835871958239</v>
      </c>
      <c r="BZ38" s="146">
        <f>MAX(0,BV38*(IF(MIN(100,$H38+BU38*27)&gt;=100,1,Scenarios!$E$11+(1-Scenarios!$E$11-Scenarios!$E$12)*MIN(100,$H38+BU38*27)/100)*MIN(1,MIN(100,$H38+BU38*27)/100))*(1-Scenarios!$E$13)-BW38)</f>
        <v>402.26294815248349</v>
      </c>
      <c r="CA38" s="206">
        <f t="shared" si="7"/>
        <v>37.561839682820079</v>
      </c>
    </row>
    <row r="39" spans="1:79" ht="17.25" customHeight="1" x14ac:dyDescent="0.2">
      <c r="A39" s="135" t="s">
        <v>181</v>
      </c>
      <c r="B39" s="145" t="s">
        <v>182</v>
      </c>
      <c r="C39" s="145" t="s">
        <v>62</v>
      </c>
      <c r="D39" s="147">
        <v>46188</v>
      </c>
      <c r="E39" s="136">
        <v>370</v>
      </c>
      <c r="F39" s="136">
        <v>287</v>
      </c>
      <c r="G39" s="136">
        <v>1603865</v>
      </c>
      <c r="H39" s="191">
        <v>31.89</v>
      </c>
      <c r="I39" s="150"/>
      <c r="J39" s="146">
        <f t="shared" si="0"/>
        <v>460.30925500000001</v>
      </c>
      <c r="K39" s="146">
        <f t="shared" si="1"/>
        <v>83</v>
      </c>
      <c r="L39" s="192">
        <f t="shared" si="2"/>
        <v>0.77567567567567564</v>
      </c>
      <c r="M39" s="147">
        <f>IF(I39="",EDATE($C$3,Scenarios!$F$7),IF(I39&lt;$C$3,EDATE($C$3,Scenarios!$F$6),EDATE(I39,Scenarios!$F$5)))</f>
        <v>47006</v>
      </c>
      <c r="N39" s="146">
        <f t="shared" si="3"/>
        <v>24</v>
      </c>
      <c r="O39" s="178">
        <f>MIN(Scenarios!$F$14,(100-H39)/N39)</f>
        <v>2.8379166666666666</v>
      </c>
      <c r="P39" s="146">
        <f>J39*(1-Scenarios!$F$8)+K39*G39/1000000*Scenarios!$F$9*(1+Scenarios!$F$10)</f>
        <v>540.18173200000001</v>
      </c>
      <c r="Q39" s="146">
        <f>J39*(IF(H39&gt;=100,1,Scenarios!$F$11+(1-Scenarios!$F$11-Scenarios!$F$12)*H39/100)*MIN(1,H39/100))*(1-Scenarios!$F$13)</f>
        <v>40.628234208139283</v>
      </c>
      <c r="R39" s="146">
        <f t="shared" si="4"/>
        <v>48.396578284016151</v>
      </c>
      <c r="S39" s="146">
        <f t="shared" si="5"/>
        <v>168.28695515983139</v>
      </c>
      <c r="T39" s="146">
        <f t="shared" si="6"/>
        <v>472.54441119186066</v>
      </c>
      <c r="U39" s="193">
        <f>J39*IF(H39&gt;=100,1,Scenarios!$F$11+(1-Scenarios!$F$11-Scenarios!$F$12)*H39/100)</f>
        <v>134.10649835170003</v>
      </c>
      <c r="V39" s="201">
        <f>MAX(0,$P39*(IF(MIN(100,$H39+$O39*V$6)&gt;=100,1,Scenarios!$F$11+(1-Scenarios!$F$11-Scenarios!$F$12)*MIN(100,$H39+$O39*V$6)/100)*MIN(1,MIN(100,$H39+$O39*V$6)/100))*(1-Scenarios!$F$13)-$Q39)</f>
        <v>14.327223443237202</v>
      </c>
      <c r="W39" s="146">
        <f>MAX(0,$P39*(IF(MIN(100,$H39+$O39*W$6)&gt;=100,1,Scenarios!$F$11+(1-Scenarios!$F$11-Scenarios!$F$12)*MIN(100,$H39+$O39*W$6)/100)*MIN(1,MIN(100,$H39+$O39*W$6)/100))*(1-Scenarios!$F$13)-$Q39)</f>
        <v>22.100626658277619</v>
      </c>
      <c r="X39" s="146">
        <f>MAX(0,$P39*(IF(MIN(100,$H39+$O39*X$6)&gt;=100,1,Scenarios!$F$11+(1-Scenarios!$F$11-Scenarios!$F$12)*MIN(100,$H39+$O39*X$6)/100)*MIN(1,MIN(100,$H39+$O39*X$6)/100))*(1-Scenarios!$F$13)-$Q39)</f>
        <v>30.369986870087622</v>
      </c>
      <c r="Y39" s="146">
        <f>MAX(0,$P39*(IF(MIN(100,$H39+$O39*Y$6)&gt;=100,1,Scenarios!$F$11+(1-Scenarios!$F$11-Scenarios!$F$12)*MIN(100,$H39+$O39*Y$6)/100)*MIN(1,MIN(100,$H39+$O39*Y$6)/100))*(1-Scenarios!$F$13)-$Q39)</f>
        <v>39.135304078667126</v>
      </c>
      <c r="Z39" s="146">
        <f>MAX(0,$P39*(IF(MIN(100,$H39+$O39*Z$6)&gt;=100,1,Scenarios!$F$11+(1-Scenarios!$F$11-Scenarios!$F$12)*MIN(100,$H39+$O39*Z$6)/100)*MIN(1,MIN(100,$H39+$O39*Z$6)/100))*(1-Scenarios!$F$13)-$Q39)</f>
        <v>48.396578284016151</v>
      </c>
      <c r="AA39" s="146">
        <f>MAX(0,$P39*(IF(MIN(100,$H39+$O39*AA$6)&gt;=100,1,Scenarios!$F$11+(1-Scenarios!$F$11-Scenarios!$F$12)*MIN(100,$H39+$O39*AA$6)/100)*MIN(1,MIN(100,$H39+$O39*AA$6)/100))*(1-Scenarios!$F$13)-$Q39)</f>
        <v>58.153809486134783</v>
      </c>
      <c r="AB39" s="146">
        <f>MAX(0,$P39*(IF(MIN(100,$H39+$O39*AB$6)&gt;=100,1,Scenarios!$F$11+(1-Scenarios!$F$11-Scenarios!$F$12)*MIN(100,$H39+$O39*AB$6)/100)*MIN(1,MIN(100,$H39+$O39*AB$6)/100))*(1-Scenarios!$F$13)-$Q39)</f>
        <v>68.406997685022901</v>
      </c>
      <c r="AC39" s="146">
        <f>MAX(0,$P39*(IF(MIN(100,$H39+$O39*AC$6)&gt;=100,1,Scenarios!$F$11+(1-Scenarios!$F$11-Scenarios!$F$12)*MIN(100,$H39+$O39*AC$6)/100)*MIN(1,MIN(100,$H39+$O39*AC$6)/100))*(1-Scenarios!$F$13)-$Q39)</f>
        <v>79.156142880680562</v>
      </c>
      <c r="AD39" s="146">
        <f>MAX(0,$P39*(IF(MIN(100,$H39+$O39*AD$6)&gt;=100,1,Scenarios!$F$11+(1-Scenarios!$F$11-Scenarios!$F$12)*MIN(100,$H39+$O39*AD$6)/100)*MIN(1,MIN(100,$H39+$O39*AD$6)/100))*(1-Scenarios!$F$13)-$Q39)</f>
        <v>90.401245073107759</v>
      </c>
      <c r="AE39" s="146">
        <f>MAX(0,$P39*(IF(MIN(100,$H39+$O39*AE$6)&gt;=100,1,Scenarios!$F$11+(1-Scenarios!$F$11-Scenarios!$F$12)*MIN(100,$H39+$O39*AE$6)/100)*MIN(1,MIN(100,$H39+$O39*AE$6)/100))*(1-Scenarios!$F$13)-$Q39)</f>
        <v>102.14230426230449</v>
      </c>
      <c r="AF39" s="146">
        <f>MAX(0,$P39*(IF(MIN(100,$H39+$O39*AF$6)&gt;=100,1,Scenarios!$F$11+(1-Scenarios!$F$11-Scenarios!$F$12)*MIN(100,$H39+$O39*AF$6)/100)*MIN(1,MIN(100,$H39+$O39*AF$6)/100))*(1-Scenarios!$F$13)-$Q39)</f>
        <v>114.37932044827085</v>
      </c>
      <c r="AG39" s="146">
        <f>MAX(0,$P39*(IF(MIN(100,$H39+$O39*AG$6)&gt;=100,1,Scenarios!$F$11+(1-Scenarios!$F$11-Scenarios!$F$12)*MIN(100,$H39+$O39*AG$6)/100)*MIN(1,MIN(100,$H39+$O39*AG$6)/100))*(1-Scenarios!$F$13)-$Q39)</f>
        <v>127.11229363100662</v>
      </c>
      <c r="AH39" s="146">
        <f>MAX(0,$P39*(IF(MIN(100,$H39+$O39*AH$6)&gt;=100,1,Scenarios!$F$11+(1-Scenarios!$F$11-Scenarios!$F$12)*MIN(100,$H39+$O39*AH$6)/100)*MIN(1,MIN(100,$H39+$O39*AH$6)/100))*(1-Scenarios!$F$13)-$Q39)</f>
        <v>140.34122381051199</v>
      </c>
      <c r="AI39" s="146">
        <f>MAX(0,$P39*(IF(MIN(100,$H39+$O39*AI$6)&gt;=100,1,Scenarios!$F$11+(1-Scenarios!$F$11-Scenarios!$F$12)*MIN(100,$H39+$O39*AI$6)/100)*MIN(1,MIN(100,$H39+$O39*AI$6)/100))*(1-Scenarios!$F$13)-$Q39)</f>
        <v>154.06611098678695</v>
      </c>
      <c r="AJ39" s="146">
        <f>MAX(0,$P39*(IF(MIN(100,$H39+$O39*AJ$6)&gt;=100,1,Scenarios!$F$11+(1-Scenarios!$F$11-Scenarios!$F$12)*MIN(100,$H39+$O39*AJ$6)/100)*MIN(1,MIN(100,$H39+$O39*AJ$6)/100))*(1-Scenarios!$F$13)-$Q39)</f>
        <v>168.28695515983139</v>
      </c>
      <c r="AK39" s="146">
        <f>MAX(0,$P39*(IF(MIN(100,$H39+$O39*AK$6)&gt;=100,1,Scenarios!$F$11+(1-Scenarios!$F$11-Scenarios!$F$12)*MIN(100,$H39+$O39*AK$6)/100)*MIN(1,MIN(100,$H39+$O39*AK$6)/100))*(1-Scenarios!$F$13)-$Q39)</f>
        <v>183.00375632964537</v>
      </c>
      <c r="AL39" s="146">
        <f>MAX(0,$P39*(IF(MIN(100,$H39+$O39*AL$6)&gt;=100,1,Scenarios!$F$11+(1-Scenarios!$F$11-Scenarios!$F$12)*MIN(100,$H39+$O39*AL$6)/100)*MIN(1,MIN(100,$H39+$O39*AL$6)/100))*(1-Scenarios!$F$13)-$Q39)</f>
        <v>198.21651449622885</v>
      </c>
      <c r="AM39" s="146">
        <f>MAX(0,$P39*(IF(MIN(100,$H39+$O39*AM$6)&gt;=100,1,Scenarios!$F$11+(1-Scenarios!$F$11-Scenarios!$F$12)*MIN(100,$H39+$O39*AM$6)/100)*MIN(1,MIN(100,$H39+$O39*AM$6)/100))*(1-Scenarios!$F$13)-$Q39)</f>
        <v>213.92522965958193</v>
      </c>
      <c r="AN39" s="146">
        <f>MAX(0,$P39*(IF(MIN(100,$H39+$O39*AN$6)&gt;=100,1,Scenarios!$F$11+(1-Scenarios!$F$11-Scenarios!$F$12)*MIN(100,$H39+$O39*AN$6)/100)*MIN(1,MIN(100,$H39+$O39*AN$6)/100))*(1-Scenarios!$F$13)-$Q39)</f>
        <v>230.1299018197046</v>
      </c>
      <c r="AO39" s="146">
        <f>MAX(0,$P39*(IF(MIN(100,$H39+$O39*AO$6)&gt;=100,1,Scenarios!$F$11+(1-Scenarios!$F$11-Scenarios!$F$12)*MIN(100,$H39+$O39*AO$6)/100)*MIN(1,MIN(100,$H39+$O39*AO$6)/100))*(1-Scenarios!$F$13)-$Q39)</f>
        <v>246.8305309765968</v>
      </c>
      <c r="AP39" s="146">
        <f>MAX(0,$P39*(IF(MIN(100,$H39+$O39*AP$6)&gt;=100,1,Scenarios!$F$11+(1-Scenarios!$F$11-Scenarios!$F$12)*MIN(100,$H39+$O39*AP$6)/100)*MIN(1,MIN(100,$H39+$O39*AP$6)/100))*(1-Scenarios!$F$13)-$Q39)</f>
        <v>264.02711713025838</v>
      </c>
      <c r="AQ39" s="146">
        <f>MAX(0,$P39*(IF(MIN(100,$H39+$O39*AQ$6)&gt;=100,1,Scenarios!$F$11+(1-Scenarios!$F$11-Scenarios!$F$12)*MIN(100,$H39+$O39*AQ$6)/100)*MIN(1,MIN(100,$H39+$O39*AQ$6)/100))*(1-Scenarios!$F$13)-$Q39)</f>
        <v>281.71966028068971</v>
      </c>
      <c r="AR39" s="146">
        <f>MAX(0,$P39*(IF(MIN(100,$H39+$O39*AR$6)&gt;=100,1,Scenarios!$F$11+(1-Scenarios!$F$11-Scenarios!$F$12)*MIN(100,$H39+$O39*AR$6)/100)*MIN(1,MIN(100,$H39+$O39*AR$6)/100))*(1-Scenarios!$F$13)-$Q39)</f>
        <v>299.90816042789032</v>
      </c>
      <c r="AS39" s="146">
        <f>MAX(0,$P39*(IF(MIN(100,$H39+$O39*AS$6)&gt;=100,1,Scenarios!$F$11+(1-Scenarios!$F$11-Scenarios!$F$12)*MIN(100,$H39+$O39*AS$6)/100)*MIN(1,MIN(100,$H39+$O39*AS$6)/100))*(1-Scenarios!$F$13)-$Q39)</f>
        <v>472.54441119186066</v>
      </c>
      <c r="AT39" s="146">
        <f>MAX(0,$P39*(IF(MIN(100,$H39+$O39*AT$6)&gt;=100,1,Scenarios!$F$11+(1-Scenarios!$F$11-Scenarios!$F$12)*MIN(100,$H39+$O39*AT$6)/100)*MIN(1,MIN(100,$H39+$O39*AT$6)/100))*(1-Scenarios!$F$13)-$Q39)</f>
        <v>472.54441119186066</v>
      </c>
      <c r="AU39" s="146">
        <f>MAX(0,$P39*(IF(MIN(100,$H39+$O39*AU$6)&gt;=100,1,Scenarios!$F$11+(1-Scenarios!$F$11-Scenarios!$F$12)*MIN(100,$H39+$O39*AU$6)/100)*MIN(1,MIN(100,$H39+$O39*AU$6)/100))*(1-Scenarios!$F$13)-$Q39)</f>
        <v>472.54441119186066</v>
      </c>
      <c r="AV39" s="146">
        <f>MAX(0,$P39*(IF(MIN(100,$H39+$O39*AV$6)&gt;=100,1,Scenarios!$F$11+(1-Scenarios!$F$11-Scenarios!$F$12)*MIN(100,$H39+$O39*AV$6)/100)*MIN(1,MIN(100,$H39+$O39*AV$6)/100))*(1-Scenarios!$F$13)-$Q39)</f>
        <v>472.54441119186066</v>
      </c>
      <c r="AW39" s="193">
        <f>MAX(0,$P39*(IF(MIN(100,$H39+$O39*AW$6)&gt;=100,1,Scenarios!$F$11+(1-Scenarios!$F$11-Scenarios!$F$12)*MIN(100,$H39+$O39*AW$6)/100)*MIN(1,MIN(100,$H39+$O39*AW$6)/100))*(1-Scenarios!$F$13)-$Q39)</f>
        <v>472.54441119186066</v>
      </c>
      <c r="AX39" s="2"/>
      <c r="AY39" s="201">
        <f>MAX(1,(YEAR(IF(I39="",EDATE($C$3,Scenarios!$B$7),IF(I39&lt;$C$3,EDATE($C$3,Scenarios!$B$6),EDATE(I39,Scenarios!$B$5))))-YEAR($C$3))*12+MONTH(IF(I39="",EDATE($C$3,Scenarios!$B$7),IF(I39&lt;$C$3,EDATE($C$3,Scenarios!$B$6),EDATE(I39,Scenarios!$B$5))))-MONTH($C$3))</f>
        <v>24</v>
      </c>
      <c r="AZ39" s="178">
        <f>MIN(Scenarios!$B$14,(100-H39)/AY39)</f>
        <v>2.8379166666666666</v>
      </c>
      <c r="BA39" s="146">
        <f>J39*(1-Scenarios!$B$8)+K39*G39/1000000*Scenarios!$B$9*(1+Scenarios!$B$10)</f>
        <v>540.18173200000001</v>
      </c>
      <c r="BB39" s="146">
        <f>J39*(IF(H39&gt;=100,1,Scenarios!$B$11+(1-Scenarios!$B$11-Scenarios!$B$12)*H39/100)*MIN(1,H39/100))*(1-Scenarios!$B$13)</f>
        <v>40.628234208139283</v>
      </c>
      <c r="BC39" s="146">
        <f>MAX(0,BA39*(IF(MIN(100,$H39+AZ39*5)&gt;=100,1,Scenarios!$B$11+(1-Scenarios!$B$11-Scenarios!$B$12)*MIN(100,$H39+AZ39*5)/100)*MIN(1,MIN(100,$H39+AZ39*5)/100))*(1-Scenarios!$B$13)-BB39)</f>
        <v>48.396578284016151</v>
      </c>
      <c r="BD39" s="146">
        <f>MAX(0,BA39*(IF(MIN(100,$H39+AZ39*15)&gt;=100,1,Scenarios!$B$11+(1-Scenarios!$B$11-Scenarios!$B$12)*MIN(100,$H39+AZ39*15)/100)*MIN(1,MIN(100,$H39+AZ39*15)/100))*(1-Scenarios!$B$13)-BB39)</f>
        <v>168.28695515983139</v>
      </c>
      <c r="BE39" s="146">
        <f>MAX(0,BA39*(IF(MIN(100,$H39+AZ39*27)&gt;=100,1,Scenarios!$B$11+(1-Scenarios!$B$11-Scenarios!$B$12)*MIN(100,$H39+AZ39*27)/100)*MIN(1,MIN(100,$H39+AZ39*27)/100))*(1-Scenarios!$B$13)-BB39)</f>
        <v>472.54441119186066</v>
      </c>
      <c r="BF39" s="146">
        <f>MAX(1,(YEAR(IF(I39="",EDATE($C$3,Scenarios!$C$7),IF(I39&lt;$C$3,EDATE($C$3,Scenarios!$C$6),EDATE(I39,Scenarios!$C$5))))-YEAR($C$3))*12+MONTH(IF(I39="",EDATE($C$3,Scenarios!$C$7),IF(I39&lt;$C$3,EDATE($C$3,Scenarios!$C$6),EDATE(I39,Scenarios!$C$5))))-MONTH($C$3))</f>
        <v>30</v>
      </c>
      <c r="BG39" s="178">
        <f>MIN(Scenarios!$C$14,(100-H39)/BF39)</f>
        <v>2.2703333333333333</v>
      </c>
      <c r="BH39" s="146">
        <f>J39*(1-Scenarios!$C$8)+K39*G39/1000000*Scenarios!$C$9*(1+Scenarios!$C$10)</f>
        <v>513.55757300000005</v>
      </c>
      <c r="BI39" s="146">
        <f>J39*(IF(H39&gt;=100,1,Scenarios!$C$11+(1-Scenarios!$C$11-Scenarios!$C$12)*H39/100)*MIN(1,H39/100))*(1-Scenarios!$C$13)</f>
        <v>40.628234208139283</v>
      </c>
      <c r="BJ39" s="146">
        <f>MAX(0,BH39*(IF(MIN(100,$H39+BG39*5)&gt;=100,1,Scenarios!$C$11+(1-Scenarios!$C$11-Scenarios!$C$12)*MIN(100,$H39+BG39*5)/100)*MIN(1,MIN(100,$H39+BG39*5)/100))*(1-Scenarios!$C$13)-BI39)</f>
        <v>35.203965790184377</v>
      </c>
      <c r="BK39" s="146">
        <f>MAX(0,BH39*(IF(MIN(100,$H39+BG39*15)&gt;=100,1,Scenarios!$C$11+(1-Scenarios!$C$11-Scenarios!$C$12)*MIN(100,$H39+BG39*15)/100)*MIN(1,MIN(100,$H39+BG39*15)/100))*(1-Scenarios!$C$13)-BI39)</f>
        <v>118.84479730639313</v>
      </c>
      <c r="BL39" s="146">
        <f>MAX(0,BH39*(IF(MIN(100,$H39+BG39*27)&gt;=100,1,Scenarios!$C$11+(1-Scenarios!$C$11-Scenarios!$C$12)*MIN(100,$H39+BG39*27)/100)*MIN(1,MIN(100,$H39+BG39*27)/100))*(1-Scenarios!$C$13)-BI39)</f>
        <v>259.04717623417633</v>
      </c>
      <c r="BM39" s="146">
        <f>MAX(1,(YEAR(IF(I39="",EDATE($C$3,Scenarios!$D$7),IF(I39&lt;$C$3,EDATE($C$3,Scenarios!$D$6),EDATE(I39,Scenarios!$D$5))))-YEAR($C$3))*12+MONTH(IF(I39="",EDATE($C$3,Scenarios!$D$7),IF(I39&lt;$C$3,EDATE($C$3,Scenarios!$D$6),EDATE(I39,Scenarios!$D$5))))-MONTH($C$3))</f>
        <v>24</v>
      </c>
      <c r="BN39" s="178">
        <f>MIN(Scenarios!$D$14,(100-H39)/BM39)</f>
        <v>2.8379166666666666</v>
      </c>
      <c r="BO39" s="146">
        <f>J39*(1-Scenarios!$D$8)+K39*G39/1000000*Scenarios!$D$9*(1+Scenarios!$D$10)</f>
        <v>444.51118474999998</v>
      </c>
      <c r="BP39" s="146">
        <f>J39*(IF(H39&gt;=100,1,Scenarios!$D$11+(1-Scenarios!$D$11-Scenarios!$D$12)*H39/100)*MIN(1,H39/100))*(1-Scenarios!$D$13)</f>
        <v>40.628234208139283</v>
      </c>
      <c r="BQ39" s="146">
        <f>MAX(0,BO39*(IF(MIN(100,$H39+BN39*5)&gt;=100,1,Scenarios!$D$11+(1-Scenarios!$D$11-Scenarios!$D$12)*MIN(100,$H39+BN39*5)/100)*MIN(1,MIN(100,$H39+BN39*5)/100))*(1-Scenarios!$D$13)-BP39)</f>
        <v>32.629565026423897</v>
      </c>
      <c r="BR39" s="146">
        <f>MAX(0,BO39*(IF(MIN(100,$H39+BN39*15)&gt;=100,1,Scenarios!$D$11+(1-Scenarios!$D$11-Scenarios!$D$12)*MIN(100,$H39+BN39*15)/100)*MIN(1,MIN(100,$H39+BN39*15)/100))*(1-Scenarios!$D$13)-BP39)</f>
        <v>131.28638792170949</v>
      </c>
      <c r="BS39" s="146">
        <f>MAX(0,BO39*(IF(MIN(100,$H39+BN39*27)&gt;=100,1,Scenarios!$D$11+(1-Scenarios!$D$11-Scenarios!$D$12)*MIN(100,$H39+BN39*27)/100)*MIN(1,MIN(100,$H39+BN39*27)/100))*(1-Scenarios!$D$13)-BP39)</f>
        <v>381.65739130436066</v>
      </c>
      <c r="BT39" s="146">
        <f>MAX(1,(YEAR(IF(I39="",EDATE($C$3,Scenarios!$E$7),IF(I39&lt;$C$3,EDATE($C$3,Scenarios!$E$6),EDATE(I39,Scenarios!$E$5))))-YEAR($C$3))*12+MONTH(IF(I39="",EDATE($C$3,Scenarios!$E$7),IF(I39&lt;$C$3,EDATE($C$3,Scenarios!$E$6),EDATE(I39,Scenarios!$E$5))))-MONTH($C$3))</f>
        <v>24</v>
      </c>
      <c r="BU39" s="178">
        <f>MIN(Scenarios!$E$14,(100-H39)/BT39)</f>
        <v>2.8379166666666666</v>
      </c>
      <c r="BV39" s="146">
        <f>J39*(1-Scenarios!$E$8)+K39*G39/1000000*Scenarios!$E$9*(1+Scenarios!$E$10)</f>
        <v>505.18539769999995</v>
      </c>
      <c r="BW39" s="146">
        <f>J39*(IF(H39&gt;=100,1,Scenarios!$E$11+(1-Scenarios!$E$11-Scenarios!$E$12)*H39/100)*MIN(1,H39/100))*(1-Scenarios!$E$13)</f>
        <v>40.628234208139283</v>
      </c>
      <c r="BX39" s="146">
        <f>MAX(0,BV39*(IF(MIN(100,$H39+BU39*5)&gt;=100,1,Scenarios!$E$11+(1-Scenarios!$E$11-Scenarios!$E$12)*MIN(100,$H39+BU39*5)/100)*MIN(1,MIN(100,$H39+BU39*5)/100))*(1-Scenarios!$E$13)-BW39)</f>
        <v>42.628996904625303</v>
      </c>
      <c r="BY39" s="146">
        <f>MAX(0,BV39*(IF(MIN(100,$H39+BU39*15)&gt;=100,1,Scenarios!$E$11+(1-Scenarios!$E$11-Scenarios!$E$12)*MIN(100,$H39+BU39*15)/100)*MIN(1,MIN(100,$H39+BU39*15)/100))*(1-Scenarios!$E$13)-BW39)</f>
        <v>154.75212905529122</v>
      </c>
      <c r="BZ39" s="146">
        <f>MAX(0,BV39*(IF(MIN(100,$H39+BU39*27)&gt;=100,1,Scenarios!$E$11+(1-Scenarios!$E$11-Scenarios!$E$12)*MIN(100,$H39+BU39*27)/100)*MIN(1,MIN(100,$H39+BU39*27)/100))*(1-Scenarios!$E$13)-BW39)</f>
        <v>439.29789360686061</v>
      </c>
      <c r="CA39" s="206">
        <f t="shared" si="7"/>
        <v>48.396617284016152</v>
      </c>
    </row>
    <row r="40" spans="1:79" ht="17.25" customHeight="1" x14ac:dyDescent="0.2">
      <c r="A40" s="135"/>
      <c r="B40" s="194" t="s">
        <v>183</v>
      </c>
      <c r="C40" s="145"/>
      <c r="D40" s="145"/>
      <c r="E40" s="195">
        <f>SUM(E8:E39)</f>
        <v>23645</v>
      </c>
      <c r="F40" s="195">
        <f>SUM(F8:F39)</f>
        <v>22216</v>
      </c>
      <c r="G40" s="145"/>
      <c r="H40" s="145"/>
      <c r="I40" s="145"/>
      <c r="J40" s="195">
        <f>SUM(J8:J39)</f>
        <v>37362.292240999996</v>
      </c>
      <c r="K40" s="195">
        <f>SUM(K8:K39)</f>
        <v>1429</v>
      </c>
      <c r="L40" s="145"/>
      <c r="M40" s="145"/>
      <c r="N40" s="145"/>
      <c r="O40" s="145"/>
      <c r="P40" s="195">
        <f t="shared" ref="P40:AW40" si="8">SUM(P8:P39)</f>
        <v>40988.808515599994</v>
      </c>
      <c r="Q40" s="195">
        <f t="shared" si="8"/>
        <v>4153.2761834554267</v>
      </c>
      <c r="R40" s="195">
        <f t="shared" si="8"/>
        <v>10188.656573016495</v>
      </c>
      <c r="S40" s="195">
        <f t="shared" si="8"/>
        <v>32644.324686533957</v>
      </c>
      <c r="T40" s="195">
        <f t="shared" si="8"/>
        <v>34786.091906364578</v>
      </c>
      <c r="U40" s="196">
        <f t="shared" si="8"/>
        <v>10645.046012242823</v>
      </c>
      <c r="V40" s="202">
        <f t="shared" si="8"/>
        <v>1771.9373297878005</v>
      </c>
      <c r="W40" s="195">
        <f t="shared" si="8"/>
        <v>3371.8109471030043</v>
      </c>
      <c r="X40" s="195">
        <f t="shared" si="8"/>
        <v>5225.5363295741836</v>
      </c>
      <c r="Y40" s="195">
        <f t="shared" si="8"/>
        <v>7333.1134772013365</v>
      </c>
      <c r="Z40" s="195">
        <f t="shared" si="8"/>
        <v>10188.656573016495</v>
      </c>
      <c r="AA40" s="195">
        <f t="shared" si="8"/>
        <v>13785.521626421218</v>
      </c>
      <c r="AB40" s="195">
        <f t="shared" si="8"/>
        <v>16841.512071570876</v>
      </c>
      <c r="AC40" s="195">
        <f t="shared" si="8"/>
        <v>19403.154337957858</v>
      </c>
      <c r="AD40" s="195">
        <f t="shared" si="8"/>
        <v>23171.799284881974</v>
      </c>
      <c r="AE40" s="195">
        <f t="shared" si="8"/>
        <v>28729.543765725419</v>
      </c>
      <c r="AF40" s="195">
        <f t="shared" si="8"/>
        <v>29440.23790557577</v>
      </c>
      <c r="AG40" s="195">
        <f t="shared" si="8"/>
        <v>30069.003664833253</v>
      </c>
      <c r="AH40" s="195">
        <f t="shared" si="8"/>
        <v>31816.730648109246</v>
      </c>
      <c r="AI40" s="195">
        <f t="shared" si="8"/>
        <v>32543.031901255123</v>
      </c>
      <c r="AJ40" s="195">
        <f t="shared" si="8"/>
        <v>32644.324686533957</v>
      </c>
      <c r="AK40" s="195">
        <f t="shared" si="8"/>
        <v>32749.435990802711</v>
      </c>
      <c r="AL40" s="195">
        <f t="shared" si="8"/>
        <v>32858.36581406137</v>
      </c>
      <c r="AM40" s="195">
        <f t="shared" si="8"/>
        <v>32971.114156309952</v>
      </c>
      <c r="AN40" s="195">
        <f t="shared" si="8"/>
        <v>33087.681017548435</v>
      </c>
      <c r="AO40" s="195">
        <f t="shared" si="8"/>
        <v>33208.066397776842</v>
      </c>
      <c r="AP40" s="195">
        <f t="shared" si="8"/>
        <v>33332.27029699515</v>
      </c>
      <c r="AQ40" s="195">
        <f t="shared" si="8"/>
        <v>33460.292715203381</v>
      </c>
      <c r="AR40" s="195">
        <f t="shared" si="8"/>
        <v>33592.133652401528</v>
      </c>
      <c r="AS40" s="195">
        <f t="shared" si="8"/>
        <v>34786.091906364578</v>
      </c>
      <c r="AT40" s="195">
        <f t="shared" si="8"/>
        <v>34786.091906364578</v>
      </c>
      <c r="AU40" s="195">
        <f t="shared" si="8"/>
        <v>34786.091906364578</v>
      </c>
      <c r="AV40" s="195">
        <f t="shared" si="8"/>
        <v>34786.091906364578</v>
      </c>
      <c r="AW40" s="196">
        <f t="shared" si="8"/>
        <v>34786.091906364578</v>
      </c>
      <c r="AX40" s="2"/>
      <c r="AY40" s="135"/>
      <c r="AZ40" s="145"/>
      <c r="BA40" s="195">
        <f>SUM(BA8:BA39)</f>
        <v>40988.808515599994</v>
      </c>
      <c r="BB40" s="195">
        <f>SUM(BB8:BB39)</f>
        <v>4153.2761834554267</v>
      </c>
      <c r="BC40" s="195">
        <f>SUM(BC8:BC39)</f>
        <v>10188.656573016495</v>
      </c>
      <c r="BD40" s="195">
        <f>SUM(BD8:BD39)</f>
        <v>32644.324686533957</v>
      </c>
      <c r="BE40" s="195">
        <f>SUM(BE8:BE39)</f>
        <v>34786.091906364578</v>
      </c>
      <c r="BF40" s="145"/>
      <c r="BG40" s="145"/>
      <c r="BH40" s="195">
        <f>SUM(BH8:BH39)</f>
        <v>39779.969757399987</v>
      </c>
      <c r="BI40" s="195">
        <f>SUM(BI8:BI39)</f>
        <v>4153.2761834554267</v>
      </c>
      <c r="BJ40" s="195">
        <f>SUM(BJ8:BJ39)</f>
        <v>5579.0107501370694</v>
      </c>
      <c r="BK40" s="195">
        <f>SUM(BK8:BK39)</f>
        <v>28475.064579641923</v>
      </c>
      <c r="BL40" s="195">
        <f>SUM(BL8:BL39)</f>
        <v>32269.985704454572</v>
      </c>
      <c r="BM40" s="145"/>
      <c r="BN40" s="145"/>
      <c r="BO40" s="195">
        <f>SUM(BO8:BO39)</f>
        <v>34175.625921250001</v>
      </c>
      <c r="BP40" s="195">
        <f>SUM(BP8:BP39)</f>
        <v>4153.2761834554267</v>
      </c>
      <c r="BQ40" s="195">
        <f>SUM(BQ8:BQ39)</f>
        <v>7821.4638776689744</v>
      </c>
      <c r="BR40" s="195">
        <f>SUM(BR8:BR39)</f>
        <v>26501.314139120623</v>
      </c>
      <c r="BS40" s="195">
        <f>SUM(BS8:BS39)</f>
        <v>28313.56844173207</v>
      </c>
      <c r="BT40" s="145"/>
      <c r="BU40" s="145"/>
      <c r="BV40" s="195">
        <f>SUM(BV8:BV39)</f>
        <v>38576.716462359997</v>
      </c>
      <c r="BW40" s="195">
        <f>SUM(BW8:BW39)</f>
        <v>4153.2761834554267</v>
      </c>
      <c r="BX40" s="195">
        <f>SUM(BX8:BX39)</f>
        <v>9328.1839971124336</v>
      </c>
      <c r="BY40" s="195">
        <f>SUM(BY8:BY39)</f>
        <v>30464.424415626338</v>
      </c>
      <c r="BZ40" s="195">
        <f>SUM(BZ8:BZ39)</f>
        <v>32494.604455786561</v>
      </c>
      <c r="CA40" s="153"/>
    </row>
    <row r="41" spans="1:79" ht="17.25" customHeight="1" x14ac:dyDescent="0.2">
      <c r="A41" s="141"/>
      <c r="B41" s="188" t="s">
        <v>184</v>
      </c>
      <c r="C41" s="168"/>
      <c r="D41" s="168"/>
      <c r="E41" s="168"/>
      <c r="F41" s="168"/>
      <c r="G41" s="168"/>
      <c r="H41" s="168"/>
      <c r="I41" s="168"/>
      <c r="J41" s="168"/>
      <c r="K41" s="168"/>
      <c r="L41" s="168"/>
      <c r="M41" s="168"/>
      <c r="N41" s="168"/>
      <c r="O41" s="168"/>
      <c r="P41" s="168"/>
      <c r="Q41" s="168"/>
      <c r="R41" s="168"/>
      <c r="S41" s="168"/>
      <c r="T41" s="168"/>
      <c r="U41" s="169"/>
      <c r="V41" s="203">
        <f>V40</f>
        <v>1771.9373297878005</v>
      </c>
      <c r="W41" s="204">
        <f t="shared" ref="W41:AW41" si="9">W40-V40</f>
        <v>1599.8736173152038</v>
      </c>
      <c r="X41" s="204">
        <f t="shared" si="9"/>
        <v>1853.7253824711793</v>
      </c>
      <c r="Y41" s="204">
        <f t="shared" si="9"/>
        <v>2107.577147627153</v>
      </c>
      <c r="Z41" s="204">
        <f t="shared" si="9"/>
        <v>2855.5430958151583</v>
      </c>
      <c r="AA41" s="204">
        <f t="shared" si="9"/>
        <v>3596.8650534047229</v>
      </c>
      <c r="AB41" s="204">
        <f t="shared" si="9"/>
        <v>3055.9904451496586</v>
      </c>
      <c r="AC41" s="204">
        <f t="shared" si="9"/>
        <v>2561.6422663869816</v>
      </c>
      <c r="AD41" s="204">
        <f t="shared" si="9"/>
        <v>3768.6449469241161</v>
      </c>
      <c r="AE41" s="204">
        <f t="shared" si="9"/>
        <v>5557.7444808434448</v>
      </c>
      <c r="AF41" s="204">
        <f t="shared" si="9"/>
        <v>710.69413985035135</v>
      </c>
      <c r="AG41" s="204">
        <f t="shared" si="9"/>
        <v>628.7657592574833</v>
      </c>
      <c r="AH41" s="204">
        <f t="shared" si="9"/>
        <v>1747.7269832759921</v>
      </c>
      <c r="AI41" s="204">
        <f t="shared" si="9"/>
        <v>726.30125314587713</v>
      </c>
      <c r="AJ41" s="204">
        <f t="shared" si="9"/>
        <v>101.29278527883434</v>
      </c>
      <c r="AK41" s="204">
        <f t="shared" si="9"/>
        <v>105.11130426875388</v>
      </c>
      <c r="AL41" s="204">
        <f t="shared" si="9"/>
        <v>108.92982325865887</v>
      </c>
      <c r="AM41" s="204">
        <f t="shared" si="9"/>
        <v>112.74834224858205</v>
      </c>
      <c r="AN41" s="204">
        <f t="shared" si="9"/>
        <v>116.5668612384834</v>
      </c>
      <c r="AO41" s="204">
        <f t="shared" si="9"/>
        <v>120.38538022840658</v>
      </c>
      <c r="AP41" s="204">
        <f t="shared" si="9"/>
        <v>124.20389921830792</v>
      </c>
      <c r="AQ41" s="204">
        <f t="shared" si="9"/>
        <v>128.0224182082311</v>
      </c>
      <c r="AR41" s="204">
        <f t="shared" si="9"/>
        <v>131.840937198147</v>
      </c>
      <c r="AS41" s="204">
        <f t="shared" si="9"/>
        <v>1193.9582539630501</v>
      </c>
      <c r="AT41" s="204">
        <f t="shared" si="9"/>
        <v>0</v>
      </c>
      <c r="AU41" s="204">
        <f t="shared" si="9"/>
        <v>0</v>
      </c>
      <c r="AV41" s="204">
        <f t="shared" si="9"/>
        <v>0</v>
      </c>
      <c r="AW41" s="205">
        <f t="shared" si="9"/>
        <v>0</v>
      </c>
      <c r="AX41" s="2"/>
      <c r="AY41" s="141"/>
      <c r="AZ41" s="168"/>
      <c r="BA41" s="168"/>
      <c r="BB41" s="168"/>
      <c r="BC41" s="168"/>
      <c r="BD41" s="168"/>
      <c r="BE41" s="168"/>
      <c r="BF41" s="168"/>
      <c r="BG41" s="168"/>
      <c r="BH41" s="168"/>
      <c r="BI41" s="168"/>
      <c r="BJ41" s="168"/>
      <c r="BK41" s="168"/>
      <c r="BL41" s="168"/>
      <c r="BM41" s="168"/>
      <c r="BN41" s="168"/>
      <c r="BO41" s="168"/>
      <c r="BP41" s="168"/>
      <c r="BQ41" s="168"/>
      <c r="BR41" s="168"/>
      <c r="BS41" s="168"/>
      <c r="BT41" s="168"/>
      <c r="BU41" s="168"/>
      <c r="BV41" s="168"/>
      <c r="BW41" s="168"/>
      <c r="BX41" s="168"/>
      <c r="BY41" s="168"/>
      <c r="BZ41" s="168"/>
      <c r="CA41" s="169"/>
    </row>
    <row r="42" spans="1:79"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row>
    <row r="43" spans="1:79" ht="39.75" customHeight="1" x14ac:dyDescent="0.2">
      <c r="A43" s="2"/>
      <c r="B43" s="1" t="s">
        <v>185</v>
      </c>
      <c r="C43" s="1"/>
      <c r="D43" s="1"/>
      <c r="E43" s="1"/>
      <c r="F43" s="1"/>
      <c r="G43" s="1"/>
      <c r="H43" s="1"/>
      <c r="I43" s="1"/>
      <c r="J43" s="1"/>
      <c r="K43" s="1"/>
      <c r="L43" s="1"/>
      <c r="M43" s="1"/>
      <c r="N43" s="1"/>
      <c r="O43" s="1"/>
      <c r="P43" s="1"/>
      <c r="Q43" s="1"/>
      <c r="R43" s="1"/>
      <c r="S43" s="1"/>
      <c r="T43" s="1"/>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row>
    <row r="44" spans="1:79" x14ac:dyDescent="0.2">
      <c r="A44" s="2"/>
      <c r="B44" s="1"/>
      <c r="C44" s="1"/>
      <c r="D44" s="1"/>
      <c r="E44" s="1"/>
      <c r="F44" s="1"/>
      <c r="G44" s="1"/>
      <c r="H44" s="1"/>
      <c r="I44" s="1"/>
      <c r="J44" s="1"/>
      <c r="K44" s="1"/>
      <c r="L44" s="1"/>
      <c r="M44" s="1"/>
      <c r="N44" s="1"/>
      <c r="O44" s="1"/>
      <c r="P44" s="1"/>
      <c r="Q44" s="1"/>
      <c r="R44" s="1"/>
      <c r="S44" s="1"/>
      <c r="T44" s="1"/>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row>
  </sheetData>
  <mergeCells count="4">
    <mergeCell ref="E3:T4"/>
    <mergeCell ref="B43:T44"/>
    <mergeCell ref="A1:U1"/>
    <mergeCell ref="A2:U2"/>
  </mergeCells>
  <pageMargins left="0.75" right="0.75" top="1" bottom="1" header="0.511811023622047" footer="0.511811023622047"/>
  <pageSetup paperSize="9" scale="16" fitToHeight="0" orientation="landscape"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7F7F"/>
    <pageSetUpPr fitToPage="1"/>
  </sheetPr>
  <dimension ref="A1:K32"/>
  <sheetViews>
    <sheetView showGridLines="0" zoomScaleNormal="100" workbookViewId="0">
      <pane ySplit="5" topLeftCell="A6" activePane="bottomLeft" state="frozen"/>
      <selection pane="bottomLeft" sqref="A1:K1"/>
    </sheetView>
  </sheetViews>
  <sheetFormatPr baseColWidth="10" defaultColWidth="8.6640625" defaultRowHeight="15" x14ac:dyDescent="0.2"/>
  <cols>
    <col min="1" max="1" width="34" customWidth="1"/>
    <col min="2" max="2" width="16" customWidth="1"/>
    <col min="3" max="4" width="12" customWidth="1"/>
    <col min="5" max="5" width="35.83203125" customWidth="1"/>
    <col min="6" max="6" width="9" customWidth="1"/>
    <col min="7" max="7" width="21.6640625" customWidth="1"/>
    <col min="8" max="8" width="13" customWidth="1"/>
    <col min="9" max="9" width="20" customWidth="1"/>
    <col min="10" max="10" width="42" customWidth="1"/>
    <col min="11" max="11" width="60" customWidth="1"/>
  </cols>
  <sheetData>
    <row r="1" spans="1:11" ht="27.5" customHeight="1" x14ac:dyDescent="0.2">
      <c r="A1" s="339" t="s">
        <v>186</v>
      </c>
      <c r="B1" s="339"/>
      <c r="C1" s="339"/>
      <c r="D1" s="339"/>
      <c r="E1" s="339"/>
      <c r="F1" s="339"/>
      <c r="G1" s="339"/>
      <c r="H1" s="339"/>
      <c r="I1" s="339"/>
      <c r="J1" s="339"/>
      <c r="K1" s="339"/>
    </row>
    <row r="2" spans="1:11" ht="19" customHeight="1" x14ac:dyDescent="0.2">
      <c r="A2" s="340" t="s">
        <v>187</v>
      </c>
      <c r="B2" s="340"/>
      <c r="C2" s="340"/>
      <c r="D2" s="340"/>
      <c r="E2" s="340"/>
      <c r="F2" s="340"/>
      <c r="G2" s="340"/>
      <c r="H2" s="340"/>
      <c r="I2" s="340"/>
      <c r="J2" s="340"/>
      <c r="K2" s="340"/>
    </row>
    <row r="3" spans="1:11" ht="17.25" customHeight="1" x14ac:dyDescent="0.2">
      <c r="A3" s="2" t="s">
        <v>188</v>
      </c>
      <c r="B3" s="25">
        <v>3.6724999999999999</v>
      </c>
      <c r="C3" s="2"/>
      <c r="D3" s="2"/>
      <c r="E3" s="2"/>
      <c r="F3" s="2"/>
      <c r="G3" s="2"/>
      <c r="H3" s="2"/>
      <c r="I3" s="2"/>
      <c r="J3" s="2"/>
      <c r="K3" s="2"/>
    </row>
    <row r="4" spans="1:11" x14ac:dyDescent="0.2">
      <c r="A4" s="2"/>
      <c r="B4" s="2"/>
      <c r="C4" s="2"/>
      <c r="D4" s="2"/>
      <c r="E4" s="2"/>
      <c r="F4" s="2"/>
      <c r="G4" s="2"/>
      <c r="H4" s="2"/>
      <c r="I4" s="2"/>
      <c r="J4" s="2"/>
      <c r="K4" s="2"/>
    </row>
    <row r="5" spans="1:11" ht="31.5" customHeight="1" x14ac:dyDescent="0.2">
      <c r="A5" s="132" t="s">
        <v>189</v>
      </c>
      <c r="B5" s="133" t="s">
        <v>190</v>
      </c>
      <c r="C5" s="133" t="s">
        <v>191</v>
      </c>
      <c r="D5" s="133" t="s">
        <v>192</v>
      </c>
      <c r="E5" s="133" t="s">
        <v>193</v>
      </c>
      <c r="F5" s="133" t="s">
        <v>194</v>
      </c>
      <c r="G5" s="133" t="s">
        <v>195</v>
      </c>
      <c r="H5" s="133" t="s">
        <v>196</v>
      </c>
      <c r="I5" s="133" t="s">
        <v>197</v>
      </c>
      <c r="J5" s="133" t="s">
        <v>198</v>
      </c>
      <c r="K5" s="134" t="s">
        <v>199</v>
      </c>
    </row>
    <row r="6" spans="1:11" ht="18.25" customHeight="1" x14ac:dyDescent="0.2">
      <c r="A6" s="135" t="s">
        <v>200</v>
      </c>
      <c r="B6" s="145" t="s">
        <v>201</v>
      </c>
      <c r="C6" s="145" t="s">
        <v>202</v>
      </c>
      <c r="D6" s="136">
        <v>500</v>
      </c>
      <c r="E6" s="146">
        <f t="shared" ref="E6:E13" si="0">D6*$B$3</f>
        <v>1836.25</v>
      </c>
      <c r="F6" s="139">
        <v>9.6250000000000002E-2</v>
      </c>
      <c r="G6" s="145" t="s">
        <v>203</v>
      </c>
      <c r="H6" s="147">
        <v>46446</v>
      </c>
      <c r="I6" s="145" t="s">
        <v>204</v>
      </c>
      <c r="J6" s="148" t="s">
        <v>205</v>
      </c>
      <c r="K6" s="138" t="s">
        <v>206</v>
      </c>
    </row>
    <row r="7" spans="1:11" ht="18.25" customHeight="1" x14ac:dyDescent="0.2">
      <c r="A7" s="135" t="s">
        <v>207</v>
      </c>
      <c r="B7" s="145" t="s">
        <v>208</v>
      </c>
      <c r="C7" s="145" t="s">
        <v>202</v>
      </c>
      <c r="D7" s="136">
        <v>500</v>
      </c>
      <c r="E7" s="146">
        <f t="shared" si="0"/>
        <v>1836.25</v>
      </c>
      <c r="F7" s="139">
        <v>7.7499999999999999E-2</v>
      </c>
      <c r="G7" s="145" t="s">
        <v>209</v>
      </c>
      <c r="H7" s="147">
        <v>47301</v>
      </c>
      <c r="I7" s="145" t="s">
        <v>210</v>
      </c>
      <c r="J7" s="148" t="s">
        <v>211</v>
      </c>
      <c r="K7" s="138"/>
    </row>
    <row r="8" spans="1:11" ht="18.25" customHeight="1" x14ac:dyDescent="0.2">
      <c r="A8" s="135" t="s">
        <v>212</v>
      </c>
      <c r="B8" s="145" t="s">
        <v>213</v>
      </c>
      <c r="C8" s="145" t="s">
        <v>202</v>
      </c>
      <c r="D8" s="136">
        <v>500</v>
      </c>
      <c r="E8" s="146">
        <f t="shared" si="0"/>
        <v>1836.25</v>
      </c>
      <c r="F8" s="139">
        <v>8.1250000000000003E-2</v>
      </c>
      <c r="G8" s="145" t="s">
        <v>214</v>
      </c>
      <c r="H8" s="147">
        <v>47702</v>
      </c>
      <c r="I8" s="145" t="s">
        <v>210</v>
      </c>
      <c r="J8" s="148" t="s">
        <v>211</v>
      </c>
      <c r="K8" s="138" t="s">
        <v>215</v>
      </c>
    </row>
    <row r="9" spans="1:11" ht="18.25" customHeight="1" x14ac:dyDescent="0.2">
      <c r="A9" s="135" t="s">
        <v>216</v>
      </c>
      <c r="B9" s="145" t="s">
        <v>217</v>
      </c>
      <c r="C9" s="145" t="s">
        <v>202</v>
      </c>
      <c r="D9" s="136">
        <v>500</v>
      </c>
      <c r="E9" s="146">
        <f t="shared" si="0"/>
        <v>1836.25</v>
      </c>
      <c r="F9" s="139">
        <v>8.3750000000000005E-2</v>
      </c>
      <c r="G9" s="145" t="s">
        <v>218</v>
      </c>
      <c r="H9" s="147">
        <v>48072</v>
      </c>
      <c r="I9" s="145" t="s">
        <v>210</v>
      </c>
      <c r="J9" s="148" t="s">
        <v>211</v>
      </c>
      <c r="K9" s="138" t="s">
        <v>219</v>
      </c>
    </row>
    <row r="10" spans="1:11" ht="31.5" customHeight="1" x14ac:dyDescent="0.2">
      <c r="A10" s="135" t="s">
        <v>220</v>
      </c>
      <c r="B10" s="145"/>
      <c r="C10" s="145" t="s">
        <v>221</v>
      </c>
      <c r="D10" s="136">
        <v>281</v>
      </c>
      <c r="E10" s="146">
        <f t="shared" si="0"/>
        <v>1031.9724999999999</v>
      </c>
      <c r="F10" s="149"/>
      <c r="G10" s="145" t="s">
        <v>222</v>
      </c>
      <c r="H10" s="150">
        <v>46387</v>
      </c>
      <c r="I10" s="145" t="s">
        <v>223</v>
      </c>
      <c r="J10" s="148" t="s">
        <v>224</v>
      </c>
      <c r="K10" s="138" t="s">
        <v>225</v>
      </c>
    </row>
    <row r="11" spans="1:11" ht="28.75" customHeight="1" x14ac:dyDescent="0.2">
      <c r="A11" s="135" t="s">
        <v>226</v>
      </c>
      <c r="B11" s="145"/>
      <c r="C11" s="145" t="s">
        <v>221</v>
      </c>
      <c r="D11" s="136">
        <v>188</v>
      </c>
      <c r="E11" s="146">
        <f t="shared" si="0"/>
        <v>690.43</v>
      </c>
      <c r="F11" s="149"/>
      <c r="G11" s="145" t="s">
        <v>222</v>
      </c>
      <c r="H11" s="150">
        <v>46568</v>
      </c>
      <c r="I11" s="145" t="s">
        <v>223</v>
      </c>
      <c r="J11" s="148" t="s">
        <v>227</v>
      </c>
      <c r="K11" s="138" t="s">
        <v>228</v>
      </c>
    </row>
    <row r="12" spans="1:11" ht="28.75" customHeight="1" x14ac:dyDescent="0.2">
      <c r="A12" s="135" t="s">
        <v>229</v>
      </c>
      <c r="B12" s="145"/>
      <c r="C12" s="145" t="s">
        <v>221</v>
      </c>
      <c r="D12" s="136">
        <v>322</v>
      </c>
      <c r="E12" s="146">
        <f t="shared" si="0"/>
        <v>1182.5450000000001</v>
      </c>
      <c r="F12" s="149"/>
      <c r="G12" s="145" t="s">
        <v>222</v>
      </c>
      <c r="H12" s="150">
        <v>46752</v>
      </c>
      <c r="I12" s="145" t="s">
        <v>223</v>
      </c>
      <c r="J12" s="148" t="s">
        <v>227</v>
      </c>
      <c r="K12" s="138" t="s">
        <v>230</v>
      </c>
    </row>
    <row r="13" spans="1:11" ht="18.25" customHeight="1" x14ac:dyDescent="0.2">
      <c r="A13" s="135" t="s">
        <v>231</v>
      </c>
      <c r="B13" s="145"/>
      <c r="C13" s="145" t="s">
        <v>221</v>
      </c>
      <c r="D13" s="136">
        <v>374</v>
      </c>
      <c r="E13" s="146">
        <f t="shared" si="0"/>
        <v>1373.5149999999999</v>
      </c>
      <c r="F13" s="149"/>
      <c r="G13" s="145" t="s">
        <v>222</v>
      </c>
      <c r="H13" s="150">
        <v>46934</v>
      </c>
      <c r="I13" s="145" t="s">
        <v>223</v>
      </c>
      <c r="J13" s="148" t="s">
        <v>227</v>
      </c>
      <c r="K13" s="138" t="s">
        <v>232</v>
      </c>
    </row>
    <row r="14" spans="1:11" ht="17.25" customHeight="1" x14ac:dyDescent="0.2">
      <c r="A14" s="151" t="s">
        <v>233</v>
      </c>
      <c r="B14" s="145"/>
      <c r="C14" s="145"/>
      <c r="D14" s="152">
        <f>SUM(D6:D13)</f>
        <v>3165</v>
      </c>
      <c r="E14" s="152">
        <f>SUM(E6:E13)</f>
        <v>11623.4625</v>
      </c>
      <c r="F14" s="145"/>
      <c r="G14" s="145"/>
      <c r="H14" s="145"/>
      <c r="I14" s="145"/>
      <c r="J14" s="145"/>
      <c r="K14" s="153"/>
    </row>
    <row r="15" spans="1:11" ht="17" customHeight="1" x14ac:dyDescent="0.2">
      <c r="A15" s="154" t="s">
        <v>234</v>
      </c>
      <c r="B15" s="155"/>
      <c r="C15" s="155"/>
      <c r="D15" s="155"/>
      <c r="E15" s="155"/>
      <c r="F15" s="155"/>
      <c r="G15" s="155"/>
      <c r="H15" s="155"/>
      <c r="I15" s="155"/>
      <c r="J15" s="155"/>
      <c r="K15" s="156"/>
    </row>
    <row r="16" spans="1:11" ht="17.25" customHeight="1" x14ac:dyDescent="0.2">
      <c r="A16" s="135" t="s">
        <v>235</v>
      </c>
      <c r="B16" s="145"/>
      <c r="C16" s="145"/>
      <c r="D16" s="145"/>
      <c r="E16" s="152">
        <f>SUMIFS(E6:E13,H6:H13,"&lt;="&amp;DATE(2027,6,30))</f>
        <v>3558.6524999999997</v>
      </c>
      <c r="F16" s="157" t="s">
        <v>236</v>
      </c>
      <c r="G16" s="145"/>
      <c r="H16" s="145"/>
      <c r="I16" s="145"/>
      <c r="J16" s="145"/>
      <c r="K16" s="153"/>
    </row>
    <row r="17" spans="1:11" x14ac:dyDescent="0.2">
      <c r="A17" s="135"/>
      <c r="B17" s="145"/>
      <c r="C17" s="145"/>
      <c r="D17" s="145"/>
      <c r="E17" s="145"/>
      <c r="F17" s="145"/>
      <c r="G17" s="145"/>
      <c r="H17" s="145"/>
      <c r="I17" s="145"/>
      <c r="J17" s="145"/>
      <c r="K17" s="153"/>
    </row>
    <row r="18" spans="1:11" ht="17.25" customHeight="1" x14ac:dyDescent="0.2">
      <c r="A18" s="151" t="s">
        <v>237</v>
      </c>
      <c r="B18" s="145"/>
      <c r="C18" s="145"/>
      <c r="D18" s="145"/>
      <c r="E18" s="145"/>
      <c r="F18" s="145"/>
      <c r="G18" s="145"/>
      <c r="H18" s="145"/>
      <c r="I18" s="145"/>
      <c r="J18" s="145"/>
      <c r="K18" s="153"/>
    </row>
    <row r="19" spans="1:11" ht="18.25" customHeight="1" x14ac:dyDescent="0.2">
      <c r="A19" s="158" t="s">
        <v>238</v>
      </c>
      <c r="B19" s="159" t="s">
        <v>202</v>
      </c>
      <c r="C19" s="159" t="s">
        <v>221</v>
      </c>
      <c r="D19" s="159" t="s">
        <v>233</v>
      </c>
      <c r="E19" s="145"/>
      <c r="F19" s="145"/>
      <c r="G19" s="145"/>
      <c r="H19" s="145"/>
      <c r="I19" s="145"/>
      <c r="J19" s="145"/>
      <c r="K19" s="153"/>
    </row>
    <row r="20" spans="1:11" ht="17.25" customHeight="1" x14ac:dyDescent="0.2">
      <c r="A20" s="135" t="s">
        <v>239</v>
      </c>
      <c r="B20" s="146">
        <f>SUMPRODUCT((YEAR($H$6:$H$13)=2026)*($C$6:$C$13="Sukuk")*$E$6:$E$13)</f>
        <v>0</v>
      </c>
      <c r="C20" s="146">
        <f>SUMPRODUCT((YEAR($H$6:$H$13)=2026)*($C$6:$C$13="Bank")*$E$6:$E$13)</f>
        <v>1031.9724999999999</v>
      </c>
      <c r="D20" s="152">
        <f t="shared" ref="D20:D25" si="1">B20+C20</f>
        <v>1031.9724999999999</v>
      </c>
      <c r="E20" s="145"/>
      <c r="F20" s="145"/>
      <c r="G20" s="145"/>
      <c r="H20" s="145"/>
      <c r="I20" s="145"/>
      <c r="J20" s="145"/>
      <c r="K20" s="153"/>
    </row>
    <row r="21" spans="1:11" ht="17.25" customHeight="1" x14ac:dyDescent="0.2">
      <c r="A21" s="135" t="s">
        <v>240</v>
      </c>
      <c r="B21" s="146">
        <f>SUMPRODUCT((YEAR($H$6:$H$13)=2027)*($C$6:$C$13="Sukuk")*$E$6:$E$13)</f>
        <v>1836.25</v>
      </c>
      <c r="C21" s="146">
        <f>SUMPRODUCT((YEAR($H$6:$H$13)=2027)*($C$6:$C$13="Bank")*$E$6:$E$13)</f>
        <v>1872.9749999999999</v>
      </c>
      <c r="D21" s="152">
        <f t="shared" si="1"/>
        <v>3709.2249999999999</v>
      </c>
      <c r="E21" s="145"/>
      <c r="F21" s="145"/>
      <c r="G21" s="145"/>
      <c r="H21" s="145"/>
      <c r="I21" s="145"/>
      <c r="J21" s="145"/>
      <c r="K21" s="153"/>
    </row>
    <row r="22" spans="1:11" ht="17.25" customHeight="1" x14ac:dyDescent="0.2">
      <c r="A22" s="135" t="s">
        <v>241</v>
      </c>
      <c r="B22" s="146">
        <f>SUMPRODUCT((YEAR($H$6:$H$13)=2028)*($C$6:$C$13="Sukuk")*$E$6:$E$13)</f>
        <v>0</v>
      </c>
      <c r="C22" s="146">
        <f>SUMPRODUCT((YEAR($H$6:$H$13)=2028)*($C$6:$C$13="Bank")*$E$6:$E$13)</f>
        <v>1373.5149999999999</v>
      </c>
      <c r="D22" s="152">
        <f t="shared" si="1"/>
        <v>1373.5149999999999</v>
      </c>
      <c r="E22" s="145"/>
      <c r="F22" s="145"/>
      <c r="G22" s="145"/>
      <c r="H22" s="145"/>
      <c r="I22" s="145"/>
      <c r="J22" s="145"/>
      <c r="K22" s="153"/>
    </row>
    <row r="23" spans="1:11" ht="17.25" customHeight="1" x14ac:dyDescent="0.2">
      <c r="A23" s="135" t="s">
        <v>242</v>
      </c>
      <c r="B23" s="146">
        <f>SUMPRODUCT((YEAR($H$6:$H$13)=2029)*($C$6:$C$13="Sukuk")*$E$6:$E$13)</f>
        <v>1836.25</v>
      </c>
      <c r="C23" s="146">
        <f>SUMPRODUCT((YEAR($H$6:$H$13)=2029)*($C$6:$C$13="Bank")*$E$6:$E$13)</f>
        <v>0</v>
      </c>
      <c r="D23" s="152">
        <f t="shared" si="1"/>
        <v>1836.25</v>
      </c>
      <c r="E23" s="145"/>
      <c r="F23" s="145"/>
      <c r="G23" s="145"/>
      <c r="H23" s="145"/>
      <c r="I23" s="145"/>
      <c r="J23" s="145"/>
      <c r="K23" s="153"/>
    </row>
    <row r="24" spans="1:11" ht="17.25" customHeight="1" x14ac:dyDescent="0.2">
      <c r="A24" s="135" t="s">
        <v>243</v>
      </c>
      <c r="B24" s="146">
        <f>SUMPRODUCT((YEAR($H$6:$H$13)=2030)*($C$6:$C$13="Sukuk")*$E$6:$E$13)</f>
        <v>1836.25</v>
      </c>
      <c r="C24" s="146">
        <f>SUMPRODUCT((YEAR($H$6:$H$13)=2030)*($C$6:$C$13="Bank")*$E$6:$E$13)</f>
        <v>0</v>
      </c>
      <c r="D24" s="152">
        <f t="shared" si="1"/>
        <v>1836.25</v>
      </c>
      <c r="E24" s="145"/>
      <c r="F24" s="145"/>
      <c r="G24" s="145"/>
      <c r="H24" s="145"/>
      <c r="I24" s="145"/>
      <c r="J24" s="145"/>
      <c r="K24" s="153"/>
    </row>
    <row r="25" spans="1:11" ht="17.25" customHeight="1" x14ac:dyDescent="0.2">
      <c r="A25" s="135" t="s">
        <v>244</v>
      </c>
      <c r="B25" s="146">
        <f>SUMPRODUCT((YEAR($H$6:$H$13)=2031)*($C$6:$C$13="Sukuk")*$E$6:$E$13)</f>
        <v>1836.25</v>
      </c>
      <c r="C25" s="146">
        <f>SUMPRODUCT((YEAR($H$6:$H$13)=2031)*($C$6:$C$13="Bank")*$E$6:$E$13)</f>
        <v>0</v>
      </c>
      <c r="D25" s="152">
        <f t="shared" si="1"/>
        <v>1836.25</v>
      </c>
      <c r="E25" s="145"/>
      <c r="F25" s="145"/>
      <c r="G25" s="145"/>
      <c r="H25" s="145"/>
      <c r="I25" s="145"/>
      <c r="J25" s="145"/>
      <c r="K25" s="153"/>
    </row>
    <row r="26" spans="1:11" x14ac:dyDescent="0.2">
      <c r="A26" s="135"/>
      <c r="B26" s="145"/>
      <c r="C26" s="145"/>
      <c r="D26" s="145"/>
      <c r="E26" s="145"/>
      <c r="F26" s="145"/>
      <c r="G26" s="145"/>
      <c r="H26" s="145"/>
      <c r="I26" s="145"/>
      <c r="J26" s="145"/>
      <c r="K26" s="153"/>
    </row>
    <row r="27" spans="1:11" ht="17.25" customHeight="1" x14ac:dyDescent="0.2">
      <c r="A27" s="151" t="s">
        <v>245</v>
      </c>
      <c r="B27" s="145"/>
      <c r="C27" s="145"/>
      <c r="D27" s="145"/>
      <c r="E27" s="145"/>
      <c r="F27" s="145"/>
      <c r="G27" s="145"/>
      <c r="H27" s="145"/>
      <c r="I27" s="145"/>
      <c r="J27" s="145"/>
      <c r="K27" s="153"/>
    </row>
    <row r="28" spans="1:11" ht="44.5" customHeight="1" x14ac:dyDescent="0.2">
      <c r="A28" s="158" t="s">
        <v>246</v>
      </c>
      <c r="B28" s="159" t="s">
        <v>247</v>
      </c>
      <c r="C28" s="159" t="s">
        <v>248</v>
      </c>
      <c r="D28" s="159" t="s">
        <v>249</v>
      </c>
      <c r="E28" s="159" t="s">
        <v>250</v>
      </c>
      <c r="F28" s="159" t="s">
        <v>251</v>
      </c>
      <c r="G28" s="145"/>
      <c r="H28" s="145"/>
      <c r="I28" s="145"/>
      <c r="J28" s="145"/>
      <c r="K28" s="153"/>
    </row>
    <row r="29" spans="1:11" ht="76.25" customHeight="1" x14ac:dyDescent="0.2">
      <c r="A29" s="135" t="s">
        <v>252</v>
      </c>
      <c r="B29" s="160">
        <v>1.25</v>
      </c>
      <c r="C29" s="161">
        <f>Financials!D32</f>
        <v>9.6688198503024708E-2</v>
      </c>
      <c r="D29" s="162">
        <f>B29-C29</f>
        <v>1.1533118014969752</v>
      </c>
      <c r="E29" s="163" t="s">
        <v>253</v>
      </c>
      <c r="F29" s="145"/>
      <c r="G29" s="145"/>
      <c r="H29" s="145"/>
      <c r="I29" s="145"/>
      <c r="J29" s="145"/>
      <c r="K29" s="153"/>
    </row>
    <row r="30" spans="1:11" ht="40.75" customHeight="1" x14ac:dyDescent="0.2">
      <c r="A30" s="135" t="s">
        <v>254</v>
      </c>
      <c r="B30" s="160">
        <v>2.5</v>
      </c>
      <c r="C30" s="161">
        <f>Financials!D26</f>
        <v>0.12310704960835508</v>
      </c>
      <c r="D30" s="162">
        <f>B30-C30</f>
        <v>2.3768929503916447</v>
      </c>
      <c r="E30" s="163" t="s">
        <v>255</v>
      </c>
      <c r="F30" s="145"/>
      <c r="G30" s="145"/>
      <c r="H30" s="145"/>
      <c r="I30" s="145"/>
      <c r="J30" s="145"/>
      <c r="K30" s="153"/>
    </row>
    <row r="31" spans="1:11" ht="17.25" customHeight="1" x14ac:dyDescent="0.2">
      <c r="A31" s="141" t="s">
        <v>256</v>
      </c>
      <c r="B31" s="164">
        <v>2</v>
      </c>
      <c r="C31" s="165">
        <f>Financials!D28</f>
        <v>7.365384615384615</v>
      </c>
      <c r="D31" s="166">
        <f>C31-B31</f>
        <v>5.365384615384615</v>
      </c>
      <c r="E31" s="167" t="s">
        <v>257</v>
      </c>
      <c r="F31" s="168"/>
      <c r="G31" s="168"/>
      <c r="H31" s="168"/>
      <c r="I31" s="168"/>
      <c r="J31" s="168"/>
      <c r="K31" s="169"/>
    </row>
    <row r="32" spans="1:11" ht="17.25" customHeight="1" x14ac:dyDescent="0.2">
      <c r="A32" s="2" t="s">
        <v>258</v>
      </c>
      <c r="B32" s="9" t="s">
        <v>259</v>
      </c>
      <c r="C32" s="2" t="s">
        <v>260</v>
      </c>
      <c r="D32" s="2"/>
      <c r="E32" s="18" t="s">
        <v>261</v>
      </c>
      <c r="F32" s="2"/>
      <c r="G32" s="2"/>
      <c r="H32" s="2"/>
      <c r="I32" s="2"/>
      <c r="J32" s="2"/>
      <c r="K32" s="2"/>
    </row>
  </sheetData>
  <mergeCells count="3">
    <mergeCell ref="A15:K15"/>
    <mergeCell ref="A1:K1"/>
    <mergeCell ref="A2:K2"/>
  </mergeCells>
  <printOptions horizontalCentered="1"/>
  <pageMargins left="0.75" right="0.75" top="1" bottom="1" header="0.511811023622047" footer="0.511811023622047"/>
  <pageSetup paperSize="9" scale="44" fitToHeight="0" orientation="landscape"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7F7F"/>
    <pageSetUpPr fitToPage="1"/>
  </sheetPr>
  <dimension ref="A1:E83"/>
  <sheetViews>
    <sheetView showGridLines="0" zoomScaleNormal="100" workbookViewId="0">
      <pane xSplit="1" ySplit="4" topLeftCell="B5" activePane="bottomRight" state="frozen"/>
      <selection pane="topRight" activeCell="B1" sqref="B1"/>
      <selection pane="bottomLeft" activeCell="A5" sqref="A5"/>
      <selection pane="bottomRight" sqref="A1:E1"/>
    </sheetView>
  </sheetViews>
  <sheetFormatPr baseColWidth="10" defaultColWidth="8.6640625" defaultRowHeight="15" x14ac:dyDescent="0.2"/>
  <cols>
    <col min="1" max="1" width="53.33203125" customWidth="1"/>
    <col min="2" max="4" width="12" customWidth="1"/>
    <col min="5" max="5" width="80" customWidth="1"/>
  </cols>
  <sheetData>
    <row r="1" spans="1:5" ht="27.5" customHeight="1" x14ac:dyDescent="0.2">
      <c r="A1" s="339" t="s">
        <v>262</v>
      </c>
      <c r="B1" s="339"/>
      <c r="C1" s="339"/>
      <c r="D1" s="339"/>
      <c r="E1" s="339"/>
    </row>
    <row r="2" spans="1:5" ht="19" customHeight="1" x14ac:dyDescent="0.2">
      <c r="A2" s="340" t="s">
        <v>263</v>
      </c>
      <c r="B2" s="340"/>
      <c r="C2" s="340"/>
      <c r="D2" s="340"/>
      <c r="E2" s="340"/>
    </row>
    <row r="3" spans="1:5" x14ac:dyDescent="0.2">
      <c r="A3" s="2"/>
      <c r="B3" s="2"/>
      <c r="C3" s="2"/>
      <c r="D3" s="2"/>
      <c r="E3" s="2"/>
    </row>
    <row r="4" spans="1:5" ht="18.25" customHeight="1" x14ac:dyDescent="0.2">
      <c r="A4" s="132" t="s">
        <v>264</v>
      </c>
      <c r="B4" s="133" t="s">
        <v>265</v>
      </c>
      <c r="C4" s="133" t="s">
        <v>266</v>
      </c>
      <c r="D4" s="133" t="s">
        <v>267</v>
      </c>
      <c r="E4" s="134" t="s">
        <v>251</v>
      </c>
    </row>
    <row r="5" spans="1:5" ht="17.25" customHeight="1" x14ac:dyDescent="0.2">
      <c r="A5" s="135" t="s">
        <v>268</v>
      </c>
      <c r="B5" s="136">
        <v>6345</v>
      </c>
      <c r="C5" s="136">
        <v>12425</v>
      </c>
      <c r="D5" s="136">
        <v>9498</v>
      </c>
      <c r="E5" s="153"/>
    </row>
    <row r="6" spans="1:5" ht="17.25" customHeight="1" x14ac:dyDescent="0.2">
      <c r="A6" s="135" t="s">
        <v>269</v>
      </c>
      <c r="B6" s="136">
        <v>2866</v>
      </c>
      <c r="C6" s="136">
        <v>5427</v>
      </c>
      <c r="D6" s="136">
        <v>4312</v>
      </c>
      <c r="E6" s="153"/>
    </row>
    <row r="7" spans="1:5" ht="28.75" customHeight="1" x14ac:dyDescent="0.2">
      <c r="A7" s="135" t="s">
        <v>270</v>
      </c>
      <c r="B7" s="136">
        <v>2400</v>
      </c>
      <c r="C7" s="136">
        <v>4404</v>
      </c>
      <c r="D7" s="136">
        <v>3830</v>
      </c>
      <c r="E7" s="138" t="s">
        <v>271</v>
      </c>
    </row>
    <row r="8" spans="1:5" ht="17.25" customHeight="1" x14ac:dyDescent="0.2">
      <c r="A8" s="135" t="s">
        <v>272</v>
      </c>
      <c r="B8" s="136">
        <v>1828</v>
      </c>
      <c r="C8" s="136">
        <v>3575</v>
      </c>
      <c r="D8" s="136">
        <v>2974</v>
      </c>
      <c r="E8" s="153"/>
    </row>
    <row r="9" spans="1:5" ht="17.25" customHeight="1" x14ac:dyDescent="0.2">
      <c r="A9" s="135" t="s">
        <v>273</v>
      </c>
      <c r="B9" s="136">
        <v>12704</v>
      </c>
      <c r="C9" s="136">
        <v>24368</v>
      </c>
      <c r="D9" s="136">
        <v>35625</v>
      </c>
      <c r="E9" s="153"/>
    </row>
    <row r="10" spans="1:5" ht="17.25" customHeight="1" x14ac:dyDescent="0.2">
      <c r="A10" s="135" t="s">
        <v>274</v>
      </c>
      <c r="B10" s="136">
        <v>3766</v>
      </c>
      <c r="C10" s="136">
        <v>8843</v>
      </c>
      <c r="D10" s="136">
        <v>10578</v>
      </c>
      <c r="E10" s="153"/>
    </row>
    <row r="11" spans="1:5" ht="17.25" customHeight="1" x14ac:dyDescent="0.2">
      <c r="A11" s="135" t="s">
        <v>275</v>
      </c>
      <c r="B11" s="136">
        <v>3496</v>
      </c>
      <c r="C11" s="136">
        <v>8246</v>
      </c>
      <c r="D11" s="136">
        <v>10184</v>
      </c>
      <c r="E11" s="153"/>
    </row>
    <row r="12" spans="1:5" ht="17.25" customHeight="1" x14ac:dyDescent="0.2">
      <c r="A12" s="135" t="s">
        <v>276</v>
      </c>
      <c r="B12" s="136">
        <v>3350</v>
      </c>
      <c r="C12" s="136">
        <v>8258</v>
      </c>
      <c r="D12" s="136">
        <v>11521</v>
      </c>
      <c r="E12" s="153"/>
    </row>
    <row r="13" spans="1:5" ht="17.25" customHeight="1" x14ac:dyDescent="0.2">
      <c r="A13" s="135" t="s">
        <v>277</v>
      </c>
      <c r="B13" s="136">
        <v>3179</v>
      </c>
      <c r="C13" s="136">
        <v>6780</v>
      </c>
      <c r="D13" s="136">
        <v>9753</v>
      </c>
      <c r="E13" s="153"/>
    </row>
    <row r="14" spans="1:5" ht="17.25" customHeight="1" x14ac:dyDescent="0.2">
      <c r="A14" s="135" t="s">
        <v>278</v>
      </c>
      <c r="B14" s="136">
        <v>2591</v>
      </c>
      <c r="C14" s="136">
        <v>6271</v>
      </c>
      <c r="D14" s="136">
        <v>7896</v>
      </c>
      <c r="E14" s="153"/>
    </row>
    <row r="15" spans="1:5" ht="17.25" customHeight="1" x14ac:dyDescent="0.2">
      <c r="A15" s="135" t="s">
        <v>279</v>
      </c>
      <c r="B15" s="136">
        <v>9600</v>
      </c>
      <c r="C15" s="136">
        <v>16600</v>
      </c>
      <c r="D15" s="136">
        <v>17300</v>
      </c>
      <c r="E15" s="153"/>
    </row>
    <row r="16" spans="1:5" ht="17.25" customHeight="1" x14ac:dyDescent="0.2">
      <c r="A16" s="135" t="s">
        <v>280</v>
      </c>
      <c r="B16" s="136">
        <v>11640</v>
      </c>
      <c r="C16" s="136">
        <v>17680</v>
      </c>
      <c r="D16" s="136">
        <v>9592</v>
      </c>
      <c r="E16" s="153"/>
    </row>
    <row r="17" spans="1:5" ht="17.25" customHeight="1" x14ac:dyDescent="0.2">
      <c r="A17" s="135" t="s">
        <v>281</v>
      </c>
      <c r="B17" s="136">
        <v>-241</v>
      </c>
      <c r="C17" s="136">
        <v>704</v>
      </c>
      <c r="D17" s="136">
        <v>-1342</v>
      </c>
      <c r="E17" s="153"/>
    </row>
    <row r="18" spans="1:5" ht="17.25" customHeight="1" x14ac:dyDescent="0.2">
      <c r="A18" s="135" t="s">
        <v>282</v>
      </c>
      <c r="B18" s="136"/>
      <c r="C18" s="136">
        <v>530</v>
      </c>
      <c r="D18" s="136">
        <v>520</v>
      </c>
      <c r="E18" s="153"/>
    </row>
    <row r="19" spans="1:5" ht="28.75" customHeight="1" x14ac:dyDescent="0.2">
      <c r="A19" s="151" t="s">
        <v>283</v>
      </c>
      <c r="B19" s="152">
        <f>B10-B11</f>
        <v>270</v>
      </c>
      <c r="C19" s="152">
        <f>C10-C11</f>
        <v>597</v>
      </c>
      <c r="D19" s="152">
        <f>D10-D11</f>
        <v>394</v>
      </c>
      <c r="E19" s="138" t="s">
        <v>284</v>
      </c>
    </row>
    <row r="20" spans="1:5" ht="17.25" customHeight="1" x14ac:dyDescent="0.2">
      <c r="A20" s="151" t="s">
        <v>285</v>
      </c>
      <c r="B20" s="145"/>
      <c r="C20" s="145"/>
      <c r="D20" s="170">
        <v>3560</v>
      </c>
      <c r="E20" s="153"/>
    </row>
    <row r="21" spans="1:5" ht="28.75" customHeight="1" x14ac:dyDescent="0.2">
      <c r="A21" s="171" t="s">
        <v>286</v>
      </c>
      <c r="B21" s="146">
        <f>B7</f>
        <v>2400</v>
      </c>
      <c r="C21" s="146">
        <f>C7</f>
        <v>4404</v>
      </c>
      <c r="D21" s="146">
        <f>D7*2</f>
        <v>7660</v>
      </c>
      <c r="E21" s="138" t="s">
        <v>287</v>
      </c>
    </row>
    <row r="22" spans="1:5" ht="15.75" customHeight="1" x14ac:dyDescent="0.2">
      <c r="A22" s="171" t="s">
        <v>288</v>
      </c>
      <c r="B22" s="146">
        <f>B18</f>
        <v>0</v>
      </c>
      <c r="C22" s="146">
        <f>C18</f>
        <v>530</v>
      </c>
      <c r="D22" s="146">
        <f>D18*2</f>
        <v>1040</v>
      </c>
      <c r="E22" s="153"/>
    </row>
    <row r="23" spans="1:5" ht="17.25" customHeight="1" x14ac:dyDescent="0.2">
      <c r="A23" s="151" t="s">
        <v>289</v>
      </c>
      <c r="B23" s="145"/>
      <c r="C23" s="145"/>
      <c r="D23" s="145"/>
      <c r="E23" s="153"/>
    </row>
    <row r="24" spans="1:5" ht="17.25" customHeight="1" x14ac:dyDescent="0.2">
      <c r="A24" s="135" t="s">
        <v>290</v>
      </c>
      <c r="B24" s="162">
        <f>IF(B21&gt;0,B12/B21,"n/a")</f>
        <v>1.3958333333333333</v>
      </c>
      <c r="C24" s="162">
        <f>IF(C21&gt;0,C12/C21,"n/a")</f>
        <v>1.8751135331516804</v>
      </c>
      <c r="D24" s="162">
        <f>IF(D21&gt;0,D12/D21,"n/a")</f>
        <v>1.504046997389034</v>
      </c>
      <c r="E24" s="172" t="s">
        <v>291</v>
      </c>
    </row>
    <row r="25" spans="1:5" ht="17.25" customHeight="1" x14ac:dyDescent="0.2">
      <c r="A25" s="135" t="s">
        <v>292</v>
      </c>
      <c r="B25" s="162">
        <f>IF(B21&gt;0,(B12-B19)/B21,"n/a")</f>
        <v>1.2833333333333334</v>
      </c>
      <c r="C25" s="162">
        <f>IF(C21&gt;0,(C12-C19)/C21,"n/a")</f>
        <v>1.7395549500454133</v>
      </c>
      <c r="D25" s="162">
        <f>IF(D21&gt;0,(D12-D19)/D21,"n/a")</f>
        <v>1.4526109660574413</v>
      </c>
      <c r="E25" s="153"/>
    </row>
    <row r="26" spans="1:5" ht="17.25" customHeight="1" x14ac:dyDescent="0.2">
      <c r="A26" s="135" t="s">
        <v>293</v>
      </c>
      <c r="B26" s="162">
        <f>IF(B21&gt;0,(B12-B10)/B21,"n/a")</f>
        <v>-0.17333333333333334</v>
      </c>
      <c r="C26" s="162">
        <f>IF(C21&gt;0,(C12-C10)/C21,"n/a")</f>
        <v>-0.13283378746594005</v>
      </c>
      <c r="D26" s="162">
        <f>IF(D21&gt;0,(D12-D10)/D21,"n/a")</f>
        <v>0.12310704960835508</v>
      </c>
      <c r="E26" s="153"/>
    </row>
    <row r="27" spans="1:5" ht="17.25" customHeight="1" x14ac:dyDescent="0.2">
      <c r="A27" s="135" t="s">
        <v>294</v>
      </c>
      <c r="B27" s="162">
        <f>IF(B13&gt;0,(B12-B19)/B13,"n/a")</f>
        <v>0.96885813148788924</v>
      </c>
      <c r="C27" s="162">
        <f>IF(C13&gt;0,(C12-C19)/C13,"n/a")</f>
        <v>1.1299410029498524</v>
      </c>
      <c r="D27" s="162">
        <f>IF(D13&gt;0,(D12-D19)/D13,"n/a")</f>
        <v>1.1408797293140571</v>
      </c>
      <c r="E27" s="172" t="s">
        <v>295</v>
      </c>
    </row>
    <row r="28" spans="1:5" ht="17.25" customHeight="1" x14ac:dyDescent="0.2">
      <c r="A28" s="135" t="s">
        <v>296</v>
      </c>
      <c r="B28" s="162" t="str">
        <f>IF(B22&gt;0,B21/B22,"n/a")</f>
        <v>n/a</v>
      </c>
      <c r="C28" s="162">
        <f>IF(C22&gt;0,C21/C22,"n/a")</f>
        <v>8.3094339622641513</v>
      </c>
      <c r="D28" s="162">
        <f>IF(D22&gt;0,D21/D22,"n/a")</f>
        <v>7.365384615384615</v>
      </c>
      <c r="E28" s="172" t="s">
        <v>297</v>
      </c>
    </row>
    <row r="29" spans="1:5" ht="28.75" customHeight="1" x14ac:dyDescent="0.2">
      <c r="A29" s="135" t="s">
        <v>298</v>
      </c>
      <c r="B29" s="162" t="str">
        <f>IF(B20&gt;0,B19/B20,"")</f>
        <v/>
      </c>
      <c r="C29" s="162" t="str">
        <f>IF(C20&gt;0,C19/C20,"")</f>
        <v/>
      </c>
      <c r="D29" s="162">
        <f>IF(D20&gt;0,D19/D20,"")</f>
        <v>0.11067415730337078</v>
      </c>
      <c r="E29" s="138" t="s">
        <v>299</v>
      </c>
    </row>
    <row r="30" spans="1:5" ht="17.25" customHeight="1" x14ac:dyDescent="0.2">
      <c r="A30" s="135" t="s">
        <v>300</v>
      </c>
      <c r="B30" s="173">
        <f>IF(B10&gt;0,B11/B10,"n/a")</f>
        <v>0.92830589484864579</v>
      </c>
      <c r="C30" s="173">
        <f>IF(C10&gt;0,C11/C10,"n/a")</f>
        <v>0.93248897432997846</v>
      </c>
      <c r="D30" s="173">
        <f>IF(D10&gt;0,D11/D10,"n/a")</f>
        <v>0.96275288334278697</v>
      </c>
      <c r="E30" s="153"/>
    </row>
    <row r="31" spans="1:5" ht="17.25" customHeight="1" x14ac:dyDescent="0.2">
      <c r="A31" s="135" t="s">
        <v>301</v>
      </c>
      <c r="B31" s="162">
        <f>IF(B13&gt;0,B12/B13,"n/a")</f>
        <v>1.0537905001572823</v>
      </c>
      <c r="C31" s="162">
        <f>IF(C13&gt;0,C12/C13,"n/a")</f>
        <v>1.2179941002949852</v>
      </c>
      <c r="D31" s="162">
        <f>IF(D13&gt;0,D12/D13,"n/a")</f>
        <v>1.1812775556239106</v>
      </c>
      <c r="E31" s="153"/>
    </row>
    <row r="32" spans="1:5" ht="17.25" customHeight="1" x14ac:dyDescent="0.2">
      <c r="A32" s="135" t="s">
        <v>302</v>
      </c>
      <c r="B32" s="162">
        <f>IF(B13&gt;0,(B12-B10)/B13,"n/a")</f>
        <v>-0.13085876061654608</v>
      </c>
      <c r="C32" s="162">
        <f>IF(C13&gt;0,(C12-C10)/C13,"n/a")</f>
        <v>-8.628318584070796E-2</v>
      </c>
      <c r="D32" s="162">
        <f>IF(D13&gt;0,(D12-D10)/D13,"n/a")</f>
        <v>9.6688198503024708E-2</v>
      </c>
      <c r="E32" s="153"/>
    </row>
    <row r="33" spans="1:5" x14ac:dyDescent="0.2">
      <c r="A33" s="135"/>
      <c r="B33" s="145"/>
      <c r="C33" s="145"/>
      <c r="D33" s="145"/>
      <c r="E33" s="153"/>
    </row>
    <row r="35" spans="1:5" ht="17.25" customHeight="1" x14ac:dyDescent="0.2">
      <c r="A35" s="347" t="s">
        <v>800</v>
      </c>
      <c r="B35" s="348"/>
      <c r="C35" s="348"/>
      <c r="D35" s="348"/>
      <c r="E35" s="349"/>
    </row>
    <row r="36" spans="1:5" ht="18.25" customHeight="1" x14ac:dyDescent="0.2">
      <c r="A36" s="229" t="s">
        <v>264</v>
      </c>
      <c r="B36" s="230" t="s">
        <v>265</v>
      </c>
      <c r="C36" s="230" t="s">
        <v>266</v>
      </c>
      <c r="D36" s="230" t="s">
        <v>267</v>
      </c>
      <c r="E36" s="231" t="s">
        <v>251</v>
      </c>
    </row>
    <row r="37" spans="1:5" ht="17.25" customHeight="1" x14ac:dyDescent="0.2">
      <c r="A37" s="232" t="s">
        <v>268</v>
      </c>
      <c r="B37" s="233">
        <f>B5</f>
        <v>6345</v>
      </c>
      <c r="C37" s="233">
        <f>C5</f>
        <v>12425</v>
      </c>
      <c r="D37" s="233">
        <f>D5</f>
        <v>9498</v>
      </c>
      <c r="E37" s="234"/>
    </row>
    <row r="38" spans="1:5" ht="18.25" customHeight="1" x14ac:dyDescent="0.2">
      <c r="A38" s="232" t="s">
        <v>801</v>
      </c>
      <c r="B38" s="233">
        <f>-(B5-B6)</f>
        <v>-3479</v>
      </c>
      <c r="C38" s="233">
        <f>-(C5-C6)</f>
        <v>-6998</v>
      </c>
      <c r="D38" s="233">
        <f>-(D5-D6)</f>
        <v>-5186</v>
      </c>
      <c r="E38" s="227" t="s">
        <v>802</v>
      </c>
    </row>
    <row r="39" spans="1:5" ht="17.25" customHeight="1" x14ac:dyDescent="0.2">
      <c r="A39" s="235" t="s">
        <v>269</v>
      </c>
      <c r="B39" s="236">
        <f>B6</f>
        <v>2866</v>
      </c>
      <c r="C39" s="236">
        <f>C6</f>
        <v>5427</v>
      </c>
      <c r="D39" s="236">
        <f>D6</f>
        <v>4312</v>
      </c>
      <c r="E39" s="234"/>
    </row>
    <row r="40" spans="1:5" ht="17.25" customHeight="1" x14ac:dyDescent="0.2">
      <c r="A40" s="232" t="s">
        <v>803</v>
      </c>
      <c r="B40" s="237">
        <f>IF(B37=0,"",B39/B37)</f>
        <v>0.45169424743892828</v>
      </c>
      <c r="C40" s="237">
        <f>IF(C37=0,"",C39/C37)</f>
        <v>0.43678068410462778</v>
      </c>
      <c r="D40" s="237">
        <f>IF(D37=0,"",D39/D37)</f>
        <v>0.45399031375026322</v>
      </c>
      <c r="E40" s="234"/>
    </row>
    <row r="41" spans="1:5" ht="31.5" customHeight="1" x14ac:dyDescent="0.2">
      <c r="A41" s="235" t="s">
        <v>270</v>
      </c>
      <c r="B41" s="236">
        <f>B7</f>
        <v>2400</v>
      </c>
      <c r="C41" s="236">
        <f>C7</f>
        <v>4404</v>
      </c>
      <c r="D41" s="236">
        <f>D7</f>
        <v>3830</v>
      </c>
      <c r="E41" s="227" t="str">
        <f>E7</f>
        <v>EBITDA includes AED 324m non-cash fair-value gain on units in related real-estate funds; ex-gain AED 3,506m</v>
      </c>
    </row>
    <row r="42" spans="1:5" ht="17.25" customHeight="1" x14ac:dyDescent="0.2">
      <c r="A42" s="232" t="s">
        <v>804</v>
      </c>
      <c r="B42" s="237">
        <f>IF(B37=0,"",B41/B37)</f>
        <v>0.37825059101654845</v>
      </c>
      <c r="C42" s="237">
        <f>IF(C37=0,"",C41/C37)</f>
        <v>0.35444668008048291</v>
      </c>
      <c r="D42" s="237">
        <f>IF(D37=0,"",D41/D37)</f>
        <v>0.40324278795535901</v>
      </c>
      <c r="E42" s="234"/>
    </row>
    <row r="43" spans="1:5" ht="18.25" customHeight="1" x14ac:dyDescent="0.2">
      <c r="A43" s="235" t="s">
        <v>282</v>
      </c>
      <c r="B43" s="233" t="str">
        <f>IF(B18="","n/a",-B18)</f>
        <v>n/a</v>
      </c>
      <c r="C43" s="233">
        <f>IF(C18="","n/a",-C18)</f>
        <v>-530</v>
      </c>
      <c r="D43" s="233">
        <f>IF(D18="","n/a",-D18)</f>
        <v>-520</v>
      </c>
      <c r="E43" s="227" t="s">
        <v>805</v>
      </c>
    </row>
    <row r="44" spans="1:5" ht="17.25" customHeight="1" x14ac:dyDescent="0.2">
      <c r="A44" s="235" t="s">
        <v>272</v>
      </c>
      <c r="B44" s="236">
        <f>B8</f>
        <v>1828</v>
      </c>
      <c r="C44" s="236">
        <f>C8</f>
        <v>3575</v>
      </c>
      <c r="D44" s="236">
        <f>D8</f>
        <v>2974</v>
      </c>
      <c r="E44" s="234"/>
    </row>
    <row r="45" spans="1:5" ht="17.25" customHeight="1" x14ac:dyDescent="0.2">
      <c r="A45" s="235" t="s">
        <v>806</v>
      </c>
      <c r="B45" s="237">
        <f>IF(B37=0,"",B44/B37)</f>
        <v>0.28810086682427111</v>
      </c>
      <c r="C45" s="237">
        <f>IF(C37=0,"",C44/C37)</f>
        <v>0.28772635814889336</v>
      </c>
      <c r="D45" s="237">
        <f>IF(D37=0,"",D44/D37)</f>
        <v>0.31311855127395238</v>
      </c>
      <c r="E45" s="234"/>
    </row>
    <row r="46" spans="1:5" x14ac:dyDescent="0.2">
      <c r="A46" s="232"/>
      <c r="B46" s="238"/>
      <c r="C46" s="238"/>
      <c r="D46" s="238"/>
      <c r="E46" s="234"/>
    </row>
    <row r="47" spans="1:5" ht="17.25" customHeight="1" x14ac:dyDescent="0.2">
      <c r="A47" s="350" t="s">
        <v>807</v>
      </c>
      <c r="B47" s="351"/>
      <c r="C47" s="351"/>
      <c r="D47" s="351"/>
      <c r="E47" s="352"/>
    </row>
    <row r="48" spans="1:5" ht="18.25" customHeight="1" x14ac:dyDescent="0.2">
      <c r="A48" s="229" t="s">
        <v>264</v>
      </c>
      <c r="B48" s="230" t="str">
        <f>B36</f>
        <v>FY2024</v>
      </c>
      <c r="C48" s="230" t="str">
        <f>C36</f>
        <v>FY2025</v>
      </c>
      <c r="D48" s="230" t="str">
        <f>D36</f>
        <v>H1 2026</v>
      </c>
      <c r="E48" s="239" t="s">
        <v>251</v>
      </c>
    </row>
    <row r="49" spans="1:5" ht="17.25" customHeight="1" x14ac:dyDescent="0.2">
      <c r="A49" s="232" t="s">
        <v>274</v>
      </c>
      <c r="B49" s="233">
        <f>B10</f>
        <v>3766</v>
      </c>
      <c r="C49" s="233">
        <f>C10</f>
        <v>8843</v>
      </c>
      <c r="D49" s="233">
        <f>D10</f>
        <v>10578</v>
      </c>
      <c r="E49" s="234"/>
    </row>
    <row r="50" spans="1:5" ht="17.25" customHeight="1" x14ac:dyDescent="0.2">
      <c r="A50" s="232" t="s">
        <v>275</v>
      </c>
      <c r="B50" s="233">
        <f>B11</f>
        <v>3496</v>
      </c>
      <c r="C50" s="233">
        <f>C11</f>
        <v>8246</v>
      </c>
      <c r="D50" s="233">
        <f>D11</f>
        <v>10184</v>
      </c>
      <c r="E50" s="234"/>
    </row>
    <row r="51" spans="1:5" ht="31.5" customHeight="1" x14ac:dyDescent="0.2">
      <c r="A51" s="232" t="s">
        <v>808</v>
      </c>
      <c r="B51" s="233">
        <f>B19</f>
        <v>270</v>
      </c>
      <c r="C51" s="233">
        <f>C19</f>
        <v>597</v>
      </c>
      <c r="D51" s="233">
        <f>D19</f>
        <v>394</v>
      </c>
      <c r="E51" s="227" t="str">
        <f>E19</f>
        <v>Moody's "unrestricted cash". The only cash that can repay a bond; escrow belongs to the projects.</v>
      </c>
    </row>
    <row r="52" spans="1:5" ht="18.25" customHeight="1" x14ac:dyDescent="0.2">
      <c r="A52" s="232" t="s">
        <v>809</v>
      </c>
      <c r="B52" s="233">
        <f>B9-B10</f>
        <v>8938</v>
      </c>
      <c r="C52" s="233">
        <f>C9-C10</f>
        <v>15525</v>
      </c>
      <c r="D52" s="233">
        <f>D9-D10</f>
        <v>25047</v>
      </c>
      <c r="E52" s="227" t="s">
        <v>810</v>
      </c>
    </row>
    <row r="53" spans="1:5" ht="17.25" customHeight="1" x14ac:dyDescent="0.2">
      <c r="A53" s="235" t="s">
        <v>273</v>
      </c>
      <c r="B53" s="236">
        <f>B9</f>
        <v>12704</v>
      </c>
      <c r="C53" s="236">
        <f>C9</f>
        <v>24368</v>
      </c>
      <c r="D53" s="236">
        <f>D9</f>
        <v>35625</v>
      </c>
      <c r="E53" s="234"/>
    </row>
    <row r="54" spans="1:5" ht="17.25" customHeight="1" x14ac:dyDescent="0.2">
      <c r="A54" s="232" t="s">
        <v>276</v>
      </c>
      <c r="B54" s="233">
        <f>B12</f>
        <v>3350</v>
      </c>
      <c r="C54" s="233">
        <f>C12</f>
        <v>8258</v>
      </c>
      <c r="D54" s="233">
        <f>D12</f>
        <v>11521</v>
      </c>
      <c r="E54" s="234"/>
    </row>
    <row r="55" spans="1:5" ht="17.25" customHeight="1" x14ac:dyDescent="0.2">
      <c r="A55" s="232" t="s">
        <v>278</v>
      </c>
      <c r="B55" s="233">
        <f>B14</f>
        <v>2591</v>
      </c>
      <c r="C55" s="233">
        <f>C14</f>
        <v>6271</v>
      </c>
      <c r="D55" s="233">
        <f>D14</f>
        <v>7896</v>
      </c>
      <c r="E55" s="234"/>
    </row>
    <row r="56" spans="1:5" ht="31.5" customHeight="1" x14ac:dyDescent="0.2">
      <c r="A56" s="232" t="s">
        <v>811</v>
      </c>
      <c r="B56" s="233">
        <f>B53-B54-B55-B58</f>
        <v>3584</v>
      </c>
      <c r="C56" s="233">
        <f>C53-C54-C55-C58</f>
        <v>3059</v>
      </c>
      <c r="D56" s="233">
        <f>D53-D54-D55-D58</f>
        <v>6455</v>
      </c>
      <c r="E56" s="240" t="s">
        <v>812</v>
      </c>
    </row>
    <row r="57" spans="1:5" ht="17.25" customHeight="1" x14ac:dyDescent="0.2">
      <c r="A57" s="235" t="s">
        <v>813</v>
      </c>
      <c r="B57" s="236">
        <f>B54+B55+B56</f>
        <v>9525</v>
      </c>
      <c r="C57" s="236">
        <f>C54+C55+C56</f>
        <v>17588</v>
      </c>
      <c r="D57" s="236">
        <f>D54+D55+D56</f>
        <v>25872</v>
      </c>
      <c r="E57" s="234"/>
    </row>
    <row r="58" spans="1:5" ht="17.25" customHeight="1" x14ac:dyDescent="0.2">
      <c r="A58" s="235" t="s">
        <v>277</v>
      </c>
      <c r="B58" s="236">
        <f>B13</f>
        <v>3179</v>
      </c>
      <c r="C58" s="236">
        <f>C13</f>
        <v>6780</v>
      </c>
      <c r="D58" s="236">
        <f>D13</f>
        <v>9753</v>
      </c>
      <c r="E58" s="234"/>
    </row>
    <row r="59" spans="1:5" ht="31.5" customHeight="1" x14ac:dyDescent="0.2">
      <c r="A59" s="241" t="s">
        <v>814</v>
      </c>
      <c r="B59" s="243">
        <f>B53-B57-B58</f>
        <v>0</v>
      </c>
      <c r="C59" s="243">
        <f>C53-C57-C58</f>
        <v>0</v>
      </c>
      <c r="D59" s="243">
        <f>D53-D57-D58</f>
        <v>0</v>
      </c>
      <c r="E59" s="240" t="s">
        <v>815</v>
      </c>
    </row>
    <row r="60" spans="1:5" ht="17.25" customHeight="1" x14ac:dyDescent="0.2">
      <c r="A60" s="232" t="s">
        <v>816</v>
      </c>
      <c r="B60" s="233">
        <f>B54-B51</f>
        <v>3080</v>
      </c>
      <c r="C60" s="233">
        <f>C54-C51</f>
        <v>7661</v>
      </c>
      <c r="D60" s="233">
        <f>D54-D51</f>
        <v>11127</v>
      </c>
      <c r="E60" s="234"/>
    </row>
    <row r="61" spans="1:5" ht="17.25" customHeight="1" x14ac:dyDescent="0.2">
      <c r="A61" s="232" t="s">
        <v>817</v>
      </c>
      <c r="B61" s="233">
        <f>B54-B49</f>
        <v>-416</v>
      </c>
      <c r="C61" s="233">
        <f>C54-C49</f>
        <v>-585</v>
      </c>
      <c r="D61" s="233">
        <f>D54-D49</f>
        <v>943</v>
      </c>
      <c r="E61" s="234"/>
    </row>
    <row r="62" spans="1:5" x14ac:dyDescent="0.2">
      <c r="A62" s="232"/>
      <c r="B62" s="238"/>
      <c r="C62" s="238"/>
      <c r="D62" s="238"/>
      <c r="E62" s="234"/>
    </row>
    <row r="63" spans="1:5" ht="17.25" customHeight="1" x14ac:dyDescent="0.2">
      <c r="A63" s="350" t="s">
        <v>818</v>
      </c>
      <c r="B63" s="351"/>
      <c r="C63" s="351"/>
      <c r="D63" s="351"/>
      <c r="E63" s="352"/>
    </row>
    <row r="64" spans="1:5" ht="44.5" customHeight="1" x14ac:dyDescent="0.2">
      <c r="A64" s="246" t="s">
        <v>819</v>
      </c>
      <c r="B64" s="246"/>
      <c r="C64" s="246"/>
      <c r="D64" s="246"/>
      <c r="E64" s="246"/>
    </row>
    <row r="65" spans="1:5" ht="18.25" customHeight="1" x14ac:dyDescent="0.2">
      <c r="A65" s="229" t="s">
        <v>264</v>
      </c>
      <c r="B65" s="230" t="str">
        <f>B36</f>
        <v>FY2024</v>
      </c>
      <c r="C65" s="230" t="str">
        <f>C36</f>
        <v>FY2025</v>
      </c>
      <c r="D65" s="230" t="str">
        <f>D36</f>
        <v>H1 2026</v>
      </c>
      <c r="E65" s="239" t="s">
        <v>251</v>
      </c>
    </row>
    <row r="66" spans="1:5" ht="18.25" customHeight="1" x14ac:dyDescent="0.2">
      <c r="A66" s="232" t="s">
        <v>820</v>
      </c>
      <c r="B66" s="233" t="s">
        <v>821</v>
      </c>
      <c r="C66" s="233">
        <f>B49</f>
        <v>3766</v>
      </c>
      <c r="D66" s="233">
        <f>C49</f>
        <v>8843</v>
      </c>
      <c r="E66" s="227" t="s">
        <v>822</v>
      </c>
    </row>
    <row r="67" spans="1:5" ht="31.5" customHeight="1" x14ac:dyDescent="0.2">
      <c r="A67" s="235" t="s">
        <v>281</v>
      </c>
      <c r="B67" s="236">
        <f>B17</f>
        <v>-241</v>
      </c>
      <c r="C67" s="236">
        <f>C17</f>
        <v>704</v>
      </c>
      <c r="D67" s="236">
        <f>D17</f>
        <v>-1342</v>
      </c>
      <c r="E67" s="227" t="s">
        <v>823</v>
      </c>
    </row>
    <row r="68" spans="1:5" ht="18.25" customHeight="1" x14ac:dyDescent="0.2">
      <c r="A68" s="232" t="s">
        <v>824</v>
      </c>
      <c r="B68" s="233" t="s">
        <v>821</v>
      </c>
      <c r="C68" s="233">
        <f>C54-B54</f>
        <v>4908</v>
      </c>
      <c r="D68" s="233">
        <f>D54-C54</f>
        <v>3263</v>
      </c>
      <c r="E68" s="227" t="s">
        <v>825</v>
      </c>
    </row>
    <row r="69" spans="1:5" ht="31.5" customHeight="1" x14ac:dyDescent="0.2">
      <c r="A69" s="232" t="s">
        <v>826</v>
      </c>
      <c r="B69" s="233" t="s">
        <v>821</v>
      </c>
      <c r="C69" s="233">
        <f>C70-C67-C68</f>
        <v>-535</v>
      </c>
      <c r="D69" s="233">
        <f>D70-D67-D68</f>
        <v>-186</v>
      </c>
      <c r="E69" s="240" t="s">
        <v>827</v>
      </c>
    </row>
    <row r="70" spans="1:5" ht="17.25" customHeight="1" x14ac:dyDescent="0.2">
      <c r="A70" s="235" t="s">
        <v>828</v>
      </c>
      <c r="B70" s="236" t="s">
        <v>821</v>
      </c>
      <c r="C70" s="236">
        <f>C49-B49</f>
        <v>5077</v>
      </c>
      <c r="D70" s="236">
        <f>D49-C49</f>
        <v>1735</v>
      </c>
      <c r="E70" s="234"/>
    </row>
    <row r="71" spans="1:5" ht="17.25" customHeight="1" x14ac:dyDescent="0.2">
      <c r="A71" s="235" t="s">
        <v>829</v>
      </c>
      <c r="B71" s="236">
        <f>B49</f>
        <v>3766</v>
      </c>
      <c r="C71" s="236">
        <f>C49</f>
        <v>8843</v>
      </c>
      <c r="D71" s="236">
        <f>D49</f>
        <v>10578</v>
      </c>
      <c r="E71" s="234"/>
    </row>
    <row r="72" spans="1:5" ht="31.5" customHeight="1" x14ac:dyDescent="0.2">
      <c r="A72" s="235" t="s">
        <v>830</v>
      </c>
      <c r="B72" s="233">
        <f>B51</f>
        <v>270</v>
      </c>
      <c r="C72" s="233">
        <f>C51-B51</f>
        <v>327</v>
      </c>
      <c r="D72" s="233">
        <f>D51-C51</f>
        <v>-203</v>
      </c>
      <c r="E72" s="227" t="s">
        <v>831</v>
      </c>
    </row>
    <row r="73" spans="1:5" x14ac:dyDescent="0.2">
      <c r="A73" s="232"/>
      <c r="B73" s="238"/>
      <c r="C73" s="238"/>
      <c r="D73" s="238"/>
      <c r="E73" s="234"/>
    </row>
    <row r="74" spans="1:5" ht="17.25" customHeight="1" x14ac:dyDescent="0.2">
      <c r="A74" s="350" t="s">
        <v>832</v>
      </c>
      <c r="B74" s="351"/>
      <c r="C74" s="351"/>
      <c r="D74" s="351"/>
      <c r="E74" s="352"/>
    </row>
    <row r="75" spans="1:5" ht="18.25" customHeight="1" x14ac:dyDescent="0.2">
      <c r="A75" s="235" t="s">
        <v>279</v>
      </c>
      <c r="B75" s="233">
        <f>B15</f>
        <v>9600</v>
      </c>
      <c r="C75" s="233">
        <f>C15</f>
        <v>16600</v>
      </c>
      <c r="D75" s="233">
        <f>D15</f>
        <v>17300</v>
      </c>
      <c r="E75" s="227" t="s">
        <v>833</v>
      </c>
    </row>
    <row r="76" spans="1:5" ht="31.5" customHeight="1" x14ac:dyDescent="0.2">
      <c r="A76" s="225" t="s">
        <v>280</v>
      </c>
      <c r="B76" s="226">
        <f>B16</f>
        <v>11640</v>
      </c>
      <c r="C76" s="226">
        <f>C16</f>
        <v>17680</v>
      </c>
      <c r="D76" s="226">
        <f>D16</f>
        <v>9592</v>
      </c>
      <c r="E76" s="227" t="s">
        <v>834</v>
      </c>
    </row>
    <row r="77" spans="1:5" ht="17.25" customHeight="1" x14ac:dyDescent="0.2">
      <c r="A77" s="228" t="s">
        <v>303</v>
      </c>
      <c r="B77" s="182"/>
      <c r="C77" s="182"/>
      <c r="D77" s="182"/>
      <c r="E77" s="183"/>
    </row>
    <row r="78" spans="1:5" ht="17.25" customHeight="1" x14ac:dyDescent="0.2">
      <c r="A78" s="174" t="str">
        <f>HYPERLINK("https://binghatti-frankfurt-public.s3.eu-central-1.amazonaws.com/project-assets/binghatti-investor-relations-assets/binghatti-group-interim-consolidated-FS-30-June-2026.pdf","Binghatti Holding interim FS 30 June 2026 (2026-07)")</f>
        <v>Binghatti Holding interim FS 30 June 2026 (2026-07)</v>
      </c>
      <c r="B78" s="145"/>
      <c r="C78" s="145"/>
      <c r="D78" s="145"/>
      <c r="E78" s="153"/>
    </row>
    <row r="79" spans="1:5" ht="17.25" customHeight="1" x14ac:dyDescent="0.2">
      <c r="A79" s="174" t="str">
        <f>HYPERLINK("https://binghatti-frankfurt-public.s3.eu-central-1.amazonaws.com/project-assets/binghatti-investor-relations-assets/h1-2026-results-presentation.pdf","Binghatti H1 2026 results presentation (2026-07-28)")</f>
        <v>Binghatti H1 2026 results presentation (2026-07-28)</v>
      </c>
      <c r="B79" s="145"/>
      <c r="C79" s="145"/>
      <c r="D79" s="145"/>
      <c r="E79" s="153"/>
    </row>
    <row r="80" spans="1:5" ht="17.25" customHeight="1" x14ac:dyDescent="0.2">
      <c r="A80" s="174" t="str">
        <f>HYPERLINK("https://www.rns-pdf.londonstockexchange.com/rns/9968Q_1-2026-1-29.pdf","Binghatti Holding FY2025 audited FS (LSE RNS 9968Q) (2026-01-29)")</f>
        <v>Binghatti Holding FY2025 audited FS (LSE RNS 9968Q) (2026-01-29)</v>
      </c>
      <c r="B80" s="145"/>
      <c r="C80" s="145"/>
      <c r="D80" s="145"/>
      <c r="E80" s="153"/>
    </row>
    <row r="81" spans="1:5" ht="17.25" customHeight="1" x14ac:dyDescent="0.2">
      <c r="A81" s="174" t="str">
        <f>HYPERLINK("https://binghatti-frankfurt-public.s3.eu-central-1.amazonaws.com/project-assets/binghatti-investor-relations-assets/Moody%27s+Ratings+Report_April+2026.pdf","Moody's Credit Opinion, Binghatti Holding (April 2026) (2026-04-01)")</f>
        <v>Moody's Credit Opinion, Binghatti Holding (April 2026) (2026-04-01)</v>
      </c>
      <c r="B81" s="145"/>
      <c r="C81" s="145"/>
      <c r="D81" s="145"/>
      <c r="E81" s="153"/>
    </row>
    <row r="82" spans="1:5" ht="17.25" customHeight="1" x14ac:dyDescent="0.2">
      <c r="A82" s="174" t="str">
        <f>HYPERLINK("https://www.tradingview.com/news/reuters.com,2026-08-11:newsml_Zawb7bptR:0-moody-s-puts-dubai-developer-binghatti-ratings-on-review-for-downgrade/","Moody's puts Binghatti ratings on review for downgrade (Reuters/Zawya) (2026-08-11)")</f>
        <v>Moody's puts Binghatti ratings on review for downgrade (Reuters/Zawya) (2026-08-11)</v>
      </c>
      <c r="B82" s="145"/>
      <c r="C82" s="145"/>
      <c r="D82" s="145"/>
      <c r="E82" s="153"/>
    </row>
    <row r="83" spans="1:5" ht="17.25" customHeight="1" x14ac:dyDescent="0.2">
      <c r="A83" s="175" t="str">
        <f>HYPERLINK("https://www.khaleejtimes.com/business/binghatti-dismisses-debt-fears-points-to-dh106-billion-in-escrow-accounts","Binghatti dismisses debt fears, points to Dh10.6 billion in escrow (Khaleej Times) (2026-08)")</f>
        <v>Binghatti dismisses debt fears, points to Dh10.6 billion in escrow (Khaleej Times) (2026-08)</v>
      </c>
      <c r="B83" s="168"/>
      <c r="C83" s="168"/>
      <c r="D83" s="168"/>
      <c r="E83" s="169"/>
    </row>
  </sheetData>
  <mergeCells count="3">
    <mergeCell ref="A64:E64"/>
    <mergeCell ref="A1:E1"/>
    <mergeCell ref="A2:E2"/>
  </mergeCells>
  <printOptions horizontalCentered="1"/>
  <pageMargins left="0.75" right="0.75" top="1" bottom="1" header="0.511811023622047" footer="0.511811023622047"/>
  <pageSetup paperSize="9" scale="47" fitToHeight="0"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pageSetUpPr fitToPage="1"/>
  </sheetPr>
  <dimension ref="A1:L13"/>
  <sheetViews>
    <sheetView showGridLines="0" zoomScaleNormal="100" workbookViewId="0">
      <pane ySplit="6" topLeftCell="A7" activePane="bottomLeft" state="frozen"/>
      <selection pane="bottomLeft" activeCell="A5" sqref="A5:I5"/>
    </sheetView>
  </sheetViews>
  <sheetFormatPr baseColWidth="10" defaultColWidth="8.6640625" defaultRowHeight="15" x14ac:dyDescent="0.2"/>
  <cols>
    <col min="1" max="1" width="51.6640625" customWidth="1"/>
    <col min="2" max="2" width="16" customWidth="1"/>
    <col min="3" max="3" width="9" customWidth="1"/>
    <col min="4" max="4" width="13" customWidth="1"/>
    <col min="5" max="8" width="11" customWidth="1"/>
    <col min="9" max="9" width="13" customWidth="1"/>
    <col min="10" max="10" width="14" customWidth="1"/>
    <col min="11" max="11" width="11" customWidth="1"/>
    <col min="12" max="12" width="40" customWidth="1"/>
  </cols>
  <sheetData>
    <row r="1" spans="1:12" ht="27.5" customHeight="1" x14ac:dyDescent="0.2">
      <c r="A1" s="339" t="s">
        <v>304</v>
      </c>
      <c r="B1" s="339"/>
      <c r="C1" s="339"/>
      <c r="D1" s="339"/>
      <c r="E1" s="339"/>
      <c r="F1" s="339"/>
      <c r="G1" s="339"/>
      <c r="H1" s="339"/>
      <c r="I1" s="339"/>
      <c r="J1" s="339"/>
      <c r="K1" s="339"/>
      <c r="L1" s="339"/>
    </row>
    <row r="2" spans="1:12" ht="19" customHeight="1" x14ac:dyDescent="0.2">
      <c r="A2" s="340" t="s">
        <v>305</v>
      </c>
      <c r="B2" s="340"/>
      <c r="C2" s="340"/>
      <c r="D2" s="340"/>
      <c r="E2" s="340"/>
      <c r="F2" s="340"/>
      <c r="G2" s="340"/>
      <c r="H2" s="340"/>
      <c r="I2" s="340"/>
      <c r="J2" s="340"/>
      <c r="K2" s="340"/>
      <c r="L2" s="340"/>
    </row>
    <row r="3" spans="1:12" ht="17.25" customHeight="1" x14ac:dyDescent="0.2">
      <c r="A3" s="2" t="s">
        <v>306</v>
      </c>
      <c r="B3" s="24">
        <v>46275</v>
      </c>
      <c r="C3" s="2"/>
      <c r="D3" s="2"/>
      <c r="E3" s="2"/>
      <c r="F3" s="2"/>
      <c r="G3" s="2"/>
      <c r="H3" s="2"/>
      <c r="I3" s="2"/>
      <c r="J3" s="2"/>
      <c r="K3" s="2"/>
      <c r="L3" s="2"/>
    </row>
    <row r="4" spans="1:12" ht="17.25" customHeight="1" x14ac:dyDescent="0.2">
      <c r="A4" s="2" t="s">
        <v>307</v>
      </c>
      <c r="B4" s="26">
        <v>0.04</v>
      </c>
      <c r="C4" s="2"/>
      <c r="D4" s="2"/>
      <c r="E4" s="2"/>
      <c r="F4" s="2"/>
      <c r="G4" s="2"/>
      <c r="H4" s="2"/>
      <c r="I4" s="2"/>
      <c r="J4" s="2"/>
      <c r="K4" s="2"/>
      <c r="L4" s="2"/>
    </row>
    <row r="5" spans="1:12" x14ac:dyDescent="0.2">
      <c r="A5" s="2"/>
      <c r="B5" s="2"/>
      <c r="C5" s="2"/>
      <c r="D5" s="2"/>
      <c r="E5" s="2"/>
      <c r="F5" s="2"/>
      <c r="G5" s="2"/>
      <c r="H5" s="2"/>
      <c r="I5" s="2"/>
      <c r="J5" s="2"/>
      <c r="K5" s="2"/>
      <c r="L5" s="2"/>
    </row>
    <row r="6" spans="1:12" ht="31.5" customHeight="1" x14ac:dyDescent="0.2">
      <c r="A6" s="132" t="s">
        <v>202</v>
      </c>
      <c r="B6" s="133" t="s">
        <v>190</v>
      </c>
      <c r="C6" s="133" t="s">
        <v>194</v>
      </c>
      <c r="D6" s="133" t="s">
        <v>196</v>
      </c>
      <c r="E6" s="133" t="s">
        <v>308</v>
      </c>
      <c r="F6" s="133" t="s">
        <v>309</v>
      </c>
      <c r="G6" s="133" t="s">
        <v>310</v>
      </c>
      <c r="H6" s="133" t="s">
        <v>311</v>
      </c>
      <c r="I6" s="133" t="s">
        <v>312</v>
      </c>
      <c r="J6" s="133" t="s">
        <v>313</v>
      </c>
      <c r="K6" s="133" t="s">
        <v>314</v>
      </c>
      <c r="L6" s="134" t="s">
        <v>315</v>
      </c>
    </row>
    <row r="7" spans="1:12" ht="17.25" customHeight="1" x14ac:dyDescent="0.2">
      <c r="A7" s="135" t="s">
        <v>200</v>
      </c>
      <c r="B7" s="145" t="s">
        <v>201</v>
      </c>
      <c r="C7" s="139">
        <v>9.6250000000000002E-2</v>
      </c>
      <c r="D7" s="150">
        <v>46446</v>
      </c>
      <c r="E7" s="176">
        <v>98.25</v>
      </c>
      <c r="F7" s="176">
        <v>99.75</v>
      </c>
      <c r="G7" s="173">
        <f>YIELD($B$3,D7,C7,E7,100,2,0)</f>
        <v>0.13692595072780453</v>
      </c>
      <c r="H7" s="173">
        <f>YIELD($B$3,D7,C7,F7,100,2,0)</f>
        <v>0.10273514022863058</v>
      </c>
      <c r="I7" s="146">
        <f>(G7-$B$4)*10000</f>
        <v>969.25950727804525</v>
      </c>
      <c r="J7" s="177">
        <f>PRICE($B$3,D7,C7,G7+0.01,100,2,0)</f>
        <v>97.744882882256945</v>
      </c>
      <c r="K7" s="178">
        <f>(D7-$B$3)/365.25</f>
        <v>0.46817248459958932</v>
      </c>
      <c r="L7" s="172" t="s">
        <v>316</v>
      </c>
    </row>
    <row r="8" spans="1:12" ht="17.25" customHeight="1" x14ac:dyDescent="0.2">
      <c r="A8" s="135" t="s">
        <v>207</v>
      </c>
      <c r="B8" s="145" t="s">
        <v>208</v>
      </c>
      <c r="C8" s="139">
        <v>7.7499999999999999E-2</v>
      </c>
      <c r="D8" s="150">
        <v>47301</v>
      </c>
      <c r="E8" s="176">
        <v>87.5</v>
      </c>
      <c r="F8" s="176">
        <v>89.25</v>
      </c>
      <c r="G8" s="173">
        <f>YIELD($B$3,D8,C8,E8,100,2,0)</f>
        <v>0.13203720644926423</v>
      </c>
      <c r="H8" s="173">
        <f>YIELD($B$3,D8,C8,F8,100,2,0)</f>
        <v>0.1238246573971739</v>
      </c>
      <c r="I8" s="146">
        <f>(G8-$B$4)*10000</f>
        <v>920.37206449264215</v>
      </c>
      <c r="J8" s="177">
        <f>PRICE($B$3,D8,C8,G8+0.01,100,2,0)</f>
        <v>85.426613168106471</v>
      </c>
      <c r="K8" s="178">
        <f>(D8-$B$3)/365.25</f>
        <v>2.8090349075975358</v>
      </c>
      <c r="L8" s="172" t="s">
        <v>316</v>
      </c>
    </row>
    <row r="9" spans="1:12" ht="17.25" customHeight="1" x14ac:dyDescent="0.2">
      <c r="A9" s="135" t="s">
        <v>212</v>
      </c>
      <c r="B9" s="145" t="s">
        <v>213</v>
      </c>
      <c r="C9" s="139">
        <v>8.1250000000000003E-2</v>
      </c>
      <c r="D9" s="150">
        <v>47702</v>
      </c>
      <c r="E9" s="176">
        <v>84.5</v>
      </c>
      <c r="F9" s="176">
        <v>86.5</v>
      </c>
      <c r="G9" s="173">
        <f>YIELD($B$3,D9,C9,E9,100,2,0)</f>
        <v>0.13335125913765492</v>
      </c>
      <c r="H9" s="173">
        <f>YIELD($B$3,D9,C9,F9,100,2,0)</f>
        <v>0.12598543398720019</v>
      </c>
      <c r="I9" s="146">
        <f>(G9-$B$4)*10000</f>
        <v>933.51259137654904</v>
      </c>
      <c r="J9" s="177">
        <f>PRICE($B$3,D9,C9,G9+0.01,100,2,0)</f>
        <v>81.875655948617762</v>
      </c>
      <c r="K9" s="178">
        <f>(D9-$B$3)/365.25</f>
        <v>3.9069130732375084</v>
      </c>
      <c r="L9" s="172" t="s">
        <v>316</v>
      </c>
    </row>
    <row r="10" spans="1:12" ht="17.25" customHeight="1" x14ac:dyDescent="0.2">
      <c r="A10" s="135" t="s">
        <v>216</v>
      </c>
      <c r="B10" s="145" t="s">
        <v>217</v>
      </c>
      <c r="C10" s="139">
        <v>8.3750000000000005E-2</v>
      </c>
      <c r="D10" s="150">
        <v>48072</v>
      </c>
      <c r="E10" s="176">
        <v>84.5</v>
      </c>
      <c r="F10" s="176">
        <v>86.25</v>
      </c>
      <c r="G10" s="173">
        <f>YIELD($B$3,D10,C10,E10,100,2,0)</f>
        <v>0.12701454926296943</v>
      </c>
      <c r="H10" s="173">
        <f>YIELD($B$3,D10,C10,F10,100,2,0)</f>
        <v>0.12165043035720516</v>
      </c>
      <c r="I10" s="146">
        <f>(G10-$B$4)*10000</f>
        <v>870.14549262969422</v>
      </c>
      <c r="J10" s="177">
        <f>PRICE($B$3,D10,C10,G10+0.01,100,2,0)</f>
        <v>81.35439587941957</v>
      </c>
      <c r="K10" s="178">
        <f>(D10-$B$3)/365.25</f>
        <v>4.9199178644763863</v>
      </c>
      <c r="L10" s="172" t="s">
        <v>316</v>
      </c>
    </row>
    <row r="11" spans="1:12" x14ac:dyDescent="0.2">
      <c r="A11" s="135"/>
      <c r="B11" s="145"/>
      <c r="C11" s="145"/>
      <c r="D11" s="145"/>
      <c r="E11" s="145"/>
      <c r="F11" s="145"/>
      <c r="G11" s="145"/>
      <c r="H11" s="145"/>
      <c r="I11" s="145"/>
      <c r="J11" s="145"/>
      <c r="K11" s="145"/>
      <c r="L11" s="153"/>
    </row>
    <row r="12" spans="1:12" ht="30" customHeight="1" x14ac:dyDescent="0.2">
      <c r="A12" s="179" t="s">
        <v>317</v>
      </c>
      <c r="B12" s="180"/>
      <c r="C12" s="180"/>
      <c r="D12" s="180"/>
      <c r="E12" s="180"/>
      <c r="F12" s="180"/>
      <c r="G12" s="180"/>
      <c r="H12" s="180"/>
      <c r="I12" s="180"/>
      <c r="J12" s="180"/>
      <c r="K12" s="180"/>
      <c r="L12" s="181"/>
    </row>
    <row r="13" spans="1:12" x14ac:dyDescent="0.2">
      <c r="A13" s="1"/>
      <c r="B13" s="1"/>
      <c r="C13" s="1"/>
      <c r="D13" s="1"/>
      <c r="E13" s="1"/>
      <c r="F13" s="1"/>
      <c r="G13" s="1"/>
      <c r="H13" s="1"/>
      <c r="I13" s="1"/>
      <c r="J13" s="1"/>
      <c r="K13" s="1"/>
      <c r="L13" s="1"/>
    </row>
  </sheetData>
  <mergeCells count="3">
    <mergeCell ref="A12:L13"/>
    <mergeCell ref="A1:L1"/>
    <mergeCell ref="A2:L2"/>
  </mergeCells>
  <printOptions horizontalCentered="1"/>
  <pageMargins left="0.75" right="0.75" top="1" bottom="1" header="0.511811023622047" footer="0.511811023622047"/>
  <pageSetup paperSize="9" scale="57" fitToHeight="0" orientation="landscape"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BFBF"/>
    <pageSetUpPr fitToPage="1"/>
  </sheetPr>
  <dimension ref="A1:Z76"/>
  <sheetViews>
    <sheetView showGridLines="0" zoomScaleNormal="100" workbookViewId="0">
      <pane xSplit="2" ySplit="4" topLeftCell="C5" activePane="bottomRight" state="frozen"/>
      <selection pane="topRight" activeCell="C1" sqref="C1"/>
      <selection pane="bottomLeft" activeCell="A5" sqref="A5"/>
      <selection pane="bottomRight" activeCell="C45" sqref="C45"/>
    </sheetView>
  </sheetViews>
  <sheetFormatPr baseColWidth="10" defaultColWidth="8.6640625" defaultRowHeight="15" x14ac:dyDescent="0.2"/>
  <cols>
    <col min="1" max="1" width="9" customWidth="1"/>
    <col min="2" max="2" width="41.6640625" customWidth="1"/>
    <col min="3" max="3" width="22" customWidth="1"/>
    <col min="4" max="4" width="12" customWidth="1"/>
    <col min="5" max="5" width="9" customWidth="1"/>
    <col min="6" max="7" width="12" customWidth="1"/>
    <col min="8" max="8" width="11" customWidth="1"/>
    <col min="9" max="9" width="8" customWidth="1"/>
    <col min="10" max="10" width="10" customWidth="1"/>
    <col min="11" max="11" width="11" customWidth="1"/>
    <col min="12" max="12" width="10" customWidth="1"/>
    <col min="13" max="13" width="9" customWidth="1"/>
    <col min="14" max="14" width="11" customWidth="1"/>
    <col min="15" max="15" width="9" customWidth="1"/>
    <col min="16" max="16" width="8" customWidth="1"/>
    <col min="17" max="17" width="11" customWidth="1"/>
    <col min="18" max="20" width="9" customWidth="1"/>
    <col min="21" max="21" width="10" customWidth="1"/>
    <col min="22" max="22" width="9" customWidth="1"/>
    <col min="23" max="23" width="24" customWidth="1"/>
    <col min="24" max="26" width="11" customWidth="1"/>
  </cols>
  <sheetData>
    <row r="1" spans="1:26" ht="27.5" customHeight="1" x14ac:dyDescent="0.2">
      <c r="A1" s="339" t="s">
        <v>318</v>
      </c>
      <c r="B1" s="339"/>
      <c r="C1" s="339"/>
      <c r="D1" s="339"/>
      <c r="E1" s="339"/>
      <c r="F1" s="339"/>
      <c r="G1" s="339"/>
      <c r="H1" s="339"/>
      <c r="I1" s="339"/>
      <c r="J1" s="339"/>
      <c r="K1" s="339"/>
      <c r="L1" s="339"/>
      <c r="M1" s="339"/>
      <c r="N1" s="339"/>
      <c r="O1" s="339"/>
      <c r="P1" s="339"/>
      <c r="Q1" s="339"/>
      <c r="R1" s="339"/>
      <c r="S1" s="339"/>
      <c r="T1" s="339"/>
      <c r="U1" s="339"/>
      <c r="V1" s="339"/>
      <c r="W1" s="339"/>
      <c r="X1" s="339"/>
      <c r="Y1" s="339"/>
      <c r="Z1" s="339"/>
    </row>
    <row r="2" spans="1:26" ht="19" customHeight="1" x14ac:dyDescent="0.2">
      <c r="A2" s="340" t="s">
        <v>319</v>
      </c>
      <c r="B2" s="340"/>
      <c r="C2" s="340"/>
      <c r="D2" s="340"/>
      <c r="E2" s="340"/>
      <c r="F2" s="340"/>
      <c r="G2" s="340"/>
      <c r="H2" s="340"/>
      <c r="I2" s="340"/>
      <c r="J2" s="340"/>
      <c r="K2" s="340"/>
      <c r="L2" s="340"/>
      <c r="M2" s="340"/>
      <c r="N2" s="340"/>
      <c r="O2" s="340"/>
      <c r="P2" s="340"/>
      <c r="Q2" s="340"/>
      <c r="R2" s="340"/>
      <c r="S2" s="340"/>
      <c r="T2" s="340"/>
      <c r="U2" s="340"/>
      <c r="V2" s="340"/>
      <c r="W2" s="340"/>
      <c r="X2" s="340"/>
      <c r="Y2" s="340"/>
      <c r="Z2" s="340"/>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ht="44.5" customHeight="1" x14ac:dyDescent="0.2">
      <c r="A4" s="132" t="s">
        <v>94</v>
      </c>
      <c r="B4" s="133" t="s">
        <v>30</v>
      </c>
      <c r="C4" s="133" t="s">
        <v>320</v>
      </c>
      <c r="D4" s="133" t="s">
        <v>31</v>
      </c>
      <c r="E4" s="133" t="s">
        <v>32</v>
      </c>
      <c r="F4" s="133" t="s">
        <v>33</v>
      </c>
      <c r="G4" s="133" t="s">
        <v>321</v>
      </c>
      <c r="H4" s="133" t="s">
        <v>95</v>
      </c>
      <c r="I4" s="133" t="s">
        <v>96</v>
      </c>
      <c r="J4" s="133" t="s">
        <v>322</v>
      </c>
      <c r="K4" s="133" t="s">
        <v>323</v>
      </c>
      <c r="L4" s="133" t="s">
        <v>324</v>
      </c>
      <c r="M4" s="133" t="s">
        <v>325</v>
      </c>
      <c r="N4" s="133" t="s">
        <v>326</v>
      </c>
      <c r="O4" s="133" t="s">
        <v>327</v>
      </c>
      <c r="P4" s="133" t="s">
        <v>328</v>
      </c>
      <c r="Q4" s="133" t="s">
        <v>329</v>
      </c>
      <c r="R4" s="133" t="s">
        <v>330</v>
      </c>
      <c r="S4" s="133" t="s">
        <v>331</v>
      </c>
      <c r="T4" s="133" t="s">
        <v>332</v>
      </c>
      <c r="U4" s="133" t="s">
        <v>333</v>
      </c>
      <c r="V4" s="133" t="s">
        <v>334</v>
      </c>
      <c r="W4" s="133" t="s">
        <v>335</v>
      </c>
      <c r="X4" s="133" t="s">
        <v>336</v>
      </c>
      <c r="Y4" s="133" t="s">
        <v>337</v>
      </c>
      <c r="Z4" s="134" t="s">
        <v>338</v>
      </c>
    </row>
    <row r="5" spans="1:26" ht="17.25" customHeight="1" x14ac:dyDescent="0.2">
      <c r="A5" s="135" t="s">
        <v>119</v>
      </c>
      <c r="B5" s="145" t="s">
        <v>120</v>
      </c>
      <c r="C5" s="145" t="s">
        <v>339</v>
      </c>
      <c r="D5" s="145" t="s">
        <v>62</v>
      </c>
      <c r="E5" s="178">
        <v>30.1</v>
      </c>
      <c r="F5" s="147">
        <v>46022</v>
      </c>
      <c r="G5" s="147">
        <v>46022</v>
      </c>
      <c r="H5" s="147">
        <v>46188</v>
      </c>
      <c r="I5" s="146">
        <v>332</v>
      </c>
      <c r="J5" s="146">
        <v>325</v>
      </c>
      <c r="K5" s="178">
        <v>542.45395900000005</v>
      </c>
      <c r="L5" s="146">
        <v>326</v>
      </c>
      <c r="M5" s="146">
        <v>82</v>
      </c>
      <c r="N5" s="178">
        <v>171.36180300000001</v>
      </c>
      <c r="O5" s="146">
        <v>243</v>
      </c>
      <c r="P5" s="146">
        <v>8</v>
      </c>
      <c r="Q5" s="146">
        <v>24159.803170731699</v>
      </c>
      <c r="R5" s="146"/>
      <c r="S5" s="146"/>
      <c r="T5" s="146"/>
      <c r="U5" s="178"/>
      <c r="V5" s="146"/>
      <c r="W5" s="145" t="s">
        <v>340</v>
      </c>
      <c r="X5" s="147">
        <v>45386</v>
      </c>
      <c r="Y5" s="147">
        <v>46272</v>
      </c>
      <c r="Z5" s="187">
        <v>45566</v>
      </c>
    </row>
    <row r="6" spans="1:26" ht="17.25" customHeight="1" x14ac:dyDescent="0.2">
      <c r="A6" s="135" t="s">
        <v>121</v>
      </c>
      <c r="B6" s="145" t="s">
        <v>122</v>
      </c>
      <c r="C6" s="145" t="s">
        <v>341</v>
      </c>
      <c r="D6" s="145" t="s">
        <v>62</v>
      </c>
      <c r="E6" s="178">
        <v>20.04</v>
      </c>
      <c r="F6" s="147">
        <v>46022</v>
      </c>
      <c r="G6" s="147">
        <v>46022</v>
      </c>
      <c r="H6" s="147">
        <v>46188</v>
      </c>
      <c r="I6" s="146">
        <v>190</v>
      </c>
      <c r="J6" s="146">
        <v>112</v>
      </c>
      <c r="K6" s="178">
        <v>3613.0508989999998</v>
      </c>
      <c r="L6" s="146">
        <v>113</v>
      </c>
      <c r="M6" s="146">
        <v>34</v>
      </c>
      <c r="N6" s="178">
        <v>1710.9240990000001</v>
      </c>
      <c r="O6" s="146">
        <v>59</v>
      </c>
      <c r="P6" s="146">
        <v>18</v>
      </c>
      <c r="Q6" s="146">
        <v>78671.816176470602</v>
      </c>
      <c r="R6" s="146"/>
      <c r="S6" s="146">
        <v>5</v>
      </c>
      <c r="T6" s="146">
        <v>3</v>
      </c>
      <c r="U6" s="178">
        <v>-21.0148266319671</v>
      </c>
      <c r="V6" s="146">
        <v>355.8</v>
      </c>
      <c r="W6" s="145" t="s">
        <v>342</v>
      </c>
      <c r="X6" s="147">
        <v>44748</v>
      </c>
      <c r="Y6" s="147">
        <v>46269</v>
      </c>
      <c r="Z6" s="187">
        <v>44986</v>
      </c>
    </row>
    <row r="7" spans="1:26" ht="17.25" customHeight="1" x14ac:dyDescent="0.2">
      <c r="A7" s="135" t="s">
        <v>117</v>
      </c>
      <c r="B7" s="145" t="s">
        <v>118</v>
      </c>
      <c r="C7" s="145" t="s">
        <v>343</v>
      </c>
      <c r="D7" s="145" t="s">
        <v>62</v>
      </c>
      <c r="E7" s="178">
        <v>37.729999999999997</v>
      </c>
      <c r="F7" s="147">
        <v>46022</v>
      </c>
      <c r="G7" s="147">
        <v>46022</v>
      </c>
      <c r="H7" s="147">
        <v>46188</v>
      </c>
      <c r="I7" s="146">
        <v>275</v>
      </c>
      <c r="J7" s="146">
        <v>253</v>
      </c>
      <c r="K7" s="178">
        <v>253.109004</v>
      </c>
      <c r="L7" s="146">
        <v>322</v>
      </c>
      <c r="M7" s="146">
        <v>74</v>
      </c>
      <c r="N7" s="178">
        <v>88.576267000000001</v>
      </c>
      <c r="O7" s="146">
        <v>246</v>
      </c>
      <c r="P7" s="146">
        <v>9</v>
      </c>
      <c r="Q7" s="146">
        <v>17384.392297297301</v>
      </c>
      <c r="R7" s="146">
        <v>34</v>
      </c>
      <c r="S7" s="146">
        <v>14</v>
      </c>
      <c r="T7" s="146">
        <v>5</v>
      </c>
      <c r="U7" s="178">
        <v>22.932535362805599</v>
      </c>
      <c r="V7" s="146">
        <v>213.21428571428601</v>
      </c>
      <c r="W7" s="145" t="s">
        <v>344</v>
      </c>
      <c r="X7" s="147">
        <v>39644</v>
      </c>
      <c r="Y7" s="147">
        <v>46267</v>
      </c>
      <c r="Z7" s="187">
        <v>45505</v>
      </c>
    </row>
    <row r="8" spans="1:26" ht="17.25" customHeight="1" x14ac:dyDescent="0.2">
      <c r="A8" s="135" t="s">
        <v>125</v>
      </c>
      <c r="B8" s="145" t="s">
        <v>126</v>
      </c>
      <c r="C8" s="145" t="s">
        <v>343</v>
      </c>
      <c r="D8" s="145" t="s">
        <v>62</v>
      </c>
      <c r="E8" s="178">
        <v>46</v>
      </c>
      <c r="F8" s="147">
        <v>46081</v>
      </c>
      <c r="G8" s="147">
        <v>46081</v>
      </c>
      <c r="H8" s="147">
        <v>46264</v>
      </c>
      <c r="I8" s="146">
        <v>628</v>
      </c>
      <c r="J8" s="146">
        <v>599</v>
      </c>
      <c r="K8" s="178">
        <v>764.26974389999998</v>
      </c>
      <c r="L8" s="146">
        <v>601</v>
      </c>
      <c r="M8" s="146">
        <v>337</v>
      </c>
      <c r="N8" s="178">
        <v>453.88822190000002</v>
      </c>
      <c r="O8" s="146">
        <v>263</v>
      </c>
      <c r="P8" s="146">
        <v>13</v>
      </c>
      <c r="Q8" s="146">
        <v>21989.827626112801</v>
      </c>
      <c r="R8" s="146"/>
      <c r="S8" s="146">
        <v>1</v>
      </c>
      <c r="T8" s="146">
        <v>0</v>
      </c>
      <c r="U8" s="178">
        <v>9.9999711999907905</v>
      </c>
      <c r="V8" s="146">
        <v>96</v>
      </c>
      <c r="W8" s="145" t="s">
        <v>345</v>
      </c>
      <c r="X8" s="147">
        <v>39638</v>
      </c>
      <c r="Y8" s="147">
        <v>46265</v>
      </c>
      <c r="Z8" s="187">
        <v>45658</v>
      </c>
    </row>
    <row r="9" spans="1:26" ht="17.25" customHeight="1" x14ac:dyDescent="0.2">
      <c r="A9" s="135" t="s">
        <v>123</v>
      </c>
      <c r="B9" s="145" t="s">
        <v>124</v>
      </c>
      <c r="C9" s="145" t="s">
        <v>343</v>
      </c>
      <c r="D9" s="145" t="s">
        <v>62</v>
      </c>
      <c r="E9" s="178">
        <v>38</v>
      </c>
      <c r="F9" s="147">
        <v>46081</v>
      </c>
      <c r="G9" s="147">
        <v>46081</v>
      </c>
      <c r="H9" s="147">
        <v>46264</v>
      </c>
      <c r="I9" s="146">
        <v>710</v>
      </c>
      <c r="J9" s="146">
        <v>671</v>
      </c>
      <c r="K9" s="178">
        <v>795.366623</v>
      </c>
      <c r="L9" s="146">
        <v>673</v>
      </c>
      <c r="M9" s="146">
        <v>632</v>
      </c>
      <c r="N9" s="178">
        <v>757.45162300000004</v>
      </c>
      <c r="O9" s="146">
        <v>40</v>
      </c>
      <c r="P9" s="146">
        <v>17</v>
      </c>
      <c r="Q9" s="146">
        <v>18788.194177215199</v>
      </c>
      <c r="R9" s="146"/>
      <c r="S9" s="146">
        <v>6</v>
      </c>
      <c r="T9" s="146">
        <v>3</v>
      </c>
      <c r="U9" s="178">
        <v>4.0374925412380497E-2</v>
      </c>
      <c r="V9" s="146">
        <v>78.5</v>
      </c>
      <c r="W9" s="145" t="s">
        <v>346</v>
      </c>
      <c r="X9" s="147">
        <v>39637</v>
      </c>
      <c r="Y9" s="147">
        <v>46267</v>
      </c>
      <c r="Z9" s="187">
        <v>45703</v>
      </c>
    </row>
    <row r="10" spans="1:26" ht="17.25" customHeight="1" x14ac:dyDescent="0.2">
      <c r="A10" s="135" t="s">
        <v>127</v>
      </c>
      <c r="B10" s="145" t="s">
        <v>128</v>
      </c>
      <c r="C10" s="145" t="s">
        <v>339</v>
      </c>
      <c r="D10" s="145" t="s">
        <v>62</v>
      </c>
      <c r="E10" s="178">
        <v>99</v>
      </c>
      <c r="F10" s="147">
        <v>46112</v>
      </c>
      <c r="G10" s="147">
        <v>46112</v>
      </c>
      <c r="H10" s="147">
        <v>46264</v>
      </c>
      <c r="I10" s="146">
        <v>785</v>
      </c>
      <c r="J10" s="146">
        <v>694</v>
      </c>
      <c r="K10" s="178">
        <v>862.56724801999997</v>
      </c>
      <c r="L10" s="146">
        <v>695</v>
      </c>
      <c r="M10" s="146">
        <v>187</v>
      </c>
      <c r="N10" s="178">
        <v>249.25177901999999</v>
      </c>
      <c r="O10" s="146">
        <v>507</v>
      </c>
      <c r="P10" s="146">
        <v>19</v>
      </c>
      <c r="Q10" s="146">
        <v>26657.620802139001</v>
      </c>
      <c r="R10" s="146"/>
      <c r="S10" s="146">
        <v>8</v>
      </c>
      <c r="T10" s="146">
        <v>5</v>
      </c>
      <c r="U10" s="178">
        <v>0.63186184557151603</v>
      </c>
      <c r="V10" s="146">
        <v>195</v>
      </c>
      <c r="W10" s="145" t="s">
        <v>344</v>
      </c>
      <c r="X10" s="147">
        <v>45386</v>
      </c>
      <c r="Y10" s="147">
        <v>46272</v>
      </c>
      <c r="Z10" s="187">
        <v>45504</v>
      </c>
    </row>
    <row r="11" spans="1:26" ht="17.25" customHeight="1" x14ac:dyDescent="0.2">
      <c r="A11" s="135" t="s">
        <v>133</v>
      </c>
      <c r="B11" s="145" t="s">
        <v>134</v>
      </c>
      <c r="C11" s="145" t="s">
        <v>339</v>
      </c>
      <c r="D11" s="145" t="s">
        <v>62</v>
      </c>
      <c r="E11" s="178">
        <v>63</v>
      </c>
      <c r="F11" s="147">
        <v>46112</v>
      </c>
      <c r="G11" s="147">
        <v>46112</v>
      </c>
      <c r="H11" s="147">
        <v>46264</v>
      </c>
      <c r="I11" s="146">
        <v>511</v>
      </c>
      <c r="J11" s="146">
        <v>469</v>
      </c>
      <c r="K11" s="178">
        <v>528.92898000000002</v>
      </c>
      <c r="L11" s="146">
        <v>470</v>
      </c>
      <c r="M11" s="146">
        <v>291</v>
      </c>
      <c r="N11" s="178">
        <v>318.43768</v>
      </c>
      <c r="O11" s="146">
        <v>178</v>
      </c>
      <c r="P11" s="146">
        <v>7</v>
      </c>
      <c r="Q11" s="146">
        <v>20790.031374570499</v>
      </c>
      <c r="R11" s="146"/>
      <c r="S11" s="146"/>
      <c r="T11" s="146"/>
      <c r="U11" s="178"/>
      <c r="V11" s="146"/>
      <c r="W11" s="145" t="s">
        <v>340</v>
      </c>
      <c r="X11" s="147">
        <v>45387</v>
      </c>
      <c r="Y11" s="147">
        <v>46273</v>
      </c>
      <c r="Z11" s="187">
        <v>45503</v>
      </c>
    </row>
    <row r="12" spans="1:26" ht="17.25" customHeight="1" x14ac:dyDescent="0.2">
      <c r="A12" s="135" t="s">
        <v>131</v>
      </c>
      <c r="B12" s="145" t="s">
        <v>132</v>
      </c>
      <c r="C12" s="145" t="s">
        <v>347</v>
      </c>
      <c r="D12" s="145" t="s">
        <v>62</v>
      </c>
      <c r="E12" s="178">
        <v>76</v>
      </c>
      <c r="F12" s="147">
        <v>46112</v>
      </c>
      <c r="G12" s="147">
        <v>46112</v>
      </c>
      <c r="H12" s="147">
        <v>46264</v>
      </c>
      <c r="I12" s="146">
        <v>501</v>
      </c>
      <c r="J12" s="146">
        <v>471</v>
      </c>
      <c r="K12" s="178">
        <v>636.31119820000004</v>
      </c>
      <c r="L12" s="146">
        <v>473</v>
      </c>
      <c r="M12" s="146">
        <v>241</v>
      </c>
      <c r="N12" s="178">
        <v>381.29480419999999</v>
      </c>
      <c r="O12" s="146">
        <v>230</v>
      </c>
      <c r="P12" s="146">
        <v>9</v>
      </c>
      <c r="Q12" s="146">
        <v>16088.146307053899</v>
      </c>
      <c r="R12" s="146"/>
      <c r="S12" s="146"/>
      <c r="T12" s="146"/>
      <c r="U12" s="178"/>
      <c r="V12" s="146"/>
      <c r="W12" s="145" t="s">
        <v>344</v>
      </c>
      <c r="X12" s="147">
        <v>39692</v>
      </c>
      <c r="Y12" s="147">
        <v>46260</v>
      </c>
      <c r="Z12" s="187">
        <v>45643</v>
      </c>
    </row>
    <row r="13" spans="1:26" ht="17.25" customHeight="1" x14ac:dyDescent="0.2">
      <c r="A13" s="135" t="s">
        <v>129</v>
      </c>
      <c r="B13" s="145" t="s">
        <v>130</v>
      </c>
      <c r="C13" s="145" t="s">
        <v>343</v>
      </c>
      <c r="D13" s="145" t="s">
        <v>62</v>
      </c>
      <c r="E13" s="178">
        <v>84</v>
      </c>
      <c r="F13" s="147">
        <v>46112</v>
      </c>
      <c r="G13" s="147">
        <v>46112</v>
      </c>
      <c r="H13" s="147">
        <v>46264</v>
      </c>
      <c r="I13" s="146">
        <v>404</v>
      </c>
      <c r="J13" s="146">
        <v>359</v>
      </c>
      <c r="K13" s="178">
        <v>611.32190700000001</v>
      </c>
      <c r="L13" s="146">
        <v>361</v>
      </c>
      <c r="M13" s="146">
        <v>72</v>
      </c>
      <c r="N13" s="178">
        <v>123.348952</v>
      </c>
      <c r="O13" s="146">
        <v>287</v>
      </c>
      <c r="P13" s="146">
        <v>4</v>
      </c>
      <c r="Q13" s="146">
        <v>19477.091388888901</v>
      </c>
      <c r="R13" s="146"/>
      <c r="S13" s="146">
        <v>5</v>
      </c>
      <c r="T13" s="146">
        <v>1</v>
      </c>
      <c r="U13" s="178">
        <v>9.03730767837191</v>
      </c>
      <c r="V13" s="146">
        <v>242.2</v>
      </c>
      <c r="W13" s="145" t="s">
        <v>346</v>
      </c>
      <c r="X13" s="147">
        <v>43102</v>
      </c>
      <c r="Y13" s="147">
        <v>46253</v>
      </c>
      <c r="Z13" s="187">
        <v>45566</v>
      </c>
    </row>
    <row r="14" spans="1:26" ht="17.25" customHeight="1" x14ac:dyDescent="0.2">
      <c r="A14" s="135" t="s">
        <v>135</v>
      </c>
      <c r="B14" s="145" t="s">
        <v>136</v>
      </c>
      <c r="C14" s="145" t="s">
        <v>348</v>
      </c>
      <c r="D14" s="145" t="s">
        <v>62</v>
      </c>
      <c r="E14" s="178">
        <v>33</v>
      </c>
      <c r="F14" s="147">
        <v>46113</v>
      </c>
      <c r="G14" s="147">
        <v>46113</v>
      </c>
      <c r="H14" s="147">
        <v>46264</v>
      </c>
      <c r="I14" s="146">
        <v>1575</v>
      </c>
      <c r="J14" s="146">
        <v>1564</v>
      </c>
      <c r="K14" s="178">
        <v>1850.156731</v>
      </c>
      <c r="L14" s="146">
        <v>1566</v>
      </c>
      <c r="M14" s="146">
        <v>926</v>
      </c>
      <c r="N14" s="178">
        <v>1068.623327</v>
      </c>
      <c r="O14" s="146">
        <v>638</v>
      </c>
      <c r="P14" s="146">
        <v>33</v>
      </c>
      <c r="Q14" s="146">
        <v>18726.289287257001</v>
      </c>
      <c r="R14" s="146"/>
      <c r="S14" s="146"/>
      <c r="T14" s="146"/>
      <c r="U14" s="178"/>
      <c r="V14" s="146"/>
      <c r="W14" s="145" t="s">
        <v>344</v>
      </c>
      <c r="X14" s="147">
        <v>43012</v>
      </c>
      <c r="Y14" s="147">
        <v>46272</v>
      </c>
      <c r="Z14" s="187">
        <v>45566</v>
      </c>
    </row>
    <row r="15" spans="1:26" ht="17.25" customHeight="1" x14ac:dyDescent="0.2">
      <c r="A15" s="135" t="s">
        <v>137</v>
      </c>
      <c r="B15" s="145" t="s">
        <v>138</v>
      </c>
      <c r="C15" s="145" t="s">
        <v>339</v>
      </c>
      <c r="D15" s="145" t="s">
        <v>62</v>
      </c>
      <c r="E15" s="178">
        <v>32</v>
      </c>
      <c r="F15" s="147">
        <v>46142</v>
      </c>
      <c r="G15" s="147">
        <v>46142</v>
      </c>
      <c r="H15" s="147">
        <v>46264</v>
      </c>
      <c r="I15" s="146">
        <v>277</v>
      </c>
      <c r="J15" s="146">
        <v>248</v>
      </c>
      <c r="K15" s="178">
        <v>422.7272595</v>
      </c>
      <c r="L15" s="146">
        <v>250</v>
      </c>
      <c r="M15" s="146">
        <v>198</v>
      </c>
      <c r="N15" s="178">
        <v>345.45821949999998</v>
      </c>
      <c r="O15" s="146">
        <v>50</v>
      </c>
      <c r="P15" s="146">
        <v>7</v>
      </c>
      <c r="Q15" s="146">
        <v>20554.051111111101</v>
      </c>
      <c r="R15" s="146"/>
      <c r="S15" s="146">
        <v>2</v>
      </c>
      <c r="T15" s="146">
        <v>1</v>
      </c>
      <c r="U15" s="178">
        <v>40.425812906514402</v>
      </c>
      <c r="V15" s="146">
        <v>86.5</v>
      </c>
      <c r="W15" s="145" t="s">
        <v>342</v>
      </c>
      <c r="X15" s="147">
        <v>39762</v>
      </c>
      <c r="Y15" s="147">
        <v>46255</v>
      </c>
      <c r="Z15" s="187">
        <v>45748</v>
      </c>
    </row>
    <row r="16" spans="1:26" ht="17.25" customHeight="1" x14ac:dyDescent="0.2">
      <c r="A16" s="135" t="s">
        <v>139</v>
      </c>
      <c r="B16" s="145" t="s">
        <v>140</v>
      </c>
      <c r="C16" s="145" t="s">
        <v>341</v>
      </c>
      <c r="D16" s="145" t="s">
        <v>62</v>
      </c>
      <c r="E16" s="178">
        <v>50</v>
      </c>
      <c r="F16" s="147">
        <v>46172</v>
      </c>
      <c r="G16" s="147">
        <v>46172</v>
      </c>
      <c r="H16" s="147">
        <v>46264</v>
      </c>
      <c r="I16" s="146">
        <v>753</v>
      </c>
      <c r="J16" s="146">
        <v>639</v>
      </c>
      <c r="K16" s="178">
        <v>1799.45587022</v>
      </c>
      <c r="L16" s="146">
        <v>641</v>
      </c>
      <c r="M16" s="146">
        <v>217</v>
      </c>
      <c r="N16" s="178">
        <v>730.26920622</v>
      </c>
      <c r="O16" s="146">
        <v>422</v>
      </c>
      <c r="P16" s="146">
        <v>45</v>
      </c>
      <c r="Q16" s="146">
        <v>33076.527649769603</v>
      </c>
      <c r="R16" s="146"/>
      <c r="S16" s="146">
        <v>3</v>
      </c>
      <c r="T16" s="146">
        <v>2</v>
      </c>
      <c r="U16" s="178">
        <v>0.70310196427576099</v>
      </c>
      <c r="V16" s="146">
        <v>79.6666666666667</v>
      </c>
      <c r="W16" s="145" t="s">
        <v>342</v>
      </c>
      <c r="X16" s="147">
        <v>44959</v>
      </c>
      <c r="Y16" s="147">
        <v>46269</v>
      </c>
      <c r="Z16" s="187">
        <v>45352</v>
      </c>
    </row>
    <row r="17" spans="1:26" ht="17.25" customHeight="1" x14ac:dyDescent="0.2">
      <c r="A17" s="135" t="s">
        <v>141</v>
      </c>
      <c r="B17" s="145" t="s">
        <v>142</v>
      </c>
      <c r="C17" s="145" t="s">
        <v>339</v>
      </c>
      <c r="D17" s="145" t="s">
        <v>62</v>
      </c>
      <c r="E17" s="178">
        <v>19</v>
      </c>
      <c r="F17" s="147">
        <v>46188</v>
      </c>
      <c r="G17" s="147">
        <v>46188</v>
      </c>
      <c r="H17" s="147">
        <v>46264</v>
      </c>
      <c r="I17" s="146">
        <v>234</v>
      </c>
      <c r="J17" s="146">
        <v>250</v>
      </c>
      <c r="K17" s="178">
        <v>459.79295605999999</v>
      </c>
      <c r="L17" s="146">
        <v>252</v>
      </c>
      <c r="M17" s="146">
        <v>250</v>
      </c>
      <c r="N17" s="178">
        <v>459.79295605999999</v>
      </c>
      <c r="O17" s="146">
        <v>1</v>
      </c>
      <c r="P17" s="146">
        <v>11</v>
      </c>
      <c r="Q17" s="146">
        <v>21429.425999999999</v>
      </c>
      <c r="R17" s="146"/>
      <c r="S17" s="146"/>
      <c r="T17" s="146"/>
      <c r="U17" s="178"/>
      <c r="V17" s="146"/>
      <c r="W17" s="145" t="s">
        <v>349</v>
      </c>
      <c r="X17" s="147">
        <v>39986</v>
      </c>
      <c r="Y17" s="147">
        <v>46268</v>
      </c>
      <c r="Z17" s="187">
        <v>45762</v>
      </c>
    </row>
    <row r="18" spans="1:26" ht="17.25" customHeight="1" x14ac:dyDescent="0.2">
      <c r="A18" s="135" t="s">
        <v>143</v>
      </c>
      <c r="B18" s="145" t="s">
        <v>144</v>
      </c>
      <c r="C18" s="145" t="s">
        <v>350</v>
      </c>
      <c r="D18" s="145" t="s">
        <v>62</v>
      </c>
      <c r="E18" s="178">
        <v>53</v>
      </c>
      <c r="F18" s="147">
        <v>46203</v>
      </c>
      <c r="G18" s="147">
        <v>46203</v>
      </c>
      <c r="H18" s="147">
        <v>46264</v>
      </c>
      <c r="I18" s="146">
        <v>1745</v>
      </c>
      <c r="J18" s="146">
        <v>1782</v>
      </c>
      <c r="K18" s="178">
        <v>1147.4686340000001</v>
      </c>
      <c r="L18" s="146">
        <v>1783</v>
      </c>
      <c r="M18" s="146">
        <v>268</v>
      </c>
      <c r="N18" s="178">
        <v>219.51932400000001</v>
      </c>
      <c r="O18" s="146">
        <v>1514</v>
      </c>
      <c r="P18" s="146">
        <v>36</v>
      </c>
      <c r="Q18" s="146">
        <v>20099.226343283601</v>
      </c>
      <c r="R18" s="146"/>
      <c r="S18" s="146">
        <v>4</v>
      </c>
      <c r="T18" s="146">
        <v>1</v>
      </c>
      <c r="U18" s="178">
        <v>47.986209570661899</v>
      </c>
      <c r="V18" s="146">
        <v>154.75</v>
      </c>
      <c r="W18" s="145" t="s">
        <v>344</v>
      </c>
      <c r="X18" s="147">
        <v>45496</v>
      </c>
      <c r="Y18" s="147">
        <v>46273</v>
      </c>
      <c r="Z18" s="187">
        <v>45626</v>
      </c>
    </row>
    <row r="19" spans="1:26" ht="17.25" customHeight="1" x14ac:dyDescent="0.2">
      <c r="A19" s="135" t="s">
        <v>147</v>
      </c>
      <c r="B19" s="145" t="s">
        <v>148</v>
      </c>
      <c r="C19" s="145" t="s">
        <v>341</v>
      </c>
      <c r="D19" s="145" t="s">
        <v>62</v>
      </c>
      <c r="E19" s="178">
        <v>35</v>
      </c>
      <c r="F19" s="147">
        <v>46203</v>
      </c>
      <c r="G19" s="147">
        <v>46203</v>
      </c>
      <c r="H19" s="147">
        <v>46264</v>
      </c>
      <c r="I19" s="146">
        <v>304</v>
      </c>
      <c r="J19" s="146">
        <v>224</v>
      </c>
      <c r="K19" s="178">
        <v>2057.595773</v>
      </c>
      <c r="L19" s="146">
        <v>225</v>
      </c>
      <c r="M19" s="146">
        <v>46</v>
      </c>
      <c r="N19" s="178">
        <v>573.67999499999996</v>
      </c>
      <c r="O19" s="146">
        <v>64</v>
      </c>
      <c r="P19" s="146">
        <v>8</v>
      </c>
      <c r="Q19" s="146">
        <v>36630.951086956498</v>
      </c>
      <c r="R19" s="146">
        <v>1</v>
      </c>
      <c r="S19" s="146">
        <v>1</v>
      </c>
      <c r="T19" s="146">
        <v>0</v>
      </c>
      <c r="U19" s="178">
        <v>100</v>
      </c>
      <c r="V19" s="146">
        <v>36</v>
      </c>
      <c r="W19" s="145" t="s">
        <v>342</v>
      </c>
      <c r="X19" s="147">
        <v>44680</v>
      </c>
      <c r="Y19" s="147">
        <v>46254</v>
      </c>
      <c r="Z19" s="187">
        <v>44835</v>
      </c>
    </row>
    <row r="20" spans="1:26" ht="17.25" customHeight="1" x14ac:dyDescent="0.2">
      <c r="A20" s="135" t="s">
        <v>145</v>
      </c>
      <c r="B20" s="145" t="s">
        <v>146</v>
      </c>
      <c r="C20" s="145" t="s">
        <v>348</v>
      </c>
      <c r="D20" s="145" t="s">
        <v>62</v>
      </c>
      <c r="E20" s="178">
        <v>70</v>
      </c>
      <c r="F20" s="147">
        <v>46203</v>
      </c>
      <c r="G20" s="147">
        <v>46203</v>
      </c>
      <c r="H20" s="147">
        <v>46264</v>
      </c>
      <c r="I20" s="146">
        <v>411</v>
      </c>
      <c r="J20" s="146">
        <v>286</v>
      </c>
      <c r="K20" s="178">
        <v>278.20169305000002</v>
      </c>
      <c r="L20" s="146">
        <v>288</v>
      </c>
      <c r="M20" s="146">
        <v>286</v>
      </c>
      <c r="N20" s="178">
        <v>278.20169305000002</v>
      </c>
      <c r="O20" s="146">
        <v>2</v>
      </c>
      <c r="P20" s="146">
        <v>61</v>
      </c>
      <c r="Q20" s="146">
        <v>19938.1498601399</v>
      </c>
      <c r="R20" s="146"/>
      <c r="S20" s="146"/>
      <c r="T20" s="146"/>
      <c r="U20" s="178"/>
      <c r="V20" s="146"/>
      <c r="W20" s="145" t="s">
        <v>349</v>
      </c>
      <c r="X20" s="147">
        <v>45589</v>
      </c>
      <c r="Y20" s="147">
        <v>46267</v>
      </c>
      <c r="Z20" s="187">
        <v>45688</v>
      </c>
    </row>
    <row r="21" spans="1:26" ht="17.25" customHeight="1" x14ac:dyDescent="0.2">
      <c r="A21" s="135" t="s">
        <v>149</v>
      </c>
      <c r="B21" s="145" t="s">
        <v>150</v>
      </c>
      <c r="C21" s="145" t="s">
        <v>341</v>
      </c>
      <c r="D21" s="145" t="s">
        <v>62</v>
      </c>
      <c r="E21" s="178">
        <v>31</v>
      </c>
      <c r="F21" s="147">
        <v>46265</v>
      </c>
      <c r="G21" s="147">
        <v>46265</v>
      </c>
      <c r="H21" s="147">
        <v>46264</v>
      </c>
      <c r="I21" s="146">
        <v>728</v>
      </c>
      <c r="J21" s="146">
        <v>656</v>
      </c>
      <c r="K21" s="178">
        <v>958.56117500000005</v>
      </c>
      <c r="L21" s="146">
        <v>659</v>
      </c>
      <c r="M21" s="146">
        <v>342</v>
      </c>
      <c r="N21" s="178">
        <v>703.85245299999997</v>
      </c>
      <c r="O21" s="146">
        <v>315</v>
      </c>
      <c r="P21" s="146">
        <v>4</v>
      </c>
      <c r="Q21" s="146">
        <v>27644.831315789499</v>
      </c>
      <c r="R21" s="146"/>
      <c r="S21" s="146">
        <v>2</v>
      </c>
      <c r="T21" s="146">
        <v>1</v>
      </c>
      <c r="U21" s="178">
        <v>-2.0901891772987198</v>
      </c>
      <c r="V21" s="146">
        <v>72.5</v>
      </c>
      <c r="W21" s="145" t="s">
        <v>351</v>
      </c>
      <c r="X21" s="147">
        <v>43668</v>
      </c>
      <c r="Y21" s="147">
        <v>46268</v>
      </c>
      <c r="Z21" s="187">
        <v>45689</v>
      </c>
    </row>
    <row r="22" spans="1:26" ht="17.25" customHeight="1" x14ac:dyDescent="0.2">
      <c r="A22" s="135" t="s">
        <v>151</v>
      </c>
      <c r="B22" s="145" t="s">
        <v>152</v>
      </c>
      <c r="C22" s="145" t="s">
        <v>341</v>
      </c>
      <c r="D22" s="145" t="s">
        <v>62</v>
      </c>
      <c r="E22" s="178">
        <v>21</v>
      </c>
      <c r="F22" s="147">
        <v>46326</v>
      </c>
      <c r="G22" s="147">
        <v>46326</v>
      </c>
      <c r="H22" s="147">
        <v>46264</v>
      </c>
      <c r="I22" s="146">
        <v>1584</v>
      </c>
      <c r="J22" s="146">
        <v>1310</v>
      </c>
      <c r="K22" s="178">
        <v>2681.7616640000001</v>
      </c>
      <c r="L22" s="146">
        <v>1312</v>
      </c>
      <c r="M22" s="146">
        <v>810</v>
      </c>
      <c r="N22" s="178">
        <v>2428.1426379999998</v>
      </c>
      <c r="O22" s="146">
        <v>501</v>
      </c>
      <c r="P22" s="146">
        <v>47</v>
      </c>
      <c r="Q22" s="146">
        <v>28536.812999999998</v>
      </c>
      <c r="R22" s="146"/>
      <c r="S22" s="146">
        <v>12</v>
      </c>
      <c r="T22" s="146">
        <v>4</v>
      </c>
      <c r="U22" s="178">
        <v>-3.2701721579521101</v>
      </c>
      <c r="V22" s="146">
        <v>147.083333333333</v>
      </c>
      <c r="W22" s="145" t="s">
        <v>351</v>
      </c>
      <c r="X22" s="147">
        <v>45525</v>
      </c>
      <c r="Y22" s="147">
        <v>46272</v>
      </c>
      <c r="Z22" s="187">
        <v>45731</v>
      </c>
    </row>
    <row r="23" spans="1:26" ht="17.25" customHeight="1" x14ac:dyDescent="0.2">
      <c r="A23" s="135" t="s">
        <v>155</v>
      </c>
      <c r="B23" s="145" t="s">
        <v>156</v>
      </c>
      <c r="C23" s="145" t="s">
        <v>341</v>
      </c>
      <c r="D23" s="145" t="s">
        <v>62</v>
      </c>
      <c r="E23" s="178">
        <v>22</v>
      </c>
      <c r="F23" s="147">
        <v>46387</v>
      </c>
      <c r="G23" s="147">
        <v>46387</v>
      </c>
      <c r="H23" s="147">
        <v>46264</v>
      </c>
      <c r="I23" s="146">
        <v>3333</v>
      </c>
      <c r="J23" s="146">
        <v>3300</v>
      </c>
      <c r="K23" s="178">
        <v>5352.6974491800001</v>
      </c>
      <c r="L23" s="146">
        <v>3301</v>
      </c>
      <c r="M23" s="146">
        <v>673</v>
      </c>
      <c r="N23" s="178">
        <v>1337.2403191799999</v>
      </c>
      <c r="O23" s="146">
        <v>2627</v>
      </c>
      <c r="P23" s="146">
        <v>19</v>
      </c>
      <c r="Q23" s="146">
        <v>31867.966567607698</v>
      </c>
      <c r="R23" s="146"/>
      <c r="S23" s="146">
        <v>2</v>
      </c>
      <c r="T23" s="146">
        <v>0</v>
      </c>
      <c r="U23" s="178">
        <v>10.911353861976901</v>
      </c>
      <c r="V23" s="146">
        <v>148</v>
      </c>
      <c r="W23" s="145" t="s">
        <v>349</v>
      </c>
      <c r="X23" s="147">
        <v>45484</v>
      </c>
      <c r="Y23" s="147">
        <v>46267</v>
      </c>
      <c r="Z23" s="187">
        <v>45580</v>
      </c>
    </row>
    <row r="24" spans="1:26" ht="17.25" customHeight="1" x14ac:dyDescent="0.2">
      <c r="A24" s="135" t="s">
        <v>157</v>
      </c>
      <c r="B24" s="145" t="s">
        <v>158</v>
      </c>
      <c r="C24" s="145" t="s">
        <v>352</v>
      </c>
      <c r="D24" s="145" t="s">
        <v>62</v>
      </c>
      <c r="E24" s="178">
        <v>65</v>
      </c>
      <c r="F24" s="147">
        <v>46387</v>
      </c>
      <c r="G24" s="147">
        <v>46387</v>
      </c>
      <c r="H24" s="147">
        <v>46264</v>
      </c>
      <c r="I24" s="146">
        <v>163</v>
      </c>
      <c r="J24" s="146">
        <v>117</v>
      </c>
      <c r="K24" s="178">
        <v>1802.3303080000001</v>
      </c>
      <c r="L24" s="146">
        <v>119</v>
      </c>
      <c r="M24" s="146">
        <v>37</v>
      </c>
      <c r="N24" s="178">
        <v>588.99599499999999</v>
      </c>
      <c r="O24" s="146">
        <v>38</v>
      </c>
      <c r="P24" s="146">
        <v>12</v>
      </c>
      <c r="Q24" s="146">
        <v>56837.255135135099</v>
      </c>
      <c r="R24" s="146">
        <v>1</v>
      </c>
      <c r="S24" s="146">
        <v>3</v>
      </c>
      <c r="T24" s="146">
        <v>0</v>
      </c>
      <c r="U24" s="178">
        <v>19.494675860774901</v>
      </c>
      <c r="V24" s="146">
        <v>116</v>
      </c>
      <c r="W24" s="145" t="s">
        <v>342</v>
      </c>
      <c r="X24" s="147">
        <v>39569</v>
      </c>
      <c r="Y24" s="147">
        <v>46253</v>
      </c>
      <c r="Z24" s="187">
        <v>45275</v>
      </c>
    </row>
    <row r="25" spans="1:26" ht="17.25" customHeight="1" x14ac:dyDescent="0.2">
      <c r="A25" s="135" t="s">
        <v>153</v>
      </c>
      <c r="B25" s="145" t="s">
        <v>154</v>
      </c>
      <c r="C25" s="145" t="s">
        <v>353</v>
      </c>
      <c r="D25" s="145" t="s">
        <v>62</v>
      </c>
      <c r="E25" s="178">
        <v>50</v>
      </c>
      <c r="F25" s="147">
        <v>46387</v>
      </c>
      <c r="G25" s="147">
        <v>46296</v>
      </c>
      <c r="H25" s="147">
        <v>46264</v>
      </c>
      <c r="I25" s="146">
        <v>0</v>
      </c>
      <c r="J25" s="146">
        <v>216</v>
      </c>
      <c r="K25" s="178">
        <v>270.19731075999999</v>
      </c>
      <c r="L25" s="146">
        <v>217</v>
      </c>
      <c r="M25" s="146">
        <v>216</v>
      </c>
      <c r="N25" s="178">
        <v>270.19731075999999</v>
      </c>
      <c r="O25" s="146">
        <v>1</v>
      </c>
      <c r="P25" s="146">
        <v>84</v>
      </c>
      <c r="Q25" s="146">
        <v>22557.850787037001</v>
      </c>
      <c r="R25" s="146"/>
      <c r="S25" s="146">
        <v>11</v>
      </c>
      <c r="T25" s="146">
        <v>6</v>
      </c>
      <c r="U25" s="178">
        <v>-4.6089916636766102</v>
      </c>
      <c r="V25" s="146">
        <v>90</v>
      </c>
      <c r="W25" s="145" t="s">
        <v>342</v>
      </c>
      <c r="X25" s="147">
        <v>45894</v>
      </c>
      <c r="Y25" s="147">
        <v>46265</v>
      </c>
      <c r="Z25" s="187">
        <v>45931</v>
      </c>
    </row>
    <row r="26" spans="1:26" ht="17.25" customHeight="1" x14ac:dyDescent="0.2">
      <c r="A26" s="135" t="s">
        <v>173</v>
      </c>
      <c r="B26" s="145" t="s">
        <v>174</v>
      </c>
      <c r="C26" s="145" t="s">
        <v>352</v>
      </c>
      <c r="D26" s="145" t="s">
        <v>62</v>
      </c>
      <c r="E26" s="178">
        <v>6.02</v>
      </c>
      <c r="F26" s="147">
        <v>46721</v>
      </c>
      <c r="G26" s="147">
        <v>46721</v>
      </c>
      <c r="H26" s="147">
        <v>46188</v>
      </c>
      <c r="I26" s="146">
        <v>621</v>
      </c>
      <c r="J26" s="146">
        <v>558</v>
      </c>
      <c r="K26" s="178">
        <v>1612.0304839999999</v>
      </c>
      <c r="L26" s="146">
        <v>560</v>
      </c>
      <c r="M26" s="146">
        <v>558</v>
      </c>
      <c r="N26" s="178">
        <v>1612.0304839999999</v>
      </c>
      <c r="O26" s="146"/>
      <c r="P26" s="146">
        <v>8</v>
      </c>
      <c r="Q26" s="146">
        <v>44101.5568100358</v>
      </c>
      <c r="R26" s="146"/>
      <c r="S26" s="146">
        <v>2</v>
      </c>
      <c r="T26" s="146">
        <v>1</v>
      </c>
      <c r="U26" s="178">
        <v>0.36387911415553498</v>
      </c>
      <c r="V26" s="146">
        <v>141.5</v>
      </c>
      <c r="W26" s="145" t="s">
        <v>349</v>
      </c>
      <c r="X26" s="147">
        <v>45419</v>
      </c>
      <c r="Y26" s="147">
        <v>46213</v>
      </c>
      <c r="Z26" s="187">
        <v>45689</v>
      </c>
    </row>
    <row r="27" spans="1:26" ht="17.25" customHeight="1" x14ac:dyDescent="0.2">
      <c r="A27" s="135" t="s">
        <v>175</v>
      </c>
      <c r="B27" s="145" t="s">
        <v>176</v>
      </c>
      <c r="C27" s="145" t="s">
        <v>348</v>
      </c>
      <c r="D27" s="145" t="s">
        <v>62</v>
      </c>
      <c r="E27" s="178">
        <v>25.03</v>
      </c>
      <c r="F27" s="147"/>
      <c r="G27" s="147"/>
      <c r="H27" s="147">
        <v>46188</v>
      </c>
      <c r="I27" s="146">
        <v>1687</v>
      </c>
      <c r="J27" s="146">
        <v>1716</v>
      </c>
      <c r="K27" s="178">
        <v>2192.1818550500002</v>
      </c>
      <c r="L27" s="146">
        <v>1718</v>
      </c>
      <c r="M27" s="146">
        <v>418</v>
      </c>
      <c r="N27" s="178">
        <v>655.16588605000004</v>
      </c>
      <c r="O27" s="146">
        <v>974</v>
      </c>
      <c r="P27" s="146">
        <v>25</v>
      </c>
      <c r="Q27" s="146">
        <v>20625.714976076601</v>
      </c>
      <c r="R27" s="146"/>
      <c r="S27" s="146">
        <v>12</v>
      </c>
      <c r="T27" s="146">
        <v>10</v>
      </c>
      <c r="U27" s="178">
        <v>-13.2327849101044</v>
      </c>
      <c r="V27" s="146">
        <v>218</v>
      </c>
      <c r="W27" s="145" t="s">
        <v>349</v>
      </c>
      <c r="X27" s="147">
        <v>39559</v>
      </c>
      <c r="Y27" s="147">
        <v>46272</v>
      </c>
      <c r="Z27" s="187">
        <v>45383</v>
      </c>
    </row>
    <row r="28" spans="1:26" ht="17.25" customHeight="1" x14ac:dyDescent="0.2">
      <c r="A28" s="135" t="s">
        <v>179</v>
      </c>
      <c r="B28" s="145" t="s">
        <v>180</v>
      </c>
      <c r="C28" s="145" t="s">
        <v>343</v>
      </c>
      <c r="D28" s="145" t="s">
        <v>62</v>
      </c>
      <c r="E28" s="178">
        <v>31.22</v>
      </c>
      <c r="F28" s="147"/>
      <c r="G28" s="147"/>
      <c r="H28" s="147">
        <v>46188</v>
      </c>
      <c r="I28" s="146">
        <v>464</v>
      </c>
      <c r="J28" s="146">
        <v>498</v>
      </c>
      <c r="K28" s="178">
        <v>528.26121799999999</v>
      </c>
      <c r="L28" s="146">
        <v>595</v>
      </c>
      <c r="M28" s="146">
        <v>106</v>
      </c>
      <c r="N28" s="178">
        <v>167.12875399999999</v>
      </c>
      <c r="O28" s="146">
        <v>344</v>
      </c>
      <c r="P28" s="146">
        <v>12</v>
      </c>
      <c r="Q28" s="146">
        <v>17326.5635849057</v>
      </c>
      <c r="R28" s="146">
        <v>55</v>
      </c>
      <c r="S28" s="146">
        <v>9</v>
      </c>
      <c r="T28" s="146">
        <v>7</v>
      </c>
      <c r="U28" s="178">
        <v>-0.72839824306789003</v>
      </c>
      <c r="V28" s="146">
        <v>84</v>
      </c>
      <c r="W28" s="145" t="s">
        <v>349</v>
      </c>
      <c r="X28" s="147">
        <v>41897</v>
      </c>
      <c r="Y28" s="147">
        <v>46265</v>
      </c>
      <c r="Z28" s="187">
        <v>45323</v>
      </c>
    </row>
    <row r="29" spans="1:26" ht="17.25" customHeight="1" x14ac:dyDescent="0.2">
      <c r="A29" s="135" t="s">
        <v>177</v>
      </c>
      <c r="B29" s="145" t="s">
        <v>178</v>
      </c>
      <c r="C29" s="145" t="s">
        <v>343</v>
      </c>
      <c r="D29" s="145" t="s">
        <v>62</v>
      </c>
      <c r="E29" s="178">
        <v>33.200000000000003</v>
      </c>
      <c r="F29" s="147"/>
      <c r="G29" s="147"/>
      <c r="H29" s="147">
        <v>46188</v>
      </c>
      <c r="I29" s="146">
        <v>369</v>
      </c>
      <c r="J29" s="146">
        <v>371</v>
      </c>
      <c r="K29" s="178">
        <v>528.66843800000004</v>
      </c>
      <c r="L29" s="146">
        <v>422</v>
      </c>
      <c r="M29" s="146">
        <v>52</v>
      </c>
      <c r="N29" s="178">
        <v>102.75507500000001</v>
      </c>
      <c r="O29" s="146">
        <v>95</v>
      </c>
      <c r="P29" s="146">
        <v>14</v>
      </c>
      <c r="Q29" s="146">
        <v>17511.782500000001</v>
      </c>
      <c r="R29" s="146">
        <v>30</v>
      </c>
      <c r="S29" s="146">
        <v>8</v>
      </c>
      <c r="T29" s="146">
        <v>3</v>
      </c>
      <c r="U29" s="178">
        <v>6.8348261003683302</v>
      </c>
      <c r="V29" s="146">
        <v>219.625</v>
      </c>
      <c r="W29" s="145" t="s">
        <v>349</v>
      </c>
      <c r="X29" s="147">
        <v>43102</v>
      </c>
      <c r="Y29" s="147">
        <v>46273</v>
      </c>
      <c r="Z29" s="187">
        <v>45337</v>
      </c>
    </row>
    <row r="30" spans="1:26" ht="17.25" customHeight="1" x14ac:dyDescent="0.2">
      <c r="A30" s="135" t="s">
        <v>181</v>
      </c>
      <c r="B30" s="145" t="s">
        <v>182</v>
      </c>
      <c r="C30" s="145" t="s">
        <v>343</v>
      </c>
      <c r="D30" s="145" t="s">
        <v>62</v>
      </c>
      <c r="E30" s="178">
        <v>31.89</v>
      </c>
      <c r="F30" s="147"/>
      <c r="G30" s="147"/>
      <c r="H30" s="147">
        <v>46188</v>
      </c>
      <c r="I30" s="146">
        <v>370</v>
      </c>
      <c r="J30" s="146">
        <v>287</v>
      </c>
      <c r="K30" s="178">
        <v>460.30919699999998</v>
      </c>
      <c r="L30" s="146">
        <v>424</v>
      </c>
      <c r="M30" s="146">
        <v>155</v>
      </c>
      <c r="N30" s="178">
        <v>319.91812499999997</v>
      </c>
      <c r="O30" s="146">
        <v>267</v>
      </c>
      <c r="P30" s="146">
        <v>18</v>
      </c>
      <c r="Q30" s="146">
        <v>22446.882129032299</v>
      </c>
      <c r="R30" s="146">
        <v>31</v>
      </c>
      <c r="S30" s="146">
        <v>6</v>
      </c>
      <c r="T30" s="146">
        <v>4</v>
      </c>
      <c r="U30" s="178">
        <v>-18.207825709033699</v>
      </c>
      <c r="V30" s="146">
        <v>141.166666666667</v>
      </c>
      <c r="W30" s="145" t="s">
        <v>349</v>
      </c>
      <c r="X30" s="147">
        <v>42688</v>
      </c>
      <c r="Y30" s="147">
        <v>46267</v>
      </c>
      <c r="Z30" s="187">
        <v>45305</v>
      </c>
    </row>
    <row r="31" spans="1:26" ht="17.25" customHeight="1" x14ac:dyDescent="0.2">
      <c r="A31" s="135" t="s">
        <v>159</v>
      </c>
      <c r="B31" s="145" t="s">
        <v>160</v>
      </c>
      <c r="C31" s="145" t="s">
        <v>354</v>
      </c>
      <c r="D31" s="145" t="s">
        <v>161</v>
      </c>
      <c r="E31" s="178">
        <v>0</v>
      </c>
      <c r="F31" s="147">
        <v>46446</v>
      </c>
      <c r="G31" s="147">
        <v>46446</v>
      </c>
      <c r="H31" s="147">
        <v>46188</v>
      </c>
      <c r="I31" s="146">
        <v>0</v>
      </c>
      <c r="J31" s="146">
        <v>697</v>
      </c>
      <c r="K31" s="178">
        <v>610.61717199999998</v>
      </c>
      <c r="L31" s="146">
        <v>702</v>
      </c>
      <c r="M31" s="146">
        <v>697</v>
      </c>
      <c r="N31" s="178">
        <v>610.61717199999998</v>
      </c>
      <c r="O31" s="146">
        <v>3</v>
      </c>
      <c r="P31" s="146">
        <v>101</v>
      </c>
      <c r="Q31" s="146">
        <v>17636.852797704501</v>
      </c>
      <c r="R31" s="146"/>
      <c r="S31" s="146">
        <v>3</v>
      </c>
      <c r="T31" s="146">
        <v>2</v>
      </c>
      <c r="U31" s="178">
        <v>-1.0320272045261001</v>
      </c>
      <c r="V31" s="146">
        <v>95.6666666666667</v>
      </c>
      <c r="W31" s="145" t="s">
        <v>349</v>
      </c>
      <c r="X31" s="147">
        <v>45453</v>
      </c>
      <c r="Y31" s="147">
        <v>46273</v>
      </c>
      <c r="Z31" s="187">
        <v>45931</v>
      </c>
    </row>
    <row r="32" spans="1:26" ht="17.25" customHeight="1" x14ac:dyDescent="0.2">
      <c r="A32" s="135" t="s">
        <v>162</v>
      </c>
      <c r="B32" s="145" t="s">
        <v>163</v>
      </c>
      <c r="C32" s="145" t="s">
        <v>354</v>
      </c>
      <c r="D32" s="145" t="s">
        <v>161</v>
      </c>
      <c r="E32" s="178">
        <v>0</v>
      </c>
      <c r="F32" s="147">
        <v>46477</v>
      </c>
      <c r="G32" s="147">
        <v>46477</v>
      </c>
      <c r="H32" s="147">
        <v>46188</v>
      </c>
      <c r="I32" s="146">
        <v>0</v>
      </c>
      <c r="J32" s="146">
        <v>1500</v>
      </c>
      <c r="K32" s="178">
        <v>1182.335542</v>
      </c>
      <c r="L32" s="146">
        <v>1501</v>
      </c>
      <c r="M32" s="146">
        <v>1500</v>
      </c>
      <c r="N32" s="178">
        <v>1182.335542</v>
      </c>
      <c r="O32" s="146">
        <v>1</v>
      </c>
      <c r="P32" s="146">
        <v>58</v>
      </c>
      <c r="Q32" s="146">
        <v>18912.307560000001</v>
      </c>
      <c r="R32" s="146"/>
      <c r="S32" s="146">
        <v>1</v>
      </c>
      <c r="T32" s="146">
        <v>0</v>
      </c>
      <c r="U32" s="178"/>
      <c r="V32" s="146">
        <v>147</v>
      </c>
      <c r="W32" s="145" t="s">
        <v>349</v>
      </c>
      <c r="X32" s="147">
        <v>45883</v>
      </c>
      <c r="Y32" s="147">
        <v>46272</v>
      </c>
      <c r="Z32" s="187">
        <v>45931</v>
      </c>
    </row>
    <row r="33" spans="1:26" ht="17.25" customHeight="1" x14ac:dyDescent="0.2">
      <c r="A33" s="135" t="s">
        <v>164</v>
      </c>
      <c r="B33" s="145" t="s">
        <v>165</v>
      </c>
      <c r="C33" s="145" t="s">
        <v>355</v>
      </c>
      <c r="D33" s="145" t="s">
        <v>161</v>
      </c>
      <c r="E33" s="178">
        <v>4.34</v>
      </c>
      <c r="F33" s="147">
        <v>46507</v>
      </c>
      <c r="G33" s="147">
        <v>46507</v>
      </c>
      <c r="H33" s="147">
        <v>46188</v>
      </c>
      <c r="I33" s="146">
        <v>0</v>
      </c>
      <c r="J33" s="146"/>
      <c r="K33" s="178">
        <v>0</v>
      </c>
      <c r="L33" s="146"/>
      <c r="M33" s="146"/>
      <c r="N33" s="178">
        <v>0</v>
      </c>
      <c r="O33" s="146"/>
      <c r="P33" s="146"/>
      <c r="Q33" s="146"/>
      <c r="R33" s="146"/>
      <c r="S33" s="146"/>
      <c r="T33" s="146"/>
      <c r="U33" s="178"/>
      <c r="V33" s="146"/>
      <c r="W33" s="145" t="s">
        <v>349</v>
      </c>
      <c r="X33" s="147"/>
      <c r="Y33" s="147"/>
      <c r="Z33" s="187">
        <v>45809</v>
      </c>
    </row>
    <row r="34" spans="1:26" ht="17.25" customHeight="1" x14ac:dyDescent="0.2">
      <c r="A34" s="135" t="s">
        <v>166</v>
      </c>
      <c r="B34" s="145" t="s">
        <v>167</v>
      </c>
      <c r="C34" s="145" t="s">
        <v>343</v>
      </c>
      <c r="D34" s="145" t="s">
        <v>168</v>
      </c>
      <c r="E34" s="178">
        <v>0</v>
      </c>
      <c r="F34" s="147">
        <v>46538</v>
      </c>
      <c r="G34" s="147">
        <v>46538</v>
      </c>
      <c r="H34" s="147">
        <v>46188</v>
      </c>
      <c r="I34" s="146">
        <v>822</v>
      </c>
      <c r="J34" s="146">
        <v>805</v>
      </c>
      <c r="K34" s="178">
        <v>894.33987910999997</v>
      </c>
      <c r="L34" s="146">
        <v>808</v>
      </c>
      <c r="M34" s="146">
        <v>781</v>
      </c>
      <c r="N34" s="178">
        <v>871.33779111000001</v>
      </c>
      <c r="O34" s="146">
        <v>25</v>
      </c>
      <c r="P34" s="146">
        <v>6</v>
      </c>
      <c r="Q34" s="146">
        <v>17891.4784891165</v>
      </c>
      <c r="R34" s="146"/>
      <c r="S34" s="146">
        <v>1</v>
      </c>
      <c r="T34" s="146">
        <v>1</v>
      </c>
      <c r="U34" s="178">
        <v>-1.0638302399277699</v>
      </c>
      <c r="V34" s="146">
        <v>51</v>
      </c>
      <c r="W34" s="145" t="s">
        <v>349</v>
      </c>
      <c r="X34" s="147">
        <v>41330</v>
      </c>
      <c r="Y34" s="147">
        <v>46252</v>
      </c>
      <c r="Z34" s="187">
        <v>45809</v>
      </c>
    </row>
    <row r="35" spans="1:26" ht="17.25" customHeight="1" x14ac:dyDescent="0.2">
      <c r="A35" s="135" t="s">
        <v>169</v>
      </c>
      <c r="B35" s="145" t="s">
        <v>170</v>
      </c>
      <c r="C35" s="145" t="s">
        <v>356</v>
      </c>
      <c r="D35" s="145" t="s">
        <v>168</v>
      </c>
      <c r="E35" s="178">
        <v>0</v>
      </c>
      <c r="F35" s="147">
        <v>46553</v>
      </c>
      <c r="G35" s="147">
        <v>46553</v>
      </c>
      <c r="H35" s="147">
        <v>46188</v>
      </c>
      <c r="I35" s="146">
        <v>612</v>
      </c>
      <c r="J35" s="146">
        <v>562</v>
      </c>
      <c r="K35" s="178">
        <v>754.31105700000001</v>
      </c>
      <c r="L35" s="146">
        <v>563</v>
      </c>
      <c r="M35" s="146">
        <v>562</v>
      </c>
      <c r="N35" s="178">
        <v>754.31105700000001</v>
      </c>
      <c r="O35" s="146">
        <v>1</v>
      </c>
      <c r="P35" s="146">
        <v>15</v>
      </c>
      <c r="Q35" s="146">
        <v>18868.848202846999</v>
      </c>
      <c r="R35" s="146"/>
      <c r="S35" s="146">
        <v>7</v>
      </c>
      <c r="T35" s="146">
        <v>2</v>
      </c>
      <c r="U35" s="178">
        <v>4.04774310794601</v>
      </c>
      <c r="V35" s="146">
        <v>107.857142857143</v>
      </c>
      <c r="W35" s="145" t="s">
        <v>349</v>
      </c>
      <c r="X35" s="147">
        <v>45847</v>
      </c>
      <c r="Y35" s="147">
        <v>46272</v>
      </c>
      <c r="Z35" s="187">
        <v>45853</v>
      </c>
    </row>
    <row r="36" spans="1:26" ht="17.25" customHeight="1" x14ac:dyDescent="0.2">
      <c r="A36" s="135" t="s">
        <v>171</v>
      </c>
      <c r="B36" s="145" t="s">
        <v>172</v>
      </c>
      <c r="C36" s="145" t="s">
        <v>356</v>
      </c>
      <c r="D36" s="145" t="s">
        <v>168</v>
      </c>
      <c r="E36" s="178">
        <v>0</v>
      </c>
      <c r="F36" s="147">
        <v>46582</v>
      </c>
      <c r="G36" s="147">
        <v>46582</v>
      </c>
      <c r="H36" s="147">
        <v>46188</v>
      </c>
      <c r="I36" s="146">
        <v>844</v>
      </c>
      <c r="J36" s="146">
        <v>795</v>
      </c>
      <c r="K36" s="178">
        <v>1040.125215</v>
      </c>
      <c r="L36" s="146">
        <v>796</v>
      </c>
      <c r="M36" s="146">
        <v>795</v>
      </c>
      <c r="N36" s="178">
        <v>1040.125215</v>
      </c>
      <c r="O36" s="146">
        <v>1</v>
      </c>
      <c r="P36" s="146">
        <v>15</v>
      </c>
      <c r="Q36" s="146">
        <v>18242.598779874199</v>
      </c>
      <c r="R36" s="146"/>
      <c r="S36" s="146">
        <v>11</v>
      </c>
      <c r="T36" s="146">
        <v>6</v>
      </c>
      <c r="U36" s="178">
        <v>-0.77453465022128098</v>
      </c>
      <c r="V36" s="146">
        <v>136.272727272727</v>
      </c>
      <c r="W36" s="145" t="s">
        <v>349</v>
      </c>
      <c r="X36" s="147">
        <v>45847</v>
      </c>
      <c r="Y36" s="147">
        <v>46268</v>
      </c>
      <c r="Z36" s="187">
        <v>45853</v>
      </c>
    </row>
    <row r="37" spans="1:26" ht="17.25" customHeight="1" x14ac:dyDescent="0.2">
      <c r="A37" s="135" t="s">
        <v>357</v>
      </c>
      <c r="B37" s="145" t="s">
        <v>358</v>
      </c>
      <c r="C37" s="145" t="s">
        <v>359</v>
      </c>
      <c r="D37" s="145" t="s">
        <v>360</v>
      </c>
      <c r="E37" s="178">
        <v>100</v>
      </c>
      <c r="F37" s="147">
        <v>42351</v>
      </c>
      <c r="G37" s="147">
        <v>42351</v>
      </c>
      <c r="H37" s="147">
        <v>46188</v>
      </c>
      <c r="I37" s="146">
        <v>224</v>
      </c>
      <c r="J37" s="146">
        <v>214</v>
      </c>
      <c r="K37" s="178">
        <v>139.296537</v>
      </c>
      <c r="L37" s="146">
        <v>471</v>
      </c>
      <c r="M37" s="146">
        <v>22</v>
      </c>
      <c r="N37" s="178">
        <v>14.875999999999999</v>
      </c>
      <c r="O37" s="146">
        <v>42</v>
      </c>
      <c r="P37" s="146">
        <v>4</v>
      </c>
      <c r="Q37" s="146">
        <v>9244.7049999999999</v>
      </c>
      <c r="R37" s="146">
        <v>9</v>
      </c>
      <c r="S37" s="146"/>
      <c r="T37" s="146"/>
      <c r="U37" s="178"/>
      <c r="V37" s="146"/>
      <c r="W37" s="145" t="s">
        <v>342</v>
      </c>
      <c r="X37" s="147">
        <v>41758</v>
      </c>
      <c r="Y37" s="147">
        <v>46273</v>
      </c>
      <c r="Z37" s="187">
        <v>41791</v>
      </c>
    </row>
    <row r="38" spans="1:26" ht="17.25" customHeight="1" x14ac:dyDescent="0.2">
      <c r="A38" s="135" t="s">
        <v>361</v>
      </c>
      <c r="B38" s="145" t="s">
        <v>362</v>
      </c>
      <c r="C38" s="145" t="s">
        <v>359</v>
      </c>
      <c r="D38" s="145" t="s">
        <v>360</v>
      </c>
      <c r="E38" s="178">
        <v>100</v>
      </c>
      <c r="F38" s="147">
        <v>42845</v>
      </c>
      <c r="G38" s="147">
        <v>42845</v>
      </c>
      <c r="H38" s="147">
        <v>46188</v>
      </c>
      <c r="I38" s="146">
        <v>174</v>
      </c>
      <c r="J38" s="146">
        <v>154</v>
      </c>
      <c r="K38" s="178">
        <v>96.736435</v>
      </c>
      <c r="L38" s="146">
        <v>316</v>
      </c>
      <c r="M38" s="146">
        <v>18</v>
      </c>
      <c r="N38" s="178">
        <v>12.087999999999999</v>
      </c>
      <c r="O38" s="146">
        <v>17</v>
      </c>
      <c r="P38" s="146">
        <v>1</v>
      </c>
      <c r="Q38" s="146">
        <v>8508.7155555555601</v>
      </c>
      <c r="R38" s="146">
        <v>9</v>
      </c>
      <c r="S38" s="146"/>
      <c r="T38" s="146"/>
      <c r="U38" s="178"/>
      <c r="V38" s="146"/>
      <c r="W38" s="145" t="s">
        <v>342</v>
      </c>
      <c r="X38" s="147">
        <v>42108</v>
      </c>
      <c r="Y38" s="147">
        <v>46232</v>
      </c>
      <c r="Z38" s="187">
        <v>42114</v>
      </c>
    </row>
    <row r="39" spans="1:26" ht="17.25" customHeight="1" x14ac:dyDescent="0.2">
      <c r="A39" s="135" t="s">
        <v>363</v>
      </c>
      <c r="B39" s="145" t="s">
        <v>364</v>
      </c>
      <c r="C39" s="145" t="s">
        <v>359</v>
      </c>
      <c r="D39" s="145" t="s">
        <v>360</v>
      </c>
      <c r="E39" s="178">
        <v>100</v>
      </c>
      <c r="F39" s="147">
        <v>43739</v>
      </c>
      <c r="G39" s="147">
        <v>43739</v>
      </c>
      <c r="H39" s="147">
        <v>46188</v>
      </c>
      <c r="I39" s="146">
        <v>362</v>
      </c>
      <c r="J39" s="146">
        <v>321</v>
      </c>
      <c r="K39" s="178">
        <v>167.84515400000001</v>
      </c>
      <c r="L39" s="146">
        <v>654</v>
      </c>
      <c r="M39" s="146">
        <v>36</v>
      </c>
      <c r="N39" s="178">
        <v>24.244577</v>
      </c>
      <c r="O39" s="146">
        <v>31</v>
      </c>
      <c r="P39" s="146">
        <v>14</v>
      </c>
      <c r="Q39" s="146">
        <v>9556.6350000000002</v>
      </c>
      <c r="R39" s="146">
        <v>23</v>
      </c>
      <c r="S39" s="146"/>
      <c r="T39" s="146"/>
      <c r="U39" s="178"/>
      <c r="V39" s="146"/>
      <c r="W39" s="145" t="s">
        <v>342</v>
      </c>
      <c r="X39" s="147">
        <v>39245</v>
      </c>
      <c r="Y39" s="147">
        <v>46265</v>
      </c>
      <c r="Z39" s="187">
        <v>42896</v>
      </c>
    </row>
    <row r="40" spans="1:26" ht="17.25" customHeight="1" x14ac:dyDescent="0.2">
      <c r="A40" s="135" t="s">
        <v>365</v>
      </c>
      <c r="B40" s="145" t="s">
        <v>366</v>
      </c>
      <c r="C40" s="145" t="s">
        <v>341</v>
      </c>
      <c r="D40" s="145" t="s">
        <v>360</v>
      </c>
      <c r="E40" s="178">
        <v>100</v>
      </c>
      <c r="F40" s="147">
        <v>44286</v>
      </c>
      <c r="G40" s="147">
        <v>44286</v>
      </c>
      <c r="H40" s="147">
        <v>46188</v>
      </c>
      <c r="I40" s="146">
        <v>246</v>
      </c>
      <c r="J40" s="146">
        <v>184</v>
      </c>
      <c r="K40" s="178">
        <v>188.51323400000001</v>
      </c>
      <c r="L40" s="146">
        <v>370</v>
      </c>
      <c r="M40" s="146">
        <v>20</v>
      </c>
      <c r="N40" s="178">
        <v>28.121168000000001</v>
      </c>
      <c r="O40" s="146">
        <v>24</v>
      </c>
      <c r="P40" s="146">
        <v>3</v>
      </c>
      <c r="Q40" s="146">
        <v>17198.256000000001</v>
      </c>
      <c r="R40" s="146">
        <v>12</v>
      </c>
      <c r="S40" s="146">
        <v>14</v>
      </c>
      <c r="T40" s="146">
        <v>1</v>
      </c>
      <c r="U40" s="178">
        <v>38.3783760886813</v>
      </c>
      <c r="V40" s="146">
        <v>1339.2857142857099</v>
      </c>
      <c r="W40" s="145" t="s">
        <v>342</v>
      </c>
      <c r="X40" s="147">
        <v>42905</v>
      </c>
      <c r="Y40" s="147">
        <v>46226</v>
      </c>
      <c r="Z40" s="187">
        <v>43003</v>
      </c>
    </row>
    <row r="41" spans="1:26" ht="17.25" customHeight="1" x14ac:dyDescent="0.2">
      <c r="A41" s="135" t="s">
        <v>367</v>
      </c>
      <c r="B41" s="145" t="s">
        <v>368</v>
      </c>
      <c r="C41" s="145" t="s">
        <v>339</v>
      </c>
      <c r="D41" s="145" t="s">
        <v>360</v>
      </c>
      <c r="E41" s="178">
        <v>100</v>
      </c>
      <c r="F41" s="147">
        <v>44377</v>
      </c>
      <c r="G41" s="147">
        <v>44377</v>
      </c>
      <c r="H41" s="147">
        <v>46188</v>
      </c>
      <c r="I41" s="146">
        <v>182</v>
      </c>
      <c r="J41" s="146">
        <v>164</v>
      </c>
      <c r="K41" s="178">
        <v>112.63159400000001</v>
      </c>
      <c r="L41" s="146">
        <v>288</v>
      </c>
      <c r="M41" s="146">
        <v>10</v>
      </c>
      <c r="N41" s="178">
        <v>9.61</v>
      </c>
      <c r="O41" s="146">
        <v>22</v>
      </c>
      <c r="P41" s="146">
        <v>2</v>
      </c>
      <c r="Q41" s="146">
        <v>12592.022999999999</v>
      </c>
      <c r="R41" s="146">
        <v>10</v>
      </c>
      <c r="S41" s="146">
        <v>3</v>
      </c>
      <c r="T41" s="146">
        <v>0</v>
      </c>
      <c r="U41" s="178">
        <v>55.501309835675201</v>
      </c>
      <c r="V41" s="146">
        <v>1010</v>
      </c>
      <c r="W41" s="145" t="s">
        <v>342</v>
      </c>
      <c r="X41" s="147">
        <v>42639</v>
      </c>
      <c r="Y41" s="147">
        <v>46232</v>
      </c>
      <c r="Z41" s="187">
        <v>43480</v>
      </c>
    </row>
    <row r="42" spans="1:26" ht="17.25" customHeight="1" x14ac:dyDescent="0.2">
      <c r="A42" s="135" t="s">
        <v>369</v>
      </c>
      <c r="B42" s="145" t="s">
        <v>370</v>
      </c>
      <c r="C42" s="145" t="s">
        <v>343</v>
      </c>
      <c r="D42" s="145" t="s">
        <v>360</v>
      </c>
      <c r="E42" s="178">
        <v>100</v>
      </c>
      <c r="F42" s="147">
        <v>44578</v>
      </c>
      <c r="G42" s="147">
        <v>44578</v>
      </c>
      <c r="H42" s="147">
        <v>46188</v>
      </c>
      <c r="I42" s="146">
        <v>132</v>
      </c>
      <c r="J42" s="146">
        <v>117</v>
      </c>
      <c r="K42" s="178">
        <v>68.309415000000001</v>
      </c>
      <c r="L42" s="146">
        <v>227</v>
      </c>
      <c r="M42" s="146">
        <v>12</v>
      </c>
      <c r="N42" s="178">
        <v>11.425678</v>
      </c>
      <c r="O42" s="146">
        <v>21</v>
      </c>
      <c r="P42" s="146">
        <v>3</v>
      </c>
      <c r="Q42" s="146">
        <v>11444.9783333333</v>
      </c>
      <c r="R42" s="146">
        <v>7</v>
      </c>
      <c r="S42" s="146">
        <v>4</v>
      </c>
      <c r="T42" s="146">
        <v>0</v>
      </c>
      <c r="U42" s="178">
        <v>40.935935136765401</v>
      </c>
      <c r="V42" s="146">
        <v>596.25</v>
      </c>
      <c r="W42" s="145" t="s">
        <v>342</v>
      </c>
      <c r="X42" s="147">
        <v>43173</v>
      </c>
      <c r="Y42" s="147">
        <v>46204</v>
      </c>
      <c r="Z42" s="187">
        <v>44136</v>
      </c>
    </row>
    <row r="43" spans="1:26" ht="17.25" customHeight="1" x14ac:dyDescent="0.2">
      <c r="A43" s="135" t="s">
        <v>371</v>
      </c>
      <c r="B43" s="145" t="s">
        <v>372</v>
      </c>
      <c r="C43" s="145" t="s">
        <v>359</v>
      </c>
      <c r="D43" s="145" t="s">
        <v>360</v>
      </c>
      <c r="E43" s="178">
        <v>100</v>
      </c>
      <c r="F43" s="147">
        <v>44595</v>
      </c>
      <c r="G43" s="147">
        <v>44595</v>
      </c>
      <c r="H43" s="147">
        <v>46188</v>
      </c>
      <c r="I43" s="146">
        <v>127</v>
      </c>
      <c r="J43" s="146">
        <v>96</v>
      </c>
      <c r="K43" s="178">
        <v>50.893169</v>
      </c>
      <c r="L43" s="146">
        <v>187</v>
      </c>
      <c r="M43" s="146">
        <v>8</v>
      </c>
      <c r="N43" s="178">
        <v>6.5350000000000001</v>
      </c>
      <c r="O43" s="146">
        <v>10</v>
      </c>
      <c r="P43" s="146">
        <v>1</v>
      </c>
      <c r="Q43" s="146">
        <v>10895.2925</v>
      </c>
      <c r="R43" s="146">
        <v>9</v>
      </c>
      <c r="S43" s="146"/>
      <c r="T43" s="146"/>
      <c r="U43" s="178"/>
      <c r="V43" s="146"/>
      <c r="W43" s="145" t="s">
        <v>342</v>
      </c>
      <c r="X43" s="147">
        <v>40738</v>
      </c>
      <c r="Y43" s="147">
        <v>46260</v>
      </c>
      <c r="Z43" s="187">
        <v>43525</v>
      </c>
    </row>
    <row r="44" spans="1:26" ht="17.25" customHeight="1" x14ac:dyDescent="0.2">
      <c r="A44" s="135" t="s">
        <v>373</v>
      </c>
      <c r="B44" s="145" t="s">
        <v>374</v>
      </c>
      <c r="C44" s="145" t="s">
        <v>339</v>
      </c>
      <c r="D44" s="145" t="s">
        <v>360</v>
      </c>
      <c r="E44" s="178">
        <v>100</v>
      </c>
      <c r="F44" s="147">
        <v>44677</v>
      </c>
      <c r="G44" s="147">
        <v>44677</v>
      </c>
      <c r="H44" s="147">
        <v>46188</v>
      </c>
      <c r="I44" s="146">
        <v>639</v>
      </c>
      <c r="J44" s="146">
        <v>606</v>
      </c>
      <c r="K44" s="178">
        <v>439.974942</v>
      </c>
      <c r="L44" s="146">
        <v>943</v>
      </c>
      <c r="M44" s="146">
        <v>53</v>
      </c>
      <c r="N44" s="178">
        <v>67.370703000000006</v>
      </c>
      <c r="O44" s="146">
        <v>67</v>
      </c>
      <c r="P44" s="146">
        <v>11</v>
      </c>
      <c r="Q44" s="146">
        <v>14784.430754716999</v>
      </c>
      <c r="R44" s="146">
        <v>43</v>
      </c>
      <c r="S44" s="146">
        <v>8</v>
      </c>
      <c r="T44" s="146">
        <v>0</v>
      </c>
      <c r="U44" s="178">
        <v>40.3879656819459</v>
      </c>
      <c r="V44" s="146">
        <v>816.5</v>
      </c>
      <c r="W44" s="145" t="s">
        <v>342</v>
      </c>
      <c r="X44" s="147">
        <v>42639</v>
      </c>
      <c r="Y44" s="147">
        <v>46272</v>
      </c>
      <c r="Z44" s="187">
        <v>43739</v>
      </c>
    </row>
    <row r="45" spans="1:26" ht="17.25" customHeight="1" x14ac:dyDescent="0.2">
      <c r="A45" s="135" t="s">
        <v>375</v>
      </c>
      <c r="B45" s="145" t="s">
        <v>376</v>
      </c>
      <c r="C45" s="145" t="s">
        <v>343</v>
      </c>
      <c r="D45" s="145" t="s">
        <v>360</v>
      </c>
      <c r="E45" s="178">
        <v>100</v>
      </c>
      <c r="F45" s="147">
        <v>44681</v>
      </c>
      <c r="G45" s="147">
        <v>44681</v>
      </c>
      <c r="H45" s="147">
        <v>46188</v>
      </c>
      <c r="I45" s="146">
        <v>171</v>
      </c>
      <c r="J45" s="146">
        <v>162</v>
      </c>
      <c r="K45" s="178">
        <v>105.057551</v>
      </c>
      <c r="L45" s="146">
        <v>253</v>
      </c>
      <c r="M45" s="146">
        <v>8</v>
      </c>
      <c r="N45" s="178">
        <v>7.2530000000000001</v>
      </c>
      <c r="O45" s="146">
        <v>23</v>
      </c>
      <c r="P45" s="146">
        <v>1</v>
      </c>
      <c r="Q45" s="146">
        <v>12498.668750000001</v>
      </c>
      <c r="R45" s="146">
        <v>7</v>
      </c>
      <c r="S45" s="146">
        <v>6</v>
      </c>
      <c r="T45" s="146">
        <v>0</v>
      </c>
      <c r="U45" s="178">
        <v>33.345654740307303</v>
      </c>
      <c r="V45" s="146">
        <v>886.16666666666697</v>
      </c>
      <c r="W45" s="145" t="s">
        <v>342</v>
      </c>
      <c r="X45" s="147">
        <v>44446</v>
      </c>
      <c r="Y45" s="147">
        <v>46261</v>
      </c>
      <c r="Z45" s="187">
        <v>44287</v>
      </c>
    </row>
    <row r="46" spans="1:26" ht="17.25" customHeight="1" x14ac:dyDescent="0.2">
      <c r="A46" s="135" t="s">
        <v>377</v>
      </c>
      <c r="B46" s="145" t="s">
        <v>378</v>
      </c>
      <c r="C46" s="145" t="s">
        <v>343</v>
      </c>
      <c r="D46" s="145" t="s">
        <v>360</v>
      </c>
      <c r="E46" s="178">
        <v>100</v>
      </c>
      <c r="F46" s="147">
        <v>44731</v>
      </c>
      <c r="G46" s="147">
        <v>44731</v>
      </c>
      <c r="H46" s="147">
        <v>46188</v>
      </c>
      <c r="I46" s="146">
        <v>160</v>
      </c>
      <c r="J46" s="146">
        <v>151</v>
      </c>
      <c r="K46" s="178">
        <v>89.125945999999999</v>
      </c>
      <c r="L46" s="146">
        <v>245</v>
      </c>
      <c r="M46" s="146">
        <v>11</v>
      </c>
      <c r="N46" s="178">
        <v>10.61</v>
      </c>
      <c r="O46" s="146">
        <v>21</v>
      </c>
      <c r="P46" s="146">
        <v>0</v>
      </c>
      <c r="Q46" s="146">
        <v>11977.198181818199</v>
      </c>
      <c r="R46" s="146">
        <v>10</v>
      </c>
      <c r="S46" s="146">
        <v>8</v>
      </c>
      <c r="T46" s="146">
        <v>0</v>
      </c>
      <c r="U46" s="178">
        <v>38.324645459459099</v>
      </c>
      <c r="V46" s="146">
        <v>903.875</v>
      </c>
      <c r="W46" s="145" t="s">
        <v>342</v>
      </c>
      <c r="X46" s="147">
        <v>42410</v>
      </c>
      <c r="Y46" s="147">
        <v>46135</v>
      </c>
      <c r="Z46" s="187">
        <v>44206</v>
      </c>
    </row>
    <row r="47" spans="1:26" ht="17.25" customHeight="1" x14ac:dyDescent="0.2">
      <c r="A47" s="135" t="s">
        <v>379</v>
      </c>
      <c r="B47" s="145" t="s">
        <v>380</v>
      </c>
      <c r="C47" s="145" t="s">
        <v>343</v>
      </c>
      <c r="D47" s="145" t="s">
        <v>360</v>
      </c>
      <c r="E47" s="178">
        <v>100</v>
      </c>
      <c r="F47" s="147">
        <v>44742</v>
      </c>
      <c r="G47" s="147">
        <v>44742</v>
      </c>
      <c r="H47" s="147">
        <v>46188</v>
      </c>
      <c r="I47" s="146">
        <v>77</v>
      </c>
      <c r="J47" s="146">
        <v>73</v>
      </c>
      <c r="K47" s="178">
        <v>45.081090000000003</v>
      </c>
      <c r="L47" s="146">
        <v>126</v>
      </c>
      <c r="M47" s="146">
        <v>5</v>
      </c>
      <c r="N47" s="178">
        <v>4.96</v>
      </c>
      <c r="O47" s="146">
        <v>6</v>
      </c>
      <c r="P47" s="146">
        <v>0</v>
      </c>
      <c r="Q47" s="146">
        <v>10909.226000000001</v>
      </c>
      <c r="R47" s="146">
        <v>4</v>
      </c>
      <c r="S47" s="146">
        <v>1</v>
      </c>
      <c r="T47" s="146">
        <v>0</v>
      </c>
      <c r="U47" s="178">
        <v>45.804676753782701</v>
      </c>
      <c r="V47" s="146">
        <v>1373</v>
      </c>
      <c r="W47" s="145" t="s">
        <v>342</v>
      </c>
      <c r="X47" s="147">
        <v>43199</v>
      </c>
      <c r="Y47" s="147">
        <v>46055</v>
      </c>
      <c r="Z47" s="187">
        <v>44294</v>
      </c>
    </row>
    <row r="48" spans="1:26" ht="17.25" customHeight="1" x14ac:dyDescent="0.2">
      <c r="A48" s="135" t="s">
        <v>381</v>
      </c>
      <c r="B48" s="145" t="s">
        <v>382</v>
      </c>
      <c r="C48" s="145" t="s">
        <v>343</v>
      </c>
      <c r="D48" s="145" t="s">
        <v>360</v>
      </c>
      <c r="E48" s="178">
        <v>100</v>
      </c>
      <c r="F48" s="147">
        <v>44957</v>
      </c>
      <c r="G48" s="147">
        <v>44957</v>
      </c>
      <c r="H48" s="147">
        <v>46188</v>
      </c>
      <c r="I48" s="146">
        <v>92</v>
      </c>
      <c r="J48" s="146">
        <v>92</v>
      </c>
      <c r="K48" s="178">
        <v>51.733674999999998</v>
      </c>
      <c r="L48" s="146">
        <v>155</v>
      </c>
      <c r="M48" s="146">
        <v>9</v>
      </c>
      <c r="N48" s="178">
        <v>8.7934490000000007</v>
      </c>
      <c r="O48" s="146">
        <v>10</v>
      </c>
      <c r="P48" s="146">
        <v>1</v>
      </c>
      <c r="Q48" s="146">
        <v>12736.096666666699</v>
      </c>
      <c r="R48" s="146">
        <v>6</v>
      </c>
      <c r="S48" s="146">
        <v>1</v>
      </c>
      <c r="T48" s="146">
        <v>0</v>
      </c>
      <c r="U48" s="178">
        <v>52.631578947368403</v>
      </c>
      <c r="V48" s="146">
        <v>1101</v>
      </c>
      <c r="W48" s="145" t="s">
        <v>342</v>
      </c>
      <c r="X48" s="147">
        <v>44553</v>
      </c>
      <c r="Y48" s="147">
        <v>46189</v>
      </c>
      <c r="Z48" s="187">
        <v>44562</v>
      </c>
    </row>
    <row r="49" spans="1:26" ht="17.25" customHeight="1" x14ac:dyDescent="0.2">
      <c r="A49" s="135" t="s">
        <v>383</v>
      </c>
      <c r="B49" s="145" t="s">
        <v>384</v>
      </c>
      <c r="C49" s="145" t="s">
        <v>339</v>
      </c>
      <c r="D49" s="145" t="s">
        <v>360</v>
      </c>
      <c r="E49" s="178">
        <v>100</v>
      </c>
      <c r="F49" s="147">
        <v>45046</v>
      </c>
      <c r="G49" s="147">
        <v>45046</v>
      </c>
      <c r="H49" s="147">
        <v>46188</v>
      </c>
      <c r="I49" s="146">
        <v>335</v>
      </c>
      <c r="J49" s="146">
        <v>328</v>
      </c>
      <c r="K49" s="178">
        <v>312.050183</v>
      </c>
      <c r="L49" s="146">
        <v>496</v>
      </c>
      <c r="M49" s="146">
        <v>23</v>
      </c>
      <c r="N49" s="178">
        <v>35.832500000000003</v>
      </c>
      <c r="O49" s="146">
        <v>44</v>
      </c>
      <c r="P49" s="146">
        <v>1</v>
      </c>
      <c r="Q49" s="146">
        <v>15575.2395652174</v>
      </c>
      <c r="R49" s="146">
        <v>17</v>
      </c>
      <c r="S49" s="146">
        <v>6</v>
      </c>
      <c r="T49" s="146">
        <v>2</v>
      </c>
      <c r="U49" s="178">
        <v>6.1578300599141302</v>
      </c>
      <c r="V49" s="146">
        <v>483.5</v>
      </c>
      <c r="W49" s="145" t="s">
        <v>342</v>
      </c>
      <c r="X49" s="147">
        <v>43474</v>
      </c>
      <c r="Y49" s="147">
        <v>46198</v>
      </c>
      <c r="Z49" s="187">
        <v>44599</v>
      </c>
    </row>
    <row r="50" spans="1:26" ht="17.25" customHeight="1" x14ac:dyDescent="0.2">
      <c r="A50" s="135" t="s">
        <v>385</v>
      </c>
      <c r="B50" s="145" t="s">
        <v>386</v>
      </c>
      <c r="C50" s="145" t="s">
        <v>341</v>
      </c>
      <c r="D50" s="145" t="s">
        <v>360</v>
      </c>
      <c r="E50" s="178">
        <v>100</v>
      </c>
      <c r="F50" s="147">
        <v>45107</v>
      </c>
      <c r="G50" s="147">
        <v>45107</v>
      </c>
      <c r="H50" s="147">
        <v>46188</v>
      </c>
      <c r="I50" s="146">
        <v>306</v>
      </c>
      <c r="J50" s="146">
        <v>312</v>
      </c>
      <c r="K50" s="178">
        <v>402.194636</v>
      </c>
      <c r="L50" s="146">
        <v>442</v>
      </c>
      <c r="M50" s="146">
        <v>33</v>
      </c>
      <c r="N50" s="178">
        <v>66.068657000000002</v>
      </c>
      <c r="O50" s="146">
        <v>32</v>
      </c>
      <c r="P50" s="146">
        <v>5</v>
      </c>
      <c r="Q50" s="146">
        <v>22224.132424242402</v>
      </c>
      <c r="R50" s="146">
        <v>13</v>
      </c>
      <c r="S50" s="146">
        <v>5</v>
      </c>
      <c r="T50" s="146">
        <v>0</v>
      </c>
      <c r="U50" s="178">
        <v>20.333609096632099</v>
      </c>
      <c r="V50" s="146">
        <v>691</v>
      </c>
      <c r="W50" s="145" t="s">
        <v>342</v>
      </c>
      <c r="X50" s="147">
        <v>41808</v>
      </c>
      <c r="Y50" s="147">
        <v>46269</v>
      </c>
      <c r="Z50" s="187">
        <v>44589</v>
      </c>
    </row>
    <row r="51" spans="1:26" ht="17.25" customHeight="1" x14ac:dyDescent="0.2">
      <c r="A51" s="135" t="s">
        <v>387</v>
      </c>
      <c r="B51" s="145" t="s">
        <v>388</v>
      </c>
      <c r="C51" s="145" t="s">
        <v>343</v>
      </c>
      <c r="D51" s="145" t="s">
        <v>360</v>
      </c>
      <c r="E51" s="178">
        <v>100</v>
      </c>
      <c r="F51" s="147">
        <v>45153</v>
      </c>
      <c r="G51" s="147">
        <v>45153</v>
      </c>
      <c r="H51" s="147">
        <v>46188</v>
      </c>
      <c r="I51" s="146">
        <v>366</v>
      </c>
      <c r="J51" s="146">
        <v>413</v>
      </c>
      <c r="K51" s="178">
        <v>274.57545599999997</v>
      </c>
      <c r="L51" s="146">
        <v>595</v>
      </c>
      <c r="M51" s="146">
        <v>33</v>
      </c>
      <c r="N51" s="178">
        <v>39.020000000000003</v>
      </c>
      <c r="O51" s="146">
        <v>41</v>
      </c>
      <c r="P51" s="146">
        <v>7</v>
      </c>
      <c r="Q51" s="146">
        <v>14486.054848484901</v>
      </c>
      <c r="R51" s="146">
        <v>27</v>
      </c>
      <c r="S51" s="146">
        <v>5</v>
      </c>
      <c r="T51" s="146">
        <v>3</v>
      </c>
      <c r="U51" s="178">
        <v>9.0599132978767702</v>
      </c>
      <c r="V51" s="146">
        <v>388.2</v>
      </c>
      <c r="W51" s="145" t="s">
        <v>342</v>
      </c>
      <c r="X51" s="147">
        <v>41904</v>
      </c>
      <c r="Y51" s="147">
        <v>46272</v>
      </c>
      <c r="Z51" s="187">
        <v>44725</v>
      </c>
    </row>
    <row r="52" spans="1:26" ht="17.25" customHeight="1" x14ac:dyDescent="0.2">
      <c r="A52" s="135" t="s">
        <v>389</v>
      </c>
      <c r="B52" s="145" t="s">
        <v>390</v>
      </c>
      <c r="C52" s="145" t="s">
        <v>343</v>
      </c>
      <c r="D52" s="145" t="s">
        <v>360</v>
      </c>
      <c r="E52" s="178">
        <v>100</v>
      </c>
      <c r="F52" s="147">
        <v>45225</v>
      </c>
      <c r="G52" s="147">
        <v>45225</v>
      </c>
      <c r="H52" s="147">
        <v>46188</v>
      </c>
      <c r="I52" s="146">
        <v>170</v>
      </c>
      <c r="J52" s="146">
        <v>170</v>
      </c>
      <c r="K52" s="178">
        <v>166.859858</v>
      </c>
      <c r="L52" s="146">
        <v>261</v>
      </c>
      <c r="M52" s="146">
        <v>18</v>
      </c>
      <c r="N52" s="178">
        <v>24.581900000000001</v>
      </c>
      <c r="O52" s="146">
        <v>26</v>
      </c>
      <c r="P52" s="146">
        <v>3</v>
      </c>
      <c r="Q52" s="146">
        <v>13802.924999999999</v>
      </c>
      <c r="R52" s="146">
        <v>14</v>
      </c>
      <c r="S52" s="146">
        <v>7</v>
      </c>
      <c r="T52" s="146">
        <v>2</v>
      </c>
      <c r="U52" s="178">
        <v>12.476240482046601</v>
      </c>
      <c r="V52" s="146">
        <v>543</v>
      </c>
      <c r="W52" s="145" t="s">
        <v>342</v>
      </c>
      <c r="X52" s="147">
        <v>42544</v>
      </c>
      <c r="Y52" s="147">
        <v>46268</v>
      </c>
      <c r="Z52" s="187">
        <v>44849</v>
      </c>
    </row>
    <row r="53" spans="1:26" ht="17.25" customHeight="1" x14ac:dyDescent="0.2">
      <c r="A53" s="135" t="s">
        <v>391</v>
      </c>
      <c r="B53" s="145" t="s">
        <v>392</v>
      </c>
      <c r="C53" s="145" t="s">
        <v>343</v>
      </c>
      <c r="D53" s="145" t="s">
        <v>360</v>
      </c>
      <c r="E53" s="178">
        <v>100</v>
      </c>
      <c r="F53" s="147">
        <v>45230</v>
      </c>
      <c r="G53" s="147">
        <v>45230</v>
      </c>
      <c r="H53" s="147">
        <v>46188</v>
      </c>
      <c r="I53" s="146">
        <v>212</v>
      </c>
      <c r="J53" s="146">
        <v>235</v>
      </c>
      <c r="K53" s="178">
        <v>155.51243600000001</v>
      </c>
      <c r="L53" s="146">
        <v>336</v>
      </c>
      <c r="M53" s="146">
        <v>9</v>
      </c>
      <c r="N53" s="178">
        <v>8.5359999999999996</v>
      </c>
      <c r="O53" s="146">
        <v>31</v>
      </c>
      <c r="P53" s="146">
        <v>3</v>
      </c>
      <c r="Q53" s="146">
        <v>13768.526666666699</v>
      </c>
      <c r="R53" s="146">
        <v>12</v>
      </c>
      <c r="S53" s="146">
        <v>10</v>
      </c>
      <c r="T53" s="146">
        <v>4</v>
      </c>
      <c r="U53" s="178">
        <v>6.0919850824044799</v>
      </c>
      <c r="V53" s="146">
        <v>445</v>
      </c>
      <c r="W53" s="145" t="s">
        <v>342</v>
      </c>
      <c r="X53" s="147">
        <v>41820</v>
      </c>
      <c r="Y53" s="147">
        <v>46267</v>
      </c>
      <c r="Z53" s="187">
        <v>44805</v>
      </c>
    </row>
    <row r="54" spans="1:26" ht="17.25" customHeight="1" x14ac:dyDescent="0.2">
      <c r="A54" s="135" t="s">
        <v>393</v>
      </c>
      <c r="B54" s="145" t="s">
        <v>394</v>
      </c>
      <c r="C54" s="145" t="s">
        <v>343</v>
      </c>
      <c r="D54" s="145" t="s">
        <v>360</v>
      </c>
      <c r="E54" s="178">
        <v>100</v>
      </c>
      <c r="F54" s="147">
        <v>45230</v>
      </c>
      <c r="G54" s="147">
        <v>45230</v>
      </c>
      <c r="H54" s="147">
        <v>46188</v>
      </c>
      <c r="I54" s="146">
        <v>211</v>
      </c>
      <c r="J54" s="146">
        <v>217</v>
      </c>
      <c r="K54" s="178">
        <v>144.29467500000001</v>
      </c>
      <c r="L54" s="146">
        <v>333</v>
      </c>
      <c r="M54" s="146">
        <v>13</v>
      </c>
      <c r="N54" s="178">
        <v>11.600699000000001</v>
      </c>
      <c r="O54" s="146">
        <v>45</v>
      </c>
      <c r="P54" s="146">
        <v>3</v>
      </c>
      <c r="Q54" s="146">
        <v>14701.633076923101</v>
      </c>
      <c r="R54" s="146">
        <v>2</v>
      </c>
      <c r="S54" s="146">
        <v>10</v>
      </c>
      <c r="T54" s="146">
        <v>1</v>
      </c>
      <c r="U54" s="178">
        <v>10.7873635977523</v>
      </c>
      <c r="V54" s="146">
        <v>366.2</v>
      </c>
      <c r="W54" s="145" t="s">
        <v>342</v>
      </c>
      <c r="X54" s="147">
        <v>39701</v>
      </c>
      <c r="Y54" s="147">
        <v>46272</v>
      </c>
      <c r="Z54" s="187">
        <v>44819</v>
      </c>
    </row>
    <row r="55" spans="1:26" ht="17.25" customHeight="1" x14ac:dyDescent="0.2">
      <c r="A55" s="135" t="s">
        <v>395</v>
      </c>
      <c r="B55" s="145" t="s">
        <v>396</v>
      </c>
      <c r="C55" s="145" t="s">
        <v>343</v>
      </c>
      <c r="D55" s="145" t="s">
        <v>360</v>
      </c>
      <c r="E55" s="178">
        <v>100</v>
      </c>
      <c r="F55" s="147">
        <v>45230</v>
      </c>
      <c r="G55" s="147">
        <v>45230</v>
      </c>
      <c r="H55" s="147">
        <v>46188</v>
      </c>
      <c r="I55" s="146">
        <v>171</v>
      </c>
      <c r="J55" s="146">
        <v>180</v>
      </c>
      <c r="K55" s="178">
        <v>136.59610699999999</v>
      </c>
      <c r="L55" s="146">
        <v>296</v>
      </c>
      <c r="M55" s="146">
        <v>25</v>
      </c>
      <c r="N55" s="178">
        <v>28.43</v>
      </c>
      <c r="O55" s="146">
        <v>17</v>
      </c>
      <c r="P55" s="146">
        <v>2</v>
      </c>
      <c r="Q55" s="146">
        <v>14714.6504</v>
      </c>
      <c r="R55" s="146">
        <v>12</v>
      </c>
      <c r="S55" s="146">
        <v>2</v>
      </c>
      <c r="T55" s="146">
        <v>0</v>
      </c>
      <c r="U55" s="178">
        <v>25.6415669716162</v>
      </c>
      <c r="V55" s="146">
        <v>553</v>
      </c>
      <c r="W55" s="145" t="s">
        <v>342</v>
      </c>
      <c r="X55" s="147">
        <v>43517</v>
      </c>
      <c r="Y55" s="147">
        <v>46247</v>
      </c>
      <c r="Z55" s="187">
        <v>44819</v>
      </c>
    </row>
    <row r="56" spans="1:26" ht="17.25" customHeight="1" x14ac:dyDescent="0.2">
      <c r="A56" s="135" t="s">
        <v>397</v>
      </c>
      <c r="B56" s="145" t="s">
        <v>398</v>
      </c>
      <c r="C56" s="145" t="s">
        <v>343</v>
      </c>
      <c r="D56" s="145" t="s">
        <v>360</v>
      </c>
      <c r="E56" s="178">
        <v>100</v>
      </c>
      <c r="F56" s="147">
        <v>45350</v>
      </c>
      <c r="G56" s="147">
        <v>45350</v>
      </c>
      <c r="H56" s="147">
        <v>46188</v>
      </c>
      <c r="I56" s="146">
        <v>328</v>
      </c>
      <c r="J56" s="146">
        <v>361</v>
      </c>
      <c r="K56" s="178">
        <v>294.91540900000001</v>
      </c>
      <c r="L56" s="146">
        <v>507</v>
      </c>
      <c r="M56" s="146">
        <v>29</v>
      </c>
      <c r="N56" s="178">
        <v>33.216265</v>
      </c>
      <c r="O56" s="146">
        <v>110</v>
      </c>
      <c r="P56" s="146">
        <v>3</v>
      </c>
      <c r="Q56" s="146">
        <v>16682.217931034502</v>
      </c>
      <c r="R56" s="146">
        <v>15</v>
      </c>
      <c r="S56" s="146">
        <v>7</v>
      </c>
      <c r="T56" s="146">
        <v>2</v>
      </c>
      <c r="U56" s="178">
        <v>9.0548531486332902</v>
      </c>
      <c r="V56" s="146">
        <v>236.57142857142901</v>
      </c>
      <c r="W56" s="145" t="s">
        <v>342</v>
      </c>
      <c r="X56" s="147">
        <v>39629</v>
      </c>
      <c r="Y56" s="147">
        <v>46231</v>
      </c>
      <c r="Z56" s="187">
        <v>44910</v>
      </c>
    </row>
    <row r="57" spans="1:26" ht="17.25" customHeight="1" x14ac:dyDescent="0.2">
      <c r="A57" s="135" t="s">
        <v>399</v>
      </c>
      <c r="B57" s="145" t="s">
        <v>400</v>
      </c>
      <c r="C57" s="145" t="s">
        <v>343</v>
      </c>
      <c r="D57" s="145" t="s">
        <v>360</v>
      </c>
      <c r="E57" s="178">
        <v>100</v>
      </c>
      <c r="F57" s="147">
        <v>45382</v>
      </c>
      <c r="G57" s="147">
        <v>45382</v>
      </c>
      <c r="H57" s="147">
        <v>46188</v>
      </c>
      <c r="I57" s="146">
        <v>727</v>
      </c>
      <c r="J57" s="146">
        <v>829</v>
      </c>
      <c r="K57" s="178">
        <v>603.95998799999995</v>
      </c>
      <c r="L57" s="146">
        <v>1111</v>
      </c>
      <c r="M57" s="146">
        <v>61</v>
      </c>
      <c r="N57" s="178">
        <v>66.330326999999997</v>
      </c>
      <c r="O57" s="146">
        <v>207</v>
      </c>
      <c r="P57" s="146">
        <v>17</v>
      </c>
      <c r="Q57" s="146">
        <v>14685.5318032787</v>
      </c>
      <c r="R57" s="146">
        <v>32</v>
      </c>
      <c r="S57" s="146">
        <v>4</v>
      </c>
      <c r="T57" s="146">
        <v>0</v>
      </c>
      <c r="U57" s="178">
        <v>79.677062517841904</v>
      </c>
      <c r="V57" s="146">
        <v>746.25</v>
      </c>
      <c r="W57" s="145" t="s">
        <v>342</v>
      </c>
      <c r="X57" s="147">
        <v>39651</v>
      </c>
      <c r="Y57" s="147">
        <v>46273</v>
      </c>
      <c r="Z57" s="187">
        <v>44835</v>
      </c>
    </row>
    <row r="58" spans="1:26" ht="17.25" customHeight="1" x14ac:dyDescent="0.2">
      <c r="A58" s="135" t="s">
        <v>401</v>
      </c>
      <c r="B58" s="145" t="s">
        <v>402</v>
      </c>
      <c r="C58" s="145" t="s">
        <v>341</v>
      </c>
      <c r="D58" s="145" t="s">
        <v>360</v>
      </c>
      <c r="E58" s="178">
        <v>100</v>
      </c>
      <c r="F58" s="147">
        <v>45473</v>
      </c>
      <c r="G58" s="147">
        <v>45473</v>
      </c>
      <c r="H58" s="147">
        <v>46188</v>
      </c>
      <c r="I58" s="146">
        <v>369</v>
      </c>
      <c r="J58" s="146">
        <v>356</v>
      </c>
      <c r="K58" s="178">
        <v>658.73947699999997</v>
      </c>
      <c r="L58" s="146">
        <v>418</v>
      </c>
      <c r="M58" s="146">
        <v>40</v>
      </c>
      <c r="N58" s="178">
        <v>71.740578999999997</v>
      </c>
      <c r="O58" s="146">
        <v>52</v>
      </c>
      <c r="P58" s="146">
        <v>5</v>
      </c>
      <c r="Q58" s="146">
        <v>27104.158500000001</v>
      </c>
      <c r="R58" s="146">
        <v>8</v>
      </c>
      <c r="S58" s="146">
        <v>12</v>
      </c>
      <c r="T58" s="146">
        <v>7</v>
      </c>
      <c r="U58" s="178">
        <v>-0.25752646965862402</v>
      </c>
      <c r="V58" s="146">
        <v>200.666666666667</v>
      </c>
      <c r="W58" s="145" t="s">
        <v>342</v>
      </c>
      <c r="X58" s="147">
        <v>44924</v>
      </c>
      <c r="Y58" s="147">
        <v>46273</v>
      </c>
      <c r="Z58" s="187">
        <v>44927</v>
      </c>
    </row>
    <row r="59" spans="1:26" ht="17.25" customHeight="1" x14ac:dyDescent="0.2">
      <c r="A59" s="135" t="s">
        <v>403</v>
      </c>
      <c r="B59" s="145" t="s">
        <v>404</v>
      </c>
      <c r="C59" s="145" t="s">
        <v>343</v>
      </c>
      <c r="D59" s="145" t="s">
        <v>360</v>
      </c>
      <c r="E59" s="178">
        <v>100</v>
      </c>
      <c r="F59" s="147">
        <v>45498</v>
      </c>
      <c r="G59" s="147">
        <v>45498</v>
      </c>
      <c r="H59" s="147">
        <v>46188</v>
      </c>
      <c r="I59" s="146">
        <v>308</v>
      </c>
      <c r="J59" s="146">
        <v>319</v>
      </c>
      <c r="K59" s="178">
        <v>297.94362000000001</v>
      </c>
      <c r="L59" s="146">
        <v>404</v>
      </c>
      <c r="M59" s="146">
        <v>43</v>
      </c>
      <c r="N59" s="178">
        <v>45.656999999999996</v>
      </c>
      <c r="O59" s="146">
        <v>53</v>
      </c>
      <c r="P59" s="146">
        <v>7</v>
      </c>
      <c r="Q59" s="146">
        <v>17125.6211627907</v>
      </c>
      <c r="R59" s="146">
        <v>31</v>
      </c>
      <c r="S59" s="146">
        <v>13</v>
      </c>
      <c r="T59" s="146">
        <v>3</v>
      </c>
      <c r="U59" s="178">
        <v>7.7872027761874101</v>
      </c>
      <c r="V59" s="146">
        <v>213</v>
      </c>
      <c r="W59" s="145" t="s">
        <v>349</v>
      </c>
      <c r="X59" s="147">
        <v>39652</v>
      </c>
      <c r="Y59" s="147">
        <v>46252</v>
      </c>
      <c r="Z59" s="187">
        <v>45071</v>
      </c>
    </row>
    <row r="60" spans="1:26" ht="17.25" customHeight="1" x14ac:dyDescent="0.2">
      <c r="A60" s="135" t="s">
        <v>405</v>
      </c>
      <c r="B60" s="145" t="s">
        <v>406</v>
      </c>
      <c r="C60" s="145" t="s">
        <v>343</v>
      </c>
      <c r="D60" s="145" t="s">
        <v>360</v>
      </c>
      <c r="E60" s="178">
        <v>100</v>
      </c>
      <c r="F60" s="147">
        <v>45498</v>
      </c>
      <c r="G60" s="147">
        <v>45498</v>
      </c>
      <c r="H60" s="147">
        <v>46188</v>
      </c>
      <c r="I60" s="146">
        <v>294</v>
      </c>
      <c r="J60" s="146">
        <v>293</v>
      </c>
      <c r="K60" s="178">
        <v>264.96049799999997</v>
      </c>
      <c r="L60" s="146">
        <v>390</v>
      </c>
      <c r="M60" s="146">
        <v>41</v>
      </c>
      <c r="N60" s="178">
        <v>43.271850000000001</v>
      </c>
      <c r="O60" s="146">
        <v>63</v>
      </c>
      <c r="P60" s="146">
        <v>11</v>
      </c>
      <c r="Q60" s="146">
        <v>16811.979024390199</v>
      </c>
      <c r="R60" s="146">
        <v>25</v>
      </c>
      <c r="S60" s="146">
        <v>5</v>
      </c>
      <c r="T60" s="146">
        <v>3</v>
      </c>
      <c r="U60" s="178">
        <v>-5.5898381346673602</v>
      </c>
      <c r="V60" s="146">
        <v>228.2</v>
      </c>
      <c r="W60" s="145" t="s">
        <v>349</v>
      </c>
      <c r="X60" s="147">
        <v>42382</v>
      </c>
      <c r="Y60" s="147">
        <v>46273</v>
      </c>
      <c r="Z60" s="187">
        <v>45061</v>
      </c>
    </row>
    <row r="61" spans="1:26" ht="17.25" customHeight="1" x14ac:dyDescent="0.2">
      <c r="A61" s="135" t="s">
        <v>407</v>
      </c>
      <c r="B61" s="145" t="s">
        <v>408</v>
      </c>
      <c r="C61" s="145" t="s">
        <v>343</v>
      </c>
      <c r="D61" s="145" t="s">
        <v>360</v>
      </c>
      <c r="E61" s="178">
        <v>100</v>
      </c>
      <c r="F61" s="147">
        <v>45535</v>
      </c>
      <c r="G61" s="147">
        <v>45535</v>
      </c>
      <c r="H61" s="147">
        <v>46188</v>
      </c>
      <c r="I61" s="146">
        <v>191</v>
      </c>
      <c r="J61" s="146">
        <v>204</v>
      </c>
      <c r="K61" s="178">
        <v>171.00200000000001</v>
      </c>
      <c r="L61" s="146">
        <v>263</v>
      </c>
      <c r="M61" s="146">
        <v>18</v>
      </c>
      <c r="N61" s="178">
        <v>17.79</v>
      </c>
      <c r="O61" s="146">
        <v>45</v>
      </c>
      <c r="P61" s="146">
        <v>5</v>
      </c>
      <c r="Q61" s="146">
        <v>16591.895555555599</v>
      </c>
      <c r="R61" s="146">
        <v>14</v>
      </c>
      <c r="S61" s="146">
        <v>2</v>
      </c>
      <c r="T61" s="146">
        <v>1</v>
      </c>
      <c r="U61" s="178">
        <v>-3.09139784946237</v>
      </c>
      <c r="V61" s="146">
        <v>361</v>
      </c>
      <c r="W61" s="145" t="s">
        <v>342</v>
      </c>
      <c r="X61" s="147">
        <v>41900</v>
      </c>
      <c r="Y61" s="147">
        <v>46255</v>
      </c>
      <c r="Z61" s="187">
        <v>45078</v>
      </c>
    </row>
    <row r="62" spans="1:26" ht="17.25" customHeight="1" x14ac:dyDescent="0.2">
      <c r="A62" s="135" t="s">
        <v>409</v>
      </c>
      <c r="B62" s="145" t="s">
        <v>410</v>
      </c>
      <c r="C62" s="145" t="s">
        <v>343</v>
      </c>
      <c r="D62" s="145" t="s">
        <v>360</v>
      </c>
      <c r="E62" s="178">
        <v>100</v>
      </c>
      <c r="F62" s="147">
        <v>45566</v>
      </c>
      <c r="G62" s="147">
        <v>45566</v>
      </c>
      <c r="H62" s="147">
        <v>46188</v>
      </c>
      <c r="I62" s="146">
        <v>507</v>
      </c>
      <c r="J62" s="146">
        <v>517</v>
      </c>
      <c r="K62" s="178">
        <v>572.24847499999998</v>
      </c>
      <c r="L62" s="146">
        <v>702</v>
      </c>
      <c r="M62" s="146">
        <v>72</v>
      </c>
      <c r="N62" s="178">
        <v>98.658540000000002</v>
      </c>
      <c r="O62" s="146">
        <v>124</v>
      </c>
      <c r="P62" s="146">
        <v>10</v>
      </c>
      <c r="Q62" s="146">
        <v>15762.38625</v>
      </c>
      <c r="R62" s="146">
        <v>23</v>
      </c>
      <c r="S62" s="146">
        <v>16</v>
      </c>
      <c r="T62" s="146">
        <v>5</v>
      </c>
      <c r="U62" s="178">
        <v>6.7456232758702104</v>
      </c>
      <c r="V62" s="146">
        <v>214.125</v>
      </c>
      <c r="W62" s="145" t="s">
        <v>342</v>
      </c>
      <c r="X62" s="147">
        <v>43824</v>
      </c>
      <c r="Y62" s="147">
        <v>46261</v>
      </c>
      <c r="Z62" s="187">
        <v>45008</v>
      </c>
    </row>
    <row r="63" spans="1:26" ht="17.25" customHeight="1" x14ac:dyDescent="0.2">
      <c r="A63" s="135" t="s">
        <v>411</v>
      </c>
      <c r="B63" s="145" t="s">
        <v>412</v>
      </c>
      <c r="C63" s="145" t="s">
        <v>343</v>
      </c>
      <c r="D63" s="145" t="s">
        <v>360</v>
      </c>
      <c r="E63" s="178">
        <v>100</v>
      </c>
      <c r="F63" s="147">
        <v>45594</v>
      </c>
      <c r="G63" s="147">
        <v>45594</v>
      </c>
      <c r="H63" s="147">
        <v>46188</v>
      </c>
      <c r="I63" s="146">
        <v>166</v>
      </c>
      <c r="J63" s="146">
        <v>171</v>
      </c>
      <c r="K63" s="178">
        <v>141.81750299999999</v>
      </c>
      <c r="L63" s="146">
        <v>218</v>
      </c>
      <c r="M63" s="146">
        <v>14</v>
      </c>
      <c r="N63" s="178">
        <v>12.870362999999999</v>
      </c>
      <c r="O63" s="146">
        <v>39</v>
      </c>
      <c r="P63" s="146">
        <v>5</v>
      </c>
      <c r="Q63" s="146">
        <v>15209.515714285701</v>
      </c>
      <c r="R63" s="146">
        <v>9</v>
      </c>
      <c r="S63" s="146">
        <v>2</v>
      </c>
      <c r="T63" s="146">
        <v>1</v>
      </c>
      <c r="U63" s="178">
        <v>1.88888888888888</v>
      </c>
      <c r="V63" s="146">
        <v>191</v>
      </c>
      <c r="W63" s="145" t="s">
        <v>342</v>
      </c>
      <c r="X63" s="147">
        <v>41683</v>
      </c>
      <c r="Y63" s="147">
        <v>46259</v>
      </c>
      <c r="Z63" s="187">
        <v>45245</v>
      </c>
    </row>
    <row r="64" spans="1:26" ht="17.25" customHeight="1" x14ac:dyDescent="0.2">
      <c r="A64" s="135" t="s">
        <v>413</v>
      </c>
      <c r="B64" s="145" t="s">
        <v>414</v>
      </c>
      <c r="C64" s="145" t="s">
        <v>343</v>
      </c>
      <c r="D64" s="145" t="s">
        <v>360</v>
      </c>
      <c r="E64" s="178">
        <v>100</v>
      </c>
      <c r="F64" s="147">
        <v>45595</v>
      </c>
      <c r="G64" s="147">
        <v>45595</v>
      </c>
      <c r="H64" s="147">
        <v>46188</v>
      </c>
      <c r="I64" s="146">
        <v>658</v>
      </c>
      <c r="J64" s="146">
        <v>704</v>
      </c>
      <c r="K64" s="178">
        <v>609.19001800000001</v>
      </c>
      <c r="L64" s="146">
        <v>915</v>
      </c>
      <c r="M64" s="146">
        <v>71</v>
      </c>
      <c r="N64" s="178">
        <v>76.504215000000002</v>
      </c>
      <c r="O64" s="146">
        <v>185</v>
      </c>
      <c r="P64" s="146">
        <v>18</v>
      </c>
      <c r="Q64" s="146">
        <v>15410.4663380282</v>
      </c>
      <c r="R64" s="146">
        <v>35</v>
      </c>
      <c r="S64" s="146">
        <v>28</v>
      </c>
      <c r="T64" s="146">
        <v>7</v>
      </c>
      <c r="U64" s="178">
        <v>10.023170336105499</v>
      </c>
      <c r="V64" s="146">
        <v>281.07142857142901</v>
      </c>
      <c r="W64" s="145" t="s">
        <v>342</v>
      </c>
      <c r="X64" s="147">
        <v>39595</v>
      </c>
      <c r="Y64" s="147">
        <v>46272</v>
      </c>
      <c r="Z64" s="187">
        <v>45078</v>
      </c>
    </row>
    <row r="65" spans="1:26" ht="17.25" customHeight="1" x14ac:dyDescent="0.2">
      <c r="A65" s="135" t="s">
        <v>415</v>
      </c>
      <c r="B65" s="145" t="s">
        <v>416</v>
      </c>
      <c r="C65" s="145" t="s">
        <v>343</v>
      </c>
      <c r="D65" s="145" t="s">
        <v>360</v>
      </c>
      <c r="E65" s="178">
        <v>100</v>
      </c>
      <c r="F65" s="147">
        <v>45656</v>
      </c>
      <c r="G65" s="147">
        <v>45656</v>
      </c>
      <c r="H65" s="147">
        <v>46188</v>
      </c>
      <c r="I65" s="146">
        <v>97</v>
      </c>
      <c r="J65" s="146">
        <v>64</v>
      </c>
      <c r="K65" s="178">
        <v>64.736886999999996</v>
      </c>
      <c r="L65" s="146">
        <v>100</v>
      </c>
      <c r="M65" s="146">
        <v>11</v>
      </c>
      <c r="N65" s="178">
        <v>14.757635000000001</v>
      </c>
      <c r="O65" s="146">
        <v>86</v>
      </c>
      <c r="P65" s="146">
        <v>0</v>
      </c>
      <c r="Q65" s="146">
        <v>22573.459090909098</v>
      </c>
      <c r="R65" s="146">
        <v>1</v>
      </c>
      <c r="S65" s="146">
        <v>7</v>
      </c>
      <c r="T65" s="146">
        <v>4</v>
      </c>
      <c r="U65" s="178">
        <v>10.528711492712899</v>
      </c>
      <c r="V65" s="146">
        <v>116.571428571429</v>
      </c>
      <c r="W65" s="145" t="s">
        <v>344</v>
      </c>
      <c r="X65" s="147">
        <v>39602</v>
      </c>
      <c r="Y65" s="147">
        <v>46094</v>
      </c>
      <c r="Z65" s="187">
        <v>45292</v>
      </c>
    </row>
    <row r="66" spans="1:26" ht="17.25" customHeight="1" x14ac:dyDescent="0.2">
      <c r="A66" s="135" t="s">
        <v>417</v>
      </c>
      <c r="B66" s="145" t="s">
        <v>418</v>
      </c>
      <c r="C66" s="145" t="s">
        <v>343</v>
      </c>
      <c r="D66" s="145" t="s">
        <v>360</v>
      </c>
      <c r="E66" s="178">
        <v>100</v>
      </c>
      <c r="F66" s="147">
        <v>45657</v>
      </c>
      <c r="G66" s="147">
        <v>45657</v>
      </c>
      <c r="H66" s="147">
        <v>46188</v>
      </c>
      <c r="I66" s="146">
        <v>107</v>
      </c>
      <c r="J66" s="146">
        <v>82</v>
      </c>
      <c r="K66" s="178">
        <v>91.875282999999996</v>
      </c>
      <c r="L66" s="146">
        <v>125</v>
      </c>
      <c r="M66" s="146">
        <v>19</v>
      </c>
      <c r="N66" s="178">
        <v>23.507975999999999</v>
      </c>
      <c r="O66" s="146">
        <v>103</v>
      </c>
      <c r="P66" s="146">
        <v>1</v>
      </c>
      <c r="Q66" s="146">
        <v>20048.026842105301</v>
      </c>
      <c r="R66" s="146">
        <v>7</v>
      </c>
      <c r="S66" s="146">
        <v>14</v>
      </c>
      <c r="T66" s="146">
        <v>5</v>
      </c>
      <c r="U66" s="178">
        <v>-1.6393203537486301</v>
      </c>
      <c r="V66" s="146">
        <v>159.5</v>
      </c>
      <c r="W66" s="145" t="s">
        <v>344</v>
      </c>
      <c r="X66" s="147">
        <v>39602</v>
      </c>
      <c r="Y66" s="147">
        <v>46197</v>
      </c>
      <c r="Z66" s="187">
        <v>45292</v>
      </c>
    </row>
    <row r="67" spans="1:26" ht="17.25" customHeight="1" x14ac:dyDescent="0.2">
      <c r="A67" s="135" t="s">
        <v>419</v>
      </c>
      <c r="B67" s="145" t="s">
        <v>420</v>
      </c>
      <c r="C67" s="145" t="s">
        <v>343</v>
      </c>
      <c r="D67" s="145" t="s">
        <v>360</v>
      </c>
      <c r="E67" s="178">
        <v>100</v>
      </c>
      <c r="F67" s="147">
        <v>45657</v>
      </c>
      <c r="G67" s="147">
        <v>45657</v>
      </c>
      <c r="H67" s="147">
        <v>46188</v>
      </c>
      <c r="I67" s="146">
        <v>650</v>
      </c>
      <c r="J67" s="146">
        <v>672</v>
      </c>
      <c r="K67" s="178">
        <v>518.49810500000001</v>
      </c>
      <c r="L67" s="146">
        <v>846</v>
      </c>
      <c r="M67" s="146">
        <v>153</v>
      </c>
      <c r="N67" s="178">
        <v>139.739743</v>
      </c>
      <c r="O67" s="146">
        <v>113</v>
      </c>
      <c r="P67" s="146">
        <v>16</v>
      </c>
      <c r="Q67" s="146">
        <v>17229.173790849702</v>
      </c>
      <c r="R67" s="146">
        <v>66</v>
      </c>
      <c r="S67" s="146">
        <v>13</v>
      </c>
      <c r="T67" s="146">
        <v>10</v>
      </c>
      <c r="U67" s="178">
        <v>-1.4861596832086399</v>
      </c>
      <c r="V67" s="146">
        <v>155.46153846153899</v>
      </c>
      <c r="W67" s="145" t="s">
        <v>342</v>
      </c>
      <c r="X67" s="147">
        <v>39651</v>
      </c>
      <c r="Y67" s="147">
        <v>46268</v>
      </c>
      <c r="Z67" s="187">
        <v>45275</v>
      </c>
    </row>
    <row r="68" spans="1:26" ht="17.25" customHeight="1" x14ac:dyDescent="0.2">
      <c r="A68" s="135" t="s">
        <v>421</v>
      </c>
      <c r="B68" s="145" t="s">
        <v>422</v>
      </c>
      <c r="C68" s="145" t="s">
        <v>343</v>
      </c>
      <c r="D68" s="145" t="s">
        <v>360</v>
      </c>
      <c r="E68" s="178">
        <v>100</v>
      </c>
      <c r="F68" s="147">
        <v>46135</v>
      </c>
      <c r="G68" s="147">
        <v>46135</v>
      </c>
      <c r="H68" s="147">
        <v>46264</v>
      </c>
      <c r="I68" s="146">
        <v>552</v>
      </c>
      <c r="J68" s="146">
        <v>484</v>
      </c>
      <c r="K68" s="178">
        <v>446.46241800000001</v>
      </c>
      <c r="L68" s="146">
        <v>640</v>
      </c>
      <c r="M68" s="146">
        <v>274</v>
      </c>
      <c r="N68" s="178">
        <v>282.29705719999998</v>
      </c>
      <c r="O68" s="146">
        <v>362</v>
      </c>
      <c r="P68" s="146">
        <v>125</v>
      </c>
      <c r="Q68" s="146">
        <v>16528.230401459899</v>
      </c>
      <c r="R68" s="146">
        <v>46</v>
      </c>
      <c r="S68" s="146">
        <v>3</v>
      </c>
      <c r="T68" s="146">
        <v>1</v>
      </c>
      <c r="U68" s="178">
        <v>21.5165820092598</v>
      </c>
      <c r="V68" s="146">
        <v>54.3333333333333</v>
      </c>
      <c r="W68" s="145" t="s">
        <v>340</v>
      </c>
      <c r="X68" s="147">
        <v>43823</v>
      </c>
      <c r="Y68" s="147">
        <v>46273</v>
      </c>
      <c r="Z68" s="187">
        <v>45413</v>
      </c>
    </row>
    <row r="69" spans="1:26" ht="17.25" customHeight="1" x14ac:dyDescent="0.2">
      <c r="A69" s="135" t="s">
        <v>423</v>
      </c>
      <c r="B69" s="145" t="s">
        <v>424</v>
      </c>
      <c r="C69" s="145" t="s">
        <v>339</v>
      </c>
      <c r="D69" s="145" t="s">
        <v>360</v>
      </c>
      <c r="E69" s="178">
        <v>100</v>
      </c>
      <c r="F69" s="147">
        <v>46233</v>
      </c>
      <c r="G69" s="147">
        <v>46022</v>
      </c>
      <c r="H69" s="147">
        <v>46264</v>
      </c>
      <c r="I69" s="146">
        <v>178</v>
      </c>
      <c r="J69" s="146">
        <v>145</v>
      </c>
      <c r="K69" s="178">
        <v>336.69922315000002</v>
      </c>
      <c r="L69" s="146">
        <v>151</v>
      </c>
      <c r="M69" s="146">
        <v>148</v>
      </c>
      <c r="N69" s="178">
        <v>344.42261415000002</v>
      </c>
      <c r="O69" s="146"/>
      <c r="P69" s="146">
        <v>16</v>
      </c>
      <c r="Q69" s="146">
        <v>22979.131148648699</v>
      </c>
      <c r="R69" s="146"/>
      <c r="S69" s="146"/>
      <c r="T69" s="146"/>
      <c r="U69" s="178"/>
      <c r="V69" s="146"/>
      <c r="W69" s="145" t="s">
        <v>340</v>
      </c>
      <c r="X69" s="147">
        <v>40939</v>
      </c>
      <c r="Y69" s="147">
        <v>46273</v>
      </c>
      <c r="Z69" s="187">
        <v>45536</v>
      </c>
    </row>
    <row r="70" spans="1:26" ht="17.25" customHeight="1" x14ac:dyDescent="0.2">
      <c r="A70" s="135" t="s">
        <v>425</v>
      </c>
      <c r="B70" s="145" t="s">
        <v>426</v>
      </c>
      <c r="C70" s="145" t="s">
        <v>343</v>
      </c>
      <c r="D70" s="145" t="s">
        <v>360</v>
      </c>
      <c r="E70" s="178">
        <v>100</v>
      </c>
      <c r="F70" s="147"/>
      <c r="G70" s="147"/>
      <c r="H70" s="147">
        <v>46188</v>
      </c>
      <c r="I70" s="146">
        <v>279</v>
      </c>
      <c r="J70" s="146">
        <v>295</v>
      </c>
      <c r="K70" s="178">
        <v>267.83198099999998</v>
      </c>
      <c r="L70" s="146">
        <v>366</v>
      </c>
      <c r="M70" s="146">
        <v>44</v>
      </c>
      <c r="N70" s="178">
        <v>49.532499999999999</v>
      </c>
      <c r="O70" s="146">
        <v>57</v>
      </c>
      <c r="P70" s="146">
        <v>5</v>
      </c>
      <c r="Q70" s="146">
        <v>18399.923863636399</v>
      </c>
      <c r="R70" s="146">
        <v>24</v>
      </c>
      <c r="S70" s="146">
        <v>7</v>
      </c>
      <c r="T70" s="146">
        <v>4</v>
      </c>
      <c r="U70" s="178">
        <v>0.85183084729968706</v>
      </c>
      <c r="V70" s="146">
        <v>123.71428571428601</v>
      </c>
      <c r="W70" s="145" t="s">
        <v>342</v>
      </c>
      <c r="X70" s="147">
        <v>45041</v>
      </c>
      <c r="Y70" s="147">
        <v>46267</v>
      </c>
      <c r="Z70" s="187">
        <v>45224</v>
      </c>
    </row>
    <row r="71" spans="1:26" ht="17.25" customHeight="1" x14ac:dyDescent="0.2">
      <c r="A71" s="135" t="s">
        <v>427</v>
      </c>
      <c r="B71" s="145" t="s">
        <v>428</v>
      </c>
      <c r="C71" s="145" t="s">
        <v>343</v>
      </c>
      <c r="D71" s="145" t="s">
        <v>360</v>
      </c>
      <c r="E71" s="178">
        <v>100</v>
      </c>
      <c r="F71" s="147"/>
      <c r="G71" s="147"/>
      <c r="H71" s="147">
        <v>46188</v>
      </c>
      <c r="I71" s="146">
        <v>147</v>
      </c>
      <c r="J71" s="146">
        <v>142</v>
      </c>
      <c r="K71" s="178">
        <v>132.64178100000001</v>
      </c>
      <c r="L71" s="146">
        <v>184</v>
      </c>
      <c r="M71" s="146">
        <v>14</v>
      </c>
      <c r="N71" s="178">
        <v>15.379999</v>
      </c>
      <c r="O71" s="146">
        <v>100</v>
      </c>
      <c r="P71" s="146">
        <v>2</v>
      </c>
      <c r="Q71" s="146">
        <v>13215.105</v>
      </c>
      <c r="R71" s="146">
        <v>8</v>
      </c>
      <c r="S71" s="146">
        <v>19</v>
      </c>
      <c r="T71" s="146">
        <v>4</v>
      </c>
      <c r="U71" s="178">
        <v>12.9530227433505</v>
      </c>
      <c r="V71" s="146">
        <v>214.105263157895</v>
      </c>
      <c r="W71" s="145" t="s">
        <v>349</v>
      </c>
      <c r="X71" s="147">
        <v>39615</v>
      </c>
      <c r="Y71" s="147">
        <v>46252</v>
      </c>
      <c r="Z71" s="187">
        <v>45199</v>
      </c>
    </row>
    <row r="72" spans="1:26" ht="17.25" customHeight="1" x14ac:dyDescent="0.2">
      <c r="A72" s="135" t="s">
        <v>429</v>
      </c>
      <c r="B72" s="145" t="s">
        <v>430</v>
      </c>
      <c r="C72" s="145" t="s">
        <v>343</v>
      </c>
      <c r="D72" s="145" t="s">
        <v>360</v>
      </c>
      <c r="E72" s="178">
        <v>100</v>
      </c>
      <c r="F72" s="147"/>
      <c r="G72" s="147"/>
      <c r="H72" s="147">
        <v>46188</v>
      </c>
      <c r="I72" s="146">
        <v>314</v>
      </c>
      <c r="J72" s="146">
        <v>281</v>
      </c>
      <c r="K72" s="178">
        <v>313.57161100000002</v>
      </c>
      <c r="L72" s="146">
        <v>428</v>
      </c>
      <c r="M72" s="146">
        <v>39</v>
      </c>
      <c r="N72" s="178">
        <v>55.784281999999997</v>
      </c>
      <c r="O72" s="146">
        <v>160</v>
      </c>
      <c r="P72" s="146">
        <v>10</v>
      </c>
      <c r="Q72" s="146">
        <v>15495.672564102601</v>
      </c>
      <c r="R72" s="146">
        <v>18</v>
      </c>
      <c r="S72" s="146">
        <v>16</v>
      </c>
      <c r="T72" s="146">
        <v>6</v>
      </c>
      <c r="U72" s="178">
        <v>19.283000056623699</v>
      </c>
      <c r="V72" s="146">
        <v>170.8125</v>
      </c>
      <c r="W72" s="145" t="s">
        <v>342</v>
      </c>
      <c r="X72" s="147">
        <v>44970</v>
      </c>
      <c r="Y72" s="147">
        <v>46259</v>
      </c>
      <c r="Z72" s="187">
        <v>45139</v>
      </c>
    </row>
    <row r="73" spans="1:26" ht="17.25" customHeight="1" x14ac:dyDescent="0.2">
      <c r="A73" s="141"/>
      <c r="B73" s="188" t="s">
        <v>233</v>
      </c>
      <c r="C73" s="168"/>
      <c r="D73" s="168"/>
      <c r="E73" s="168"/>
      <c r="F73" s="168"/>
      <c r="G73" s="168"/>
      <c r="H73" s="168"/>
      <c r="I73" s="189">
        <f t="shared" ref="I73:P73" si="0">SUM(I5:I72)</f>
        <v>31461</v>
      </c>
      <c r="J73" s="189">
        <f t="shared" si="0"/>
        <v>32442</v>
      </c>
      <c r="K73" s="190">
        <f t="shared" si="0"/>
        <v>46425.882813199998</v>
      </c>
      <c r="L73" s="189">
        <f t="shared" si="0"/>
        <v>37498</v>
      </c>
      <c r="M73" s="189">
        <f t="shared" si="0"/>
        <v>13300</v>
      </c>
      <c r="N73" s="190">
        <f t="shared" si="0"/>
        <v>22385.652043400012</v>
      </c>
      <c r="O73" s="189">
        <f t="shared" si="0"/>
        <v>12326</v>
      </c>
      <c r="P73" s="189">
        <f t="shared" si="0"/>
        <v>1064</v>
      </c>
      <c r="Q73" s="168"/>
      <c r="R73" s="189">
        <f>SUM(R5:R72)</f>
        <v>760</v>
      </c>
      <c r="S73" s="189">
        <f>SUM(S5:S72)</f>
        <v>397</v>
      </c>
      <c r="T73" s="189">
        <f>SUM(T5:T72)</f>
        <v>144</v>
      </c>
      <c r="U73" s="168"/>
      <c r="V73" s="168"/>
      <c r="W73" s="168"/>
      <c r="X73" s="168"/>
      <c r="Y73" s="168"/>
      <c r="Z73" s="169"/>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customHeight="1" x14ac:dyDescent="0.2">
      <c r="A75" s="2"/>
      <c r="B75" s="1" t="s">
        <v>431</v>
      </c>
      <c r="C75" s="1"/>
      <c r="D75" s="1"/>
      <c r="E75" s="1"/>
      <c r="F75" s="1"/>
      <c r="G75" s="1"/>
      <c r="H75" s="1"/>
      <c r="I75" s="1"/>
      <c r="J75" s="1"/>
      <c r="K75" s="1"/>
      <c r="L75" s="1"/>
      <c r="M75" s="2"/>
      <c r="N75" s="2"/>
      <c r="O75" s="2"/>
      <c r="P75" s="2"/>
      <c r="Q75" s="2"/>
      <c r="R75" s="2"/>
      <c r="S75" s="2"/>
      <c r="T75" s="2"/>
      <c r="U75" s="2"/>
      <c r="V75" s="2"/>
      <c r="W75" s="2"/>
      <c r="X75" s="2"/>
      <c r="Y75" s="2"/>
      <c r="Z75" s="2"/>
    </row>
    <row r="76" spans="1:26" x14ac:dyDescent="0.2">
      <c r="A76" s="2"/>
      <c r="B76" s="1"/>
      <c r="C76" s="1"/>
      <c r="D76" s="1"/>
      <c r="E76" s="1"/>
      <c r="F76" s="1"/>
      <c r="G76" s="1"/>
      <c r="H76" s="1"/>
      <c r="I76" s="1"/>
      <c r="J76" s="1"/>
      <c r="K76" s="1"/>
      <c r="L76" s="1"/>
      <c r="M76" s="2"/>
      <c r="N76" s="2"/>
      <c r="O76" s="2"/>
      <c r="P76" s="2"/>
      <c r="Q76" s="2"/>
      <c r="R76" s="2"/>
      <c r="S76" s="2"/>
      <c r="T76" s="2"/>
      <c r="U76" s="2"/>
      <c r="V76" s="2"/>
      <c r="W76" s="2"/>
      <c r="X76" s="2"/>
      <c r="Y76" s="2"/>
      <c r="Z76" s="2"/>
    </row>
  </sheetData>
  <autoFilter ref="A4:Z72" xr:uid="{00000000-0009-0000-0000-000006000000}"/>
  <mergeCells count="3">
    <mergeCell ref="B75:L76"/>
    <mergeCell ref="A1:Z1"/>
    <mergeCell ref="A2:Z2"/>
  </mergeCells>
  <pageMargins left="0.75" right="0.75" top="1" bottom="1" header="0.511811023622047" footer="0.511811023622047"/>
  <pageSetup paperSize="9" scale="38"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FBFBF"/>
    <pageSetUpPr fitToPage="1"/>
  </sheetPr>
  <dimension ref="A1:D38"/>
  <sheetViews>
    <sheetView showGridLines="0" zoomScaleNormal="100" workbookViewId="0">
      <selection sqref="A1:E1"/>
    </sheetView>
  </sheetViews>
  <sheetFormatPr baseColWidth="10" defaultColWidth="8.6640625" defaultRowHeight="15" x14ac:dyDescent="0.2"/>
  <cols>
    <col min="1" max="1" width="50" customWidth="1"/>
    <col min="2" max="2" width="10" customWidth="1"/>
    <col min="3" max="3" width="40" customWidth="1"/>
    <col min="4" max="4" width="100" customWidth="1"/>
  </cols>
  <sheetData>
    <row r="1" spans="1:4" ht="28" customHeight="1" x14ac:dyDescent="0.2">
      <c r="A1" s="341" t="s">
        <v>432</v>
      </c>
      <c r="B1" s="341"/>
      <c r="C1" s="341"/>
      <c r="D1" s="341"/>
    </row>
    <row r="2" spans="1:4" ht="18.25" customHeight="1" x14ac:dyDescent="0.2">
      <c r="A2" s="342" t="s">
        <v>433</v>
      </c>
      <c r="B2" s="342"/>
      <c r="C2" s="342"/>
      <c r="D2" s="342"/>
    </row>
    <row r="3" spans="1:4" x14ac:dyDescent="0.2">
      <c r="A3" s="135"/>
      <c r="B3" s="145"/>
      <c r="C3" s="145"/>
      <c r="D3" s="153"/>
    </row>
    <row r="4" spans="1:4" ht="18.25" customHeight="1" x14ac:dyDescent="0.2">
      <c r="A4" s="158" t="s">
        <v>9</v>
      </c>
      <c r="B4" s="159" t="s">
        <v>434</v>
      </c>
      <c r="C4" s="159" t="s">
        <v>435</v>
      </c>
      <c r="D4" s="184" t="s">
        <v>436</v>
      </c>
    </row>
    <row r="5" spans="1:4" ht="31.5" customHeight="1" x14ac:dyDescent="0.2">
      <c r="A5" s="135" t="s">
        <v>437</v>
      </c>
      <c r="B5" s="145" t="s">
        <v>438</v>
      </c>
      <c r="C5" s="148" t="s">
        <v>439</v>
      </c>
      <c r="D5" s="185" t="s">
        <v>440</v>
      </c>
    </row>
    <row r="6" spans="1:4" ht="18.25" customHeight="1" x14ac:dyDescent="0.2">
      <c r="A6" s="135" t="s">
        <v>441</v>
      </c>
      <c r="B6" s="145" t="s">
        <v>442</v>
      </c>
      <c r="C6" s="148" t="s">
        <v>443</v>
      </c>
      <c r="D6" s="185" t="s">
        <v>444</v>
      </c>
    </row>
    <row r="7" spans="1:4" ht="18.25" customHeight="1" x14ac:dyDescent="0.2">
      <c r="A7" s="135" t="s">
        <v>441</v>
      </c>
      <c r="B7" s="145" t="s">
        <v>438</v>
      </c>
      <c r="C7" s="148" t="s">
        <v>445</v>
      </c>
      <c r="D7" s="185" t="s">
        <v>446</v>
      </c>
    </row>
    <row r="8" spans="1:4" ht="18.25" customHeight="1" x14ac:dyDescent="0.2">
      <c r="A8" s="135" t="s">
        <v>447</v>
      </c>
      <c r="B8" s="145" t="s">
        <v>442</v>
      </c>
      <c r="C8" s="148" t="s">
        <v>448</v>
      </c>
      <c r="D8" s="185" t="s">
        <v>449</v>
      </c>
    </row>
    <row r="9" spans="1:4" x14ac:dyDescent="0.2">
      <c r="A9" s="135"/>
      <c r="B9" s="145"/>
      <c r="C9" s="145"/>
      <c r="D9" s="153"/>
    </row>
    <row r="10" spans="1:4" ht="44.5" customHeight="1" x14ac:dyDescent="0.2">
      <c r="A10" s="382" t="s">
        <v>450</v>
      </c>
      <c r="B10" s="145"/>
      <c r="C10" s="145"/>
      <c r="D10" s="153"/>
    </row>
    <row r="11" spans="1:4" x14ac:dyDescent="0.2">
      <c r="A11" s="135"/>
      <c r="B11" s="145"/>
      <c r="C11" s="145"/>
      <c r="D11" s="153"/>
    </row>
    <row r="12" spans="1:4" ht="17.25" customHeight="1" x14ac:dyDescent="0.2">
      <c r="A12" s="151" t="s">
        <v>451</v>
      </c>
      <c r="B12" s="145"/>
      <c r="C12" s="145"/>
      <c r="D12" s="153"/>
    </row>
    <row r="13" spans="1:4" ht="17.25" customHeight="1" x14ac:dyDescent="0.2">
      <c r="A13" s="135" t="s">
        <v>452</v>
      </c>
      <c r="B13" s="186" t="str">
        <f>HYPERLINK("https://binghatti-frankfurt-public.s3.eu-central-1.amazonaws.com/project-assets/binghatti-investor-relations-assets/binghatti-group-interim-consolidated-FS-30-June-2026.pdf","Binghatti Holding interim FS 30 June 2026")</f>
        <v>Binghatti Holding interim FS 30 June 2026</v>
      </c>
      <c r="C13" s="145"/>
      <c r="D13" s="153"/>
    </row>
    <row r="14" spans="1:4" ht="17.25" customHeight="1" x14ac:dyDescent="0.2">
      <c r="A14" s="135" t="s">
        <v>453</v>
      </c>
      <c r="B14" s="186" t="str">
        <f>HYPERLINK("https://binghatti-frankfurt-public.s3.eu-central-1.amazonaws.com/project-assets/binghatti-investor-relations-assets/h1-2026-results-presentation.pdf","Binghatti H1 2026 results presentation")</f>
        <v>Binghatti H1 2026 results presentation</v>
      </c>
      <c r="C14" s="145"/>
      <c r="D14" s="153"/>
    </row>
    <row r="15" spans="1:4" ht="17.25" customHeight="1" x14ac:dyDescent="0.2">
      <c r="A15" s="135" t="s">
        <v>454</v>
      </c>
      <c r="B15" s="186" t="str">
        <f>HYPERLINK("https://www.rns-pdf.londonstockexchange.com/rns/9968Q_1-2026-1-29.pdf","Binghatti Holding FY2025 audited FS (LSE RNS 9968Q)")</f>
        <v>Binghatti Holding FY2025 audited FS (LSE RNS 9968Q)</v>
      </c>
      <c r="C15" s="145"/>
      <c r="D15" s="153"/>
    </row>
    <row r="16" spans="1:4" ht="17.25" customHeight="1" x14ac:dyDescent="0.2">
      <c r="A16" s="135" t="s">
        <v>455</v>
      </c>
      <c r="B16" s="186" t="str">
        <f>HYPERLINK("https://binghatti-frankfurt-public.s3.eu-central-1.amazonaws.com/project-assets/binghatti-investor-relations-assets/Moody%27s+Ratings+Report_April+2026.pdf","Moody's Credit Opinion, Binghatti Holding (April 2026)")</f>
        <v>Moody's Credit Opinion, Binghatti Holding (April 2026)</v>
      </c>
      <c r="C16" s="145"/>
      <c r="D16" s="153"/>
    </row>
    <row r="17" spans="1:4" ht="110.5" customHeight="1" x14ac:dyDescent="0.2">
      <c r="A17" s="135" t="s">
        <v>437</v>
      </c>
      <c r="B17" s="383" t="str">
        <f>HYPERLINK("https://www.tradingview.com/news/reuters.com,2026-08-11:newsml_Zawb7bptR:0-moody-s-puts-dubai-developer-binghatti-ratings-on-review-for-downgrade/","Moody's puts Binghatti ratings on review for downgrade (Reuters/Zawya)")</f>
        <v>Moody's puts Binghatti ratings on review for downgrade (Reuters/Zawya)</v>
      </c>
      <c r="C17" s="145"/>
      <c r="D17" s="153"/>
    </row>
    <row r="18" spans="1:4" ht="137" customHeight="1" x14ac:dyDescent="0.2">
      <c r="A18" s="135" t="s">
        <v>456</v>
      </c>
      <c r="B18" s="383" t="str">
        <f>HYPERLINK("https://www.khaleejtimes.com/business/binghatti-dismisses-debt-fears-points-to-dh106-billion-in-escrow-accounts","Binghatti dismisses debt fears, points to Dh10.6 billion in escrow (Khaleej Times)")</f>
        <v>Binghatti dismisses debt fears, points to Dh10.6 billion in escrow (Khaleej Times)</v>
      </c>
      <c r="C18" s="145"/>
      <c r="D18" s="153"/>
    </row>
    <row r="19" spans="1:4" ht="17.25" customHeight="1" x14ac:dyDescent="0.2">
      <c r="A19" s="135" t="s">
        <v>457</v>
      </c>
      <c r="B19" s="186" t="str">
        <f>HYPERLINK("https://binghatti-frankfurt-public.s3.eu-central-1.amazonaws.com/project-assets/binghatti-investor-relations-assets/Binghatti+Rating+Report+Apr+2025.pdf","Fitch rating report, Binghatti (April 2025)")</f>
        <v>Fitch rating report, Binghatti (April 2025)</v>
      </c>
      <c r="C19" s="145"/>
      <c r="D19" s="153"/>
    </row>
    <row r="20" spans="1:4" ht="110.5" customHeight="1" x14ac:dyDescent="0.2">
      <c r="A20" s="135" t="s">
        <v>458</v>
      </c>
      <c r="B20" s="383" t="str">
        <f>HYPERLINK("https://sg.finance.yahoo.com/news/dubai-real-estate-bonds-starting-034826092.html","Dubai real estate bonds are starting to fall into distress (Bloomberg)")</f>
        <v>Dubai real estate bonds are starting to fall into distress (Bloomberg)</v>
      </c>
      <c r="C20" s="145"/>
      <c r="D20" s="153"/>
    </row>
    <row r="21" spans="1:4" ht="17.25" customHeight="1" x14ac:dyDescent="0.2">
      <c r="A21" s="135" t="s">
        <v>459</v>
      </c>
      <c r="B21" s="186" t="str">
        <f>HYPERLINK("https://www.dib.ae/docs/default-source/cpr/dib-sukuk-list.pdf","DIB indicative sukuk prices")</f>
        <v>DIB indicative sukuk prices</v>
      </c>
      <c r="C21" s="145"/>
      <c r="D21" s="153"/>
    </row>
    <row r="22" spans="1:4" x14ac:dyDescent="0.2">
      <c r="A22" s="135"/>
      <c r="B22" s="145"/>
      <c r="C22" s="145"/>
      <c r="D22" s="153"/>
    </row>
    <row r="23" spans="1:4" ht="17.25" customHeight="1" x14ac:dyDescent="0.2">
      <c r="A23" s="151" t="s">
        <v>460</v>
      </c>
      <c r="B23" s="145"/>
      <c r="C23" s="145"/>
      <c r="D23" s="153"/>
    </row>
    <row r="24" spans="1:4" ht="17.25" customHeight="1" x14ac:dyDescent="0.2">
      <c r="A24" s="135" t="s">
        <v>461</v>
      </c>
      <c r="B24" s="186" t="str">
        <f>HYPERLINK("https://www.binghatti.com/investor-relations","https://www.binghatti.com/investor-relations")</f>
        <v>https://www.binghatti.com/investor-relations</v>
      </c>
      <c r="C24" s="145"/>
      <c r="D24" s="153"/>
    </row>
    <row r="25" spans="1:4" ht="17.25" customHeight="1" x14ac:dyDescent="0.2">
      <c r="A25" s="135" t="s">
        <v>462</v>
      </c>
      <c r="B25" s="186" t="str">
        <f>HYPERLINK("https://www.moodys.com/search?keyword=Binghatti","https://www.moodys.com/search?keyword=Binghatti")</f>
        <v>https://www.moodys.com/search?keyword=Binghatti</v>
      </c>
      <c r="C25" s="145"/>
      <c r="D25" s="153"/>
    </row>
    <row r="26" spans="1:4" ht="17.25" customHeight="1" x14ac:dyDescent="0.2">
      <c r="A26" s="135" t="s">
        <v>463</v>
      </c>
      <c r="B26" s="186" t="str">
        <f>HYPERLINK("https://www.fitchratings.com/search/?query=Binghatti","https://www.fitchratings.com/search/?query=Binghatti")</f>
        <v>https://www.fitchratings.com/search/?query=Binghatti</v>
      </c>
      <c r="C26" s="145"/>
      <c r="D26" s="153"/>
    </row>
    <row r="27" spans="1:4" ht="17.25" customHeight="1" x14ac:dyDescent="0.2">
      <c r="A27" s="135" t="s">
        <v>464</v>
      </c>
      <c r="B27" s="186" t="str">
        <f>HYPERLINK("https://www.nasdaqdubai.com/","https://www.nasdaqdubai.com/")</f>
        <v>https://www.nasdaqdubai.com/</v>
      </c>
      <c r="C27" s="145"/>
      <c r="D27" s="153"/>
    </row>
    <row r="28" spans="1:4" ht="17.25" customHeight="1" x14ac:dyDescent="0.2">
      <c r="A28" s="135" t="s">
        <v>465</v>
      </c>
      <c r="B28" s="186" t="str">
        <f>HYPERLINK("https://www.londonstockexchange.com/","https://www.londonstockexchange.com/")</f>
        <v>https://www.londonstockexchange.com/</v>
      </c>
      <c r="C28" s="145"/>
      <c r="D28" s="153"/>
    </row>
    <row r="29" spans="1:4" ht="17.25" customHeight="1" x14ac:dyDescent="0.2">
      <c r="A29" s="135" t="s">
        <v>466</v>
      </c>
      <c r="B29" s="186" t="str">
        <f>HYPERLINK("https://dubailand.gov.ae/en/open-data/","https://dubailand.gov.ae/en/open-data/")</f>
        <v>https://dubailand.gov.ae/en/open-data/</v>
      </c>
      <c r="C29" s="145"/>
      <c r="D29" s="153"/>
    </row>
    <row r="30" spans="1:4" ht="17.25" customHeight="1" x14ac:dyDescent="0.2">
      <c r="A30" s="135" t="s">
        <v>467</v>
      </c>
      <c r="B30" s="186" t="str">
        <f>HYPERLINK("https://www.dubaipulse.gov.ae/","https://www.dubaipulse.gov.ae/")</f>
        <v>https://www.dubaipulse.gov.ae/</v>
      </c>
      <c r="C30" s="145"/>
      <c r="D30" s="153"/>
    </row>
    <row r="31" spans="1:4" x14ac:dyDescent="0.2">
      <c r="A31" s="135"/>
      <c r="B31" s="145"/>
      <c r="C31" s="145"/>
      <c r="D31" s="153"/>
    </row>
    <row r="32" spans="1:4" ht="17.25" customHeight="1" x14ac:dyDescent="0.2">
      <c r="A32" s="151" t="s">
        <v>468</v>
      </c>
      <c r="B32" s="145"/>
      <c r="C32" s="145"/>
      <c r="D32" s="153"/>
    </row>
    <row r="33" spans="1:4" ht="17" customHeight="1" x14ac:dyDescent="0.2">
      <c r="A33" s="154" t="s">
        <v>469</v>
      </c>
      <c r="B33" s="155"/>
      <c r="C33" s="155"/>
      <c r="D33" s="156"/>
    </row>
    <row r="34" spans="1:4" ht="17" customHeight="1" x14ac:dyDescent="0.2">
      <c r="A34" s="154" t="s">
        <v>470</v>
      </c>
      <c r="B34" s="155"/>
      <c r="C34" s="155"/>
      <c r="D34" s="156"/>
    </row>
    <row r="35" spans="1:4" ht="17" customHeight="1" x14ac:dyDescent="0.2">
      <c r="A35" s="154" t="s">
        <v>471</v>
      </c>
      <c r="B35" s="155"/>
      <c r="C35" s="155"/>
      <c r="D35" s="156"/>
    </row>
    <row r="36" spans="1:4" ht="17" customHeight="1" x14ac:dyDescent="0.2">
      <c r="A36" s="179" t="s">
        <v>472</v>
      </c>
      <c r="B36" s="180"/>
      <c r="C36" s="180"/>
      <c r="D36" s="181"/>
    </row>
    <row r="37" spans="1:4" ht="44.5" customHeight="1" x14ac:dyDescent="0.2">
      <c r="A37" s="418" t="str">
        <f>_xlfn._LONGTEXT("•  The AED 1.8 bn said to have been received from three handovers after 30 June 2026 is UNSOURCED. The Handover check tab tests it against the register: only one tower, Binghatti Pinnacle, is confirmed as having handed over in the window, supporting about"," AED ")&amp;TEXT('Handover check'!$B$28,"#,##0")&amp;" m of cash. Two further towers are past their registered completion dates but remain Active with no secondary market trading, which is the register's signature of a genuine handover. Verify with the issuer before counting more."</f>
        <v>•  The AED 1.8 bn said to have been received from three handovers after 30 June 2026 is UNSOURCED. The Handover check tab tests it against the register: only one tower, Binghatti Pinnacle, is confirmed as having handed over in the window, supporting about AED 293 m of cash. Two further towers are past their registered completion dates but remain Active with no secondary market trading, which is the register's signature of a genuine handover. Verify with the issuer before counting more.</v>
      </c>
      <c r="B37" s="418"/>
      <c r="C37" s="418"/>
      <c r="D37" s="418"/>
    </row>
    <row r="38" spans="1:4" ht="44.5" customHeight="1" x14ac:dyDescent="0.2">
      <c r="A38" s="418" t="str">
        <f>"•  REGISTER STALENESS: "&amp;'Cash flow'!$B$127&amp;_xlfn._LONGTEXT(" of the 32 live towers still carry the 15 June reading, and that dump is demonstrably wrong — it showed Binghatti Apex at 45% certified two months after Apex completed. The 30 August extract refreshed only 20 of the 68 projects. Because understated progre","ss makes the model too pessimistic, adding fifteen certified points to those towers is enough on its own to cover the February 2027 sukuk. Quantified in Cash flow section 10. This is the largest single uncertainty in the workbook and it cannot be closed f","rom the public register.")</f>
        <v>•  REGISTER STALENESS: 14 of the 32 live towers still carry the 15 June reading, and that dump is demonstrably wrong — it showed Binghatti Apex at 45% certified two months after Apex completed. The 30 August extract refreshed only 20 of the 68 projects. Because understated progress makes the model too pessimistic, adding fifteen certified points to those towers is enough on its own to cover the February 2027 sukuk. Quantified in Cash flow section 10. This is the largest single uncertainty in the workbook and it cannot be closed from the public register.</v>
      </c>
      <c r="B38" s="418"/>
      <c r="C38" s="418"/>
      <c r="D38" s="418"/>
    </row>
  </sheetData>
  <mergeCells count="8">
    <mergeCell ref="A37:D37"/>
    <mergeCell ref="A38:D38"/>
    <mergeCell ref="A33:D33"/>
    <mergeCell ref="A34:D34"/>
    <mergeCell ref="A35:D35"/>
    <mergeCell ref="A36:D36"/>
    <mergeCell ref="A1:D1"/>
    <mergeCell ref="A2:D2"/>
  </mergeCells>
  <printOptions horizontalCentered="1"/>
  <pageMargins left="0.75" right="0.75" top="1" bottom="1" header="0.511811023622047" footer="0.511811023622047"/>
  <pageSetup paperSize="9" scale="44" fitToHeight="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FA39-74F1-0248-9255-B41B454268AE}">
  <sheetPr>
    <tabColor rgb="FFBFBFBF"/>
    <pageSetUpPr fitToPage="1"/>
  </sheetPr>
  <dimension ref="A1:E32"/>
  <sheetViews>
    <sheetView showGridLines="0" topLeftCell="C1" workbookViewId="0">
      <pane ySplit="4" topLeftCell="A5" activePane="bottomLeft" state="frozen"/>
      <selection pane="bottomLeft" sqref="A1:E1"/>
    </sheetView>
  </sheetViews>
  <sheetFormatPr baseColWidth="10" defaultRowHeight="15" x14ac:dyDescent="0.2"/>
  <cols>
    <col min="1" max="1" width="15.83203125" customWidth="1"/>
    <col min="2" max="2" width="28.33203125" customWidth="1"/>
    <col min="3" max="4" width="55" customWidth="1"/>
    <col min="5" max="5" width="41.6640625" customWidth="1"/>
  </cols>
  <sheetData>
    <row r="1" spans="1:5" ht="28" customHeight="1" x14ac:dyDescent="0.2">
      <c r="A1" s="338" t="s">
        <v>1064</v>
      </c>
      <c r="B1" s="338"/>
      <c r="C1" s="338"/>
      <c r="D1" s="338"/>
      <c r="E1" s="338"/>
    </row>
    <row r="2" spans="1:5" ht="18.25" customHeight="1" x14ac:dyDescent="0.2">
      <c r="A2" s="340" t="s">
        <v>1065</v>
      </c>
      <c r="B2" s="340"/>
      <c r="C2" s="340"/>
      <c r="D2" s="340"/>
      <c r="E2" s="340"/>
    </row>
    <row r="3" spans="1:5" x14ac:dyDescent="0.2">
      <c r="A3" s="29"/>
      <c r="B3" s="29"/>
      <c r="C3" s="29"/>
      <c r="D3" s="29"/>
      <c r="E3" s="29"/>
    </row>
    <row r="4" spans="1:5" ht="18.25" customHeight="1" x14ac:dyDescent="0.2">
      <c r="A4" s="385" t="s">
        <v>1066</v>
      </c>
      <c r="B4" s="385" t="s">
        <v>529</v>
      </c>
      <c r="C4" s="385" t="s">
        <v>1067</v>
      </c>
      <c r="D4" s="385" t="s">
        <v>1068</v>
      </c>
      <c r="E4" s="385" t="s">
        <v>1069</v>
      </c>
    </row>
    <row r="5" spans="1:5" ht="84.25" customHeight="1" x14ac:dyDescent="0.2">
      <c r="A5" s="413">
        <v>46276</v>
      </c>
      <c r="B5" s="313" t="s">
        <v>1070</v>
      </c>
      <c r="C5" s="313" t="s">
        <v>1071</v>
      </c>
      <c r="D5" s="313" t="s">
        <v>1072</v>
      </c>
      <c r="E5" s="313" t="s">
        <v>1073</v>
      </c>
    </row>
    <row r="6" spans="1:5" ht="57.75" customHeight="1" x14ac:dyDescent="0.2">
      <c r="A6" s="414">
        <v>46276</v>
      </c>
      <c r="B6" s="410" t="s">
        <v>1074</v>
      </c>
      <c r="C6" s="410" t="s">
        <v>1075</v>
      </c>
      <c r="D6" s="410" t="s">
        <v>1076</v>
      </c>
      <c r="E6" s="410" t="s">
        <v>1077</v>
      </c>
    </row>
    <row r="7" spans="1:5" ht="18.25" customHeight="1" x14ac:dyDescent="0.2">
      <c r="A7" s="413">
        <v>46276</v>
      </c>
      <c r="B7" s="313" t="s">
        <v>1078</v>
      </c>
      <c r="C7" s="313" t="s">
        <v>1079</v>
      </c>
      <c r="D7" s="313" t="s">
        <v>1080</v>
      </c>
      <c r="E7" s="313" t="s">
        <v>1081</v>
      </c>
    </row>
    <row r="8" spans="1:5" ht="71" customHeight="1" x14ac:dyDescent="0.2">
      <c r="A8" s="413">
        <v>46276</v>
      </c>
      <c r="B8" s="313" t="s">
        <v>1082</v>
      </c>
      <c r="C8" s="313" t="s">
        <v>1083</v>
      </c>
      <c r="D8" s="313" t="s">
        <v>1084</v>
      </c>
      <c r="E8" s="313" t="s">
        <v>1085</v>
      </c>
    </row>
    <row r="9" spans="1:5" ht="97.5" customHeight="1" x14ac:dyDescent="0.2">
      <c r="A9" s="413">
        <v>46276</v>
      </c>
      <c r="B9" s="313" t="s">
        <v>1121</v>
      </c>
      <c r="C9" s="313" t="s">
        <v>1122</v>
      </c>
      <c r="D9" s="313" t="s">
        <v>1123</v>
      </c>
      <c r="E9" s="313" t="s">
        <v>1124</v>
      </c>
    </row>
    <row r="10" spans="1:5" x14ac:dyDescent="0.2">
      <c r="A10" s="415"/>
      <c r="B10" s="313"/>
      <c r="C10" s="313"/>
      <c r="D10" s="313"/>
      <c r="E10" s="313"/>
    </row>
    <row r="11" spans="1:5" ht="17.25" customHeight="1" x14ac:dyDescent="0.2">
      <c r="A11" s="416" t="s">
        <v>1086</v>
      </c>
      <c r="B11" s="313"/>
      <c r="C11" s="313"/>
      <c r="D11" s="313"/>
      <c r="E11" s="313"/>
    </row>
    <row r="12" spans="1:5" ht="57.75" customHeight="1" x14ac:dyDescent="0.2">
      <c r="A12" s="417" t="s">
        <v>1087</v>
      </c>
      <c r="B12" s="411"/>
      <c r="C12" s="411"/>
      <c r="D12" s="411"/>
      <c r="E12" s="411"/>
    </row>
    <row r="13" spans="1:5" x14ac:dyDescent="0.2">
      <c r="A13" s="415"/>
      <c r="B13" s="313"/>
      <c r="C13" s="313"/>
      <c r="D13" s="313"/>
      <c r="E13" s="313"/>
    </row>
    <row r="14" spans="1:5" ht="71" customHeight="1" x14ac:dyDescent="0.2">
      <c r="A14" s="423" t="s">
        <v>1088</v>
      </c>
      <c r="B14" s="313"/>
      <c r="C14" s="313"/>
      <c r="D14" s="313"/>
      <c r="E14" s="313"/>
    </row>
    <row r="15" spans="1:5" ht="44.5" customHeight="1" x14ac:dyDescent="0.2">
      <c r="A15" s="417" t="s">
        <v>1089</v>
      </c>
      <c r="B15" s="411"/>
      <c r="C15" s="411"/>
      <c r="D15" s="411"/>
      <c r="E15" s="411"/>
    </row>
    <row r="16" spans="1:5" x14ac:dyDescent="0.2">
      <c r="A16" s="415"/>
      <c r="B16" s="313"/>
      <c r="C16" s="313"/>
      <c r="D16" s="313"/>
      <c r="E16" s="313"/>
    </row>
    <row r="17" spans="1:5" ht="17.25" customHeight="1" x14ac:dyDescent="0.2">
      <c r="A17" s="416" t="s">
        <v>1090</v>
      </c>
      <c r="B17" s="313"/>
      <c r="C17" s="313"/>
      <c r="D17" s="313"/>
      <c r="E17" s="313"/>
    </row>
    <row r="18" spans="1:5" ht="31.5" customHeight="1" x14ac:dyDescent="0.2">
      <c r="A18" s="417" t="s">
        <v>1091</v>
      </c>
      <c r="B18" s="411"/>
      <c r="C18" s="411"/>
      <c r="D18" s="411"/>
      <c r="E18" s="411"/>
    </row>
    <row r="19" spans="1:5" x14ac:dyDescent="0.2">
      <c r="A19" s="415"/>
      <c r="B19" s="313"/>
      <c r="C19" s="313"/>
      <c r="D19" s="313"/>
      <c r="E19" s="313"/>
    </row>
    <row r="20" spans="1:5" ht="17.25" customHeight="1" x14ac:dyDescent="0.2">
      <c r="A20" s="416" t="s">
        <v>1092</v>
      </c>
      <c r="B20" s="313"/>
      <c r="C20" s="313"/>
      <c r="D20" s="313"/>
      <c r="E20" s="313"/>
    </row>
    <row r="21" spans="1:5" ht="44.5" customHeight="1" x14ac:dyDescent="0.2">
      <c r="A21" s="417" t="s">
        <v>1093</v>
      </c>
      <c r="B21" s="411"/>
      <c r="C21" s="411"/>
      <c r="D21" s="411"/>
      <c r="E21" s="411"/>
    </row>
    <row r="22" spans="1:5" x14ac:dyDescent="0.2">
      <c r="A22" s="415"/>
      <c r="B22" s="313"/>
      <c r="C22" s="313"/>
      <c r="D22" s="313"/>
      <c r="E22" s="313"/>
    </row>
    <row r="23" spans="1:5" ht="17.25" customHeight="1" x14ac:dyDescent="0.2">
      <c r="A23" s="416" t="s">
        <v>1094</v>
      </c>
      <c r="B23" s="313"/>
      <c r="C23" s="313"/>
      <c r="D23" s="313"/>
      <c r="E23" s="313"/>
    </row>
    <row r="24" spans="1:5" ht="18.25" customHeight="1" x14ac:dyDescent="0.2">
      <c r="A24" s="417" t="s">
        <v>1095</v>
      </c>
      <c r="B24" s="411"/>
      <c r="C24" s="411"/>
      <c r="D24" s="411"/>
      <c r="E24" s="411"/>
    </row>
    <row r="25" spans="1:5" x14ac:dyDescent="0.2">
      <c r="A25" s="415"/>
      <c r="B25" s="313"/>
      <c r="C25" s="313"/>
      <c r="D25" s="313"/>
      <c r="E25" s="313"/>
    </row>
    <row r="26" spans="1:5" ht="44.5" customHeight="1" x14ac:dyDescent="0.2">
      <c r="A26" s="421" t="s">
        <v>1096</v>
      </c>
      <c r="B26" s="412"/>
      <c r="C26" s="412"/>
      <c r="D26" s="412"/>
      <c r="E26" s="412"/>
    </row>
    <row r="27" spans="1:5" ht="97.5" customHeight="1" x14ac:dyDescent="0.2">
      <c r="A27" s="413">
        <v>46276</v>
      </c>
      <c r="B27" s="313" t="s">
        <v>1125</v>
      </c>
      <c r="C27" s="313" t="s">
        <v>1126</v>
      </c>
      <c r="D27" s="313" t="s">
        <v>1127</v>
      </c>
      <c r="E27" s="313" t="s">
        <v>1128</v>
      </c>
    </row>
    <row r="28" spans="1:5" ht="57.75" customHeight="1" x14ac:dyDescent="0.2">
      <c r="A28" s="413">
        <v>46276</v>
      </c>
      <c r="B28" s="313" t="s">
        <v>1129</v>
      </c>
      <c r="C28" s="313" t="s">
        <v>1130</v>
      </c>
      <c r="D28" s="313" t="s">
        <v>1131</v>
      </c>
      <c r="E28" s="313" t="s">
        <v>1132</v>
      </c>
    </row>
    <row r="29" spans="1:5" ht="44.5" customHeight="1" x14ac:dyDescent="0.2">
      <c r="A29" s="413">
        <v>46276</v>
      </c>
      <c r="B29" s="313" t="s">
        <v>1133</v>
      </c>
      <c r="C29" s="313" t="s">
        <v>1134</v>
      </c>
      <c r="D29" s="313" t="s">
        <v>1135</v>
      </c>
      <c r="E29" s="313" t="s">
        <v>1136</v>
      </c>
    </row>
    <row r="30" spans="1:5" ht="31.5" customHeight="1" x14ac:dyDescent="0.2">
      <c r="A30" s="413">
        <v>46276</v>
      </c>
      <c r="B30" s="313" t="s">
        <v>1137</v>
      </c>
      <c r="C30" s="313" t="s">
        <v>1138</v>
      </c>
      <c r="D30" s="313" t="s">
        <v>1139</v>
      </c>
      <c r="E30" s="313" t="s">
        <v>1140</v>
      </c>
    </row>
    <row r="31" spans="1:5" ht="84.25" customHeight="1" x14ac:dyDescent="0.2">
      <c r="A31" s="436">
        <v>46276</v>
      </c>
      <c r="B31" s="422" t="s">
        <v>1141</v>
      </c>
      <c r="C31" s="422" t="s">
        <v>1142</v>
      </c>
      <c r="D31" s="422" t="s">
        <v>1143</v>
      </c>
      <c r="E31" s="422" t="s">
        <v>1144</v>
      </c>
    </row>
    <row r="32" spans="1:5" ht="110.5" customHeight="1" x14ac:dyDescent="0.2">
      <c r="A32" s="437">
        <v>46276</v>
      </c>
      <c r="B32" s="438" t="s">
        <v>1159</v>
      </c>
      <c r="C32" s="438" t="s">
        <v>1160</v>
      </c>
      <c r="D32" s="438" t="s">
        <v>1161</v>
      </c>
      <c r="E32" s="438" t="s">
        <v>1162</v>
      </c>
    </row>
  </sheetData>
  <mergeCells count="8">
    <mergeCell ref="A26:E26"/>
    <mergeCell ref="A1:E1"/>
    <mergeCell ref="A2:E2"/>
    <mergeCell ref="A12:E12"/>
    <mergeCell ref="A15:E15"/>
    <mergeCell ref="A18:E18"/>
    <mergeCell ref="A21:E21"/>
    <mergeCell ref="A24:E24"/>
  </mergeCells>
  <pageMargins left="0.7" right="0.7" top="0.75" bottom="0.75" header="0.3" footer="0.3"/>
  <pageSetup paperSize="0" scale="58" fitToHeight="0" orientation="landscape" horizontalDpi="0" verticalDpi="0" copies="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Cover</vt:lpstr>
      <vt:lpstr>How to use</vt:lpstr>
      <vt:lpstr>Model map</vt:lpstr>
      <vt:lpstr>Dashboard</vt:lpstr>
      <vt:lpstr>Break-even</vt:lpstr>
      <vt:lpstr>Cash flow</vt:lpstr>
      <vt:lpstr>Handover check</vt:lpstr>
      <vt:lpstr>Scenarios</vt:lpstr>
      <vt:lpstr>Simulator</vt:lpstr>
      <vt:lpstr>Debt</vt:lpstr>
      <vt:lpstr>Financials</vt:lpstr>
      <vt:lpstr>Bonds</vt:lpstr>
      <vt:lpstr>Projects</vt:lpstr>
      <vt:lpstr>Ratings &amp; sources</vt:lpstr>
      <vt:lpstr>Change log</vt:lpstr>
      <vt:lpstr>Bonds!Print_Area</vt:lpstr>
      <vt:lpstr>'Break-even'!Print_Area</vt:lpstr>
      <vt:lpstr>'Cash flow'!Print_Area</vt:lpstr>
      <vt:lpstr>'Change log'!Print_Area</vt:lpstr>
      <vt:lpstr>Cover!Print_Area</vt:lpstr>
      <vt:lpstr>Dashboard!Print_Area</vt:lpstr>
      <vt:lpstr>Debt!Print_Area</vt:lpstr>
      <vt:lpstr>Financials!Print_Area</vt:lpstr>
      <vt:lpstr>'Handover check'!Print_Area</vt:lpstr>
      <vt:lpstr>'How to use'!Print_Area</vt:lpstr>
      <vt:lpstr>'Model map'!Print_Area</vt:lpstr>
      <vt:lpstr>Projects!Print_Area</vt:lpstr>
      <vt:lpstr>'Ratings &amp; sources'!Print_Area</vt:lpstr>
      <vt:lpstr>Scenarios!Print_Area</vt:lpstr>
      <vt:lpstr>Simulator!Print_Area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TAMMAM ELBARBIR</cp:lastModifiedBy>
  <cp:revision>0</cp:revision>
  <dcterms:created xsi:type="dcterms:W3CDTF">2026-09-10T11:22:08Z</dcterms:created>
  <dcterms:modified xsi:type="dcterms:W3CDTF">2026-09-11T15:12:59Z</dcterms:modified>
  <dc:language>en-US</dc:language>
</cp:coreProperties>
</file>